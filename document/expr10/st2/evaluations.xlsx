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github\pod_boatrace\document\expr10\st2\"/>
    </mc:Choice>
  </mc:AlternateContent>
  <bookViews>
    <workbookView xWindow="0" yWindow="0" windowWidth="15360" windowHeight="7860"/>
  </bookViews>
  <sheets>
    <sheet name="evaluations" sheetId="17" r:id="rId1"/>
    <sheet name="e_10019" sheetId="13" r:id="rId2"/>
    <sheet name="e_10018" sheetId="16" r:id="rId3"/>
    <sheet name="e_10017" sheetId="15" r:id="rId4"/>
    <sheet name="e_10016" sheetId="14" r:id="rId5"/>
    <sheet name="evaluations_20023" sheetId="12" r:id="rId6"/>
    <sheet name="evaluations_20018" sheetId="4" r:id="rId7"/>
    <sheet name="e_10010" sheetId="10" r:id="rId8"/>
    <sheet name="e_10009" sheetId="9" r:id="rId9"/>
    <sheet name="e_10008" sheetId="8" r:id="rId10"/>
    <sheet name="e_10007" sheetId="7" r:id="rId11"/>
    <sheet name="e_10006" sheetId="6" r:id="rId12"/>
    <sheet name="e_10005" sheetId="5" r:id="rId13"/>
    <sheet name="e_10004" sheetId="3" r:id="rId14"/>
    <sheet name="evaluations_bak" sheetId="1" r:id="rId15"/>
    <sheet name="Sheet1" sheetId="2" r:id="rId16"/>
  </sheets>
  <definedNames>
    <definedName name="_xlnm._FilterDatabase" localSheetId="13" hidden="1">e_10004!$A$1:$U$218</definedName>
    <definedName name="_xlnm._FilterDatabase" localSheetId="11" hidden="1">e_10006!$A$1:$U$234</definedName>
    <definedName name="_xlnm._FilterDatabase" localSheetId="10" hidden="1">e_10007!$A$1:$U$104</definedName>
    <definedName name="_xlnm._FilterDatabase" localSheetId="9" hidden="1">e_10008!$A$1:$U$59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0" i="13" l="1"/>
  <c r="T11" i="13"/>
  <c r="T12" i="13"/>
  <c r="T13" i="13"/>
  <c r="T9" i="17"/>
  <c r="T8" i="17"/>
  <c r="T7" i="17"/>
  <c r="T6" i="17"/>
  <c r="T5" i="17"/>
  <c r="T4" i="17"/>
  <c r="T3" i="17"/>
  <c r="T2" i="17"/>
  <c r="T17" i="16"/>
  <c r="T16" i="16"/>
  <c r="T15" i="16"/>
  <c r="T14" i="16"/>
  <c r="T13" i="16"/>
  <c r="T12" i="16"/>
  <c r="T11" i="16"/>
  <c r="T10" i="16"/>
  <c r="T9" i="16"/>
  <c r="T8" i="16"/>
  <c r="T7" i="16"/>
  <c r="T6" i="16"/>
  <c r="T5" i="16"/>
  <c r="T4" i="16"/>
  <c r="T3" i="16"/>
  <c r="T2" i="16"/>
  <c r="T25" i="15"/>
  <c r="T24" i="15"/>
  <c r="T23" i="15"/>
  <c r="T22" i="15"/>
  <c r="T21" i="15"/>
  <c r="T20" i="15"/>
  <c r="T19" i="15"/>
  <c r="T18" i="15"/>
  <c r="T17" i="15"/>
  <c r="T16" i="15"/>
  <c r="T15" i="15"/>
  <c r="T14" i="15"/>
  <c r="T13" i="15"/>
  <c r="T12" i="15"/>
  <c r="T11" i="15"/>
  <c r="T10" i="15"/>
  <c r="T9" i="15"/>
  <c r="T8" i="15"/>
  <c r="T7" i="15"/>
  <c r="T6" i="15"/>
  <c r="T5" i="15"/>
  <c r="T4" i="15"/>
  <c r="T3" i="15"/>
  <c r="T2" i="15"/>
  <c r="T71" i="14"/>
  <c r="T70" i="14"/>
  <c r="T69" i="14"/>
  <c r="T68" i="14"/>
  <c r="T67" i="14"/>
  <c r="T66" i="14"/>
  <c r="T65" i="14"/>
  <c r="T64" i="14"/>
  <c r="T63" i="14"/>
  <c r="T62" i="14"/>
  <c r="T61" i="14"/>
  <c r="T60" i="14"/>
  <c r="T59" i="14"/>
  <c r="T58" i="14"/>
  <c r="T57" i="14"/>
  <c r="T56" i="14"/>
  <c r="T55" i="14"/>
  <c r="T54" i="14"/>
  <c r="T53" i="14"/>
  <c r="T52" i="14"/>
  <c r="T51" i="14"/>
  <c r="T50" i="14"/>
  <c r="T49" i="14"/>
  <c r="T48" i="14"/>
  <c r="T47" i="14"/>
  <c r="T46" i="14"/>
  <c r="T45" i="14"/>
  <c r="T44" i="14"/>
  <c r="T43" i="14"/>
  <c r="T42" i="14"/>
  <c r="T41" i="14"/>
  <c r="T40" i="14"/>
  <c r="T39" i="14"/>
  <c r="T38" i="14"/>
  <c r="T37" i="14"/>
  <c r="T36" i="14"/>
  <c r="T35" i="14"/>
  <c r="T34" i="14"/>
  <c r="T33" i="14"/>
  <c r="T32" i="14"/>
  <c r="T31" i="14"/>
  <c r="T30" i="14"/>
  <c r="T29" i="14"/>
  <c r="T28" i="14"/>
  <c r="T27" i="14"/>
  <c r="T26" i="14"/>
  <c r="T25" i="14"/>
  <c r="T24" i="14"/>
  <c r="T23" i="14"/>
  <c r="T22" i="14"/>
  <c r="T21" i="14"/>
  <c r="T20" i="14"/>
  <c r="T19" i="14"/>
  <c r="T18" i="14"/>
  <c r="T17" i="14"/>
  <c r="T16" i="14"/>
  <c r="T15" i="14"/>
  <c r="T14" i="14"/>
  <c r="T13" i="14"/>
  <c r="T12" i="14"/>
  <c r="T11" i="14"/>
  <c r="T10" i="14"/>
  <c r="T9" i="14"/>
  <c r="T8" i="14"/>
  <c r="T7" i="14"/>
  <c r="T6" i="14"/>
  <c r="T5" i="14"/>
  <c r="T4" i="14"/>
  <c r="T3" i="14"/>
  <c r="T6" i="13"/>
  <c r="T4" i="13"/>
  <c r="T9" i="13"/>
  <c r="T5" i="13"/>
  <c r="T2" i="13"/>
  <c r="T8" i="13"/>
  <c r="T3" i="13"/>
  <c r="T7" i="13"/>
  <c r="T71" i="12"/>
  <c r="T70" i="12"/>
  <c r="T69" i="12"/>
  <c r="T68" i="12"/>
  <c r="T67" i="12"/>
  <c r="T66" i="12"/>
  <c r="T65" i="12"/>
  <c r="T64" i="12"/>
  <c r="T63" i="12"/>
  <c r="T62" i="12"/>
  <c r="T61" i="12"/>
  <c r="T60" i="12"/>
  <c r="T59" i="12"/>
  <c r="T58" i="12"/>
  <c r="T57" i="12"/>
  <c r="T56" i="12"/>
  <c r="T55" i="12"/>
  <c r="T54" i="12"/>
  <c r="T53" i="12"/>
  <c r="T52" i="12"/>
  <c r="T51" i="12"/>
  <c r="T50" i="12"/>
  <c r="T49" i="12"/>
  <c r="T48" i="12"/>
  <c r="T47" i="12"/>
  <c r="T46" i="12"/>
  <c r="T45" i="12"/>
  <c r="T44" i="12"/>
  <c r="T43" i="12"/>
  <c r="T42" i="12"/>
  <c r="T41" i="12"/>
  <c r="T40" i="12"/>
  <c r="T39" i="12"/>
  <c r="T38" i="12"/>
  <c r="T37" i="12"/>
  <c r="T36" i="12"/>
  <c r="T35" i="12"/>
  <c r="T34" i="12"/>
  <c r="T33" i="12"/>
  <c r="T32" i="12"/>
  <c r="T31" i="12"/>
  <c r="T30" i="12"/>
  <c r="T29" i="12"/>
  <c r="T28" i="12"/>
  <c r="T27" i="12"/>
  <c r="T26" i="12"/>
  <c r="T25" i="12"/>
  <c r="T24" i="12"/>
  <c r="T23" i="12"/>
  <c r="T22" i="12"/>
  <c r="T21" i="12"/>
  <c r="T20" i="12"/>
  <c r="T19" i="12"/>
  <c r="T18" i="12"/>
  <c r="T17" i="12"/>
  <c r="T16" i="12"/>
  <c r="T15" i="12"/>
  <c r="T14" i="12"/>
  <c r="T13" i="12"/>
  <c r="T12" i="12"/>
  <c r="T11" i="12"/>
  <c r="T10" i="12"/>
  <c r="T9" i="12"/>
  <c r="T8" i="12"/>
  <c r="T7" i="12"/>
  <c r="T6" i="12"/>
  <c r="T5" i="12"/>
  <c r="T3" i="12"/>
  <c r="T4" i="12"/>
  <c r="S4" i="4" l="1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90" i="10"/>
  <c r="S85" i="10"/>
  <c r="S17" i="10"/>
  <c r="S55" i="10"/>
  <c r="S29" i="10"/>
  <c r="S63" i="10"/>
  <c r="S62" i="10"/>
  <c r="S25" i="10"/>
  <c r="S40" i="10"/>
  <c r="S24" i="10"/>
  <c r="S2" i="10"/>
  <c r="S91" i="10"/>
  <c r="S41" i="10"/>
  <c r="S68" i="10"/>
  <c r="S12" i="10"/>
  <c r="S42" i="10"/>
  <c r="S34" i="10"/>
  <c r="S10" i="10"/>
  <c r="S67" i="10"/>
  <c r="S74" i="10"/>
  <c r="S13" i="10"/>
  <c r="S8" i="10"/>
  <c r="S3" i="10"/>
  <c r="S81" i="10"/>
  <c r="S72" i="10"/>
  <c r="S87" i="10"/>
  <c r="S52" i="10"/>
  <c r="S77" i="10"/>
  <c r="S16" i="10"/>
  <c r="S6" i="10"/>
  <c r="S66" i="10"/>
  <c r="S83" i="10"/>
  <c r="S21" i="10"/>
  <c r="S69" i="10"/>
  <c r="S9" i="10"/>
  <c r="S59" i="10"/>
  <c r="S18" i="10"/>
  <c r="S86" i="10"/>
  <c r="S50" i="10"/>
  <c r="S51" i="10"/>
  <c r="S70" i="10"/>
  <c r="S38" i="10"/>
  <c r="S15" i="10"/>
  <c r="S45" i="10"/>
  <c r="S23" i="10"/>
  <c r="S65" i="10"/>
  <c r="S39" i="10"/>
  <c r="S80" i="10"/>
  <c r="S79" i="10"/>
  <c r="S27" i="10"/>
  <c r="S58" i="10"/>
  <c r="S88" i="10"/>
  <c r="S35" i="10"/>
  <c r="S89" i="10"/>
  <c r="S76" i="10"/>
  <c r="S84" i="10"/>
  <c r="S49" i="10"/>
  <c r="S33" i="10"/>
  <c r="S61" i="10"/>
  <c r="S32" i="10"/>
  <c r="S54" i="10"/>
  <c r="S5" i="10"/>
  <c r="S75" i="10"/>
  <c r="S53" i="10"/>
  <c r="S22" i="10"/>
  <c r="S28" i="10"/>
  <c r="S4" i="10"/>
  <c r="S14" i="10"/>
  <c r="S56" i="10"/>
  <c r="S7" i="10"/>
  <c r="S60" i="10"/>
  <c r="S11" i="10"/>
  <c r="S57" i="10"/>
  <c r="S48" i="10"/>
  <c r="S30" i="10"/>
  <c r="S37" i="10"/>
  <c r="S36" i="10"/>
  <c r="S43" i="10"/>
  <c r="S71" i="10"/>
  <c r="S73" i="10"/>
  <c r="S46" i="10"/>
  <c r="S44" i="10"/>
  <c r="S19" i="10"/>
  <c r="S20" i="10"/>
  <c r="S82" i="10"/>
  <c r="S26" i="10"/>
  <c r="S78" i="10"/>
  <c r="S64" i="10"/>
  <c r="S47" i="10"/>
  <c r="S31" i="10"/>
  <c r="S5" i="9"/>
  <c r="S9" i="9"/>
  <c r="S15" i="9"/>
  <c r="S3" i="9"/>
  <c r="S11" i="9"/>
  <c r="S13" i="9"/>
  <c r="S12" i="9"/>
  <c r="S8" i="9"/>
  <c r="S10" i="9"/>
  <c r="S6" i="9"/>
  <c r="S7" i="9"/>
  <c r="S4" i="9"/>
  <c r="S17" i="9"/>
  <c r="S16" i="9"/>
  <c r="S14" i="9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S42" i="8"/>
  <c r="S41" i="8"/>
  <c r="S40" i="8"/>
  <c r="S39" i="8"/>
  <c r="S38" i="8"/>
  <c r="S3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S6" i="8"/>
  <c r="S5" i="8"/>
  <c r="S4" i="8"/>
  <c r="S3" i="8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S5" i="7"/>
  <c r="S4" i="7"/>
  <c r="S3" i="7"/>
  <c r="S234" i="6"/>
  <c r="S233" i="6"/>
  <c r="S232" i="6"/>
  <c r="S231" i="6"/>
  <c r="S230" i="6"/>
  <c r="S229" i="6"/>
  <c r="S228" i="6"/>
  <c r="S227" i="6"/>
  <c r="S226" i="6"/>
  <c r="S225" i="6"/>
  <c r="S224" i="6"/>
  <c r="S223" i="6"/>
  <c r="S222" i="6"/>
  <c r="S221" i="6"/>
  <c r="S220" i="6"/>
  <c r="S219" i="6"/>
  <c r="S218" i="6"/>
  <c r="S217" i="6"/>
  <c r="S216" i="6"/>
  <c r="S215" i="6"/>
  <c r="S214" i="6"/>
  <c r="S213" i="6"/>
  <c r="S212" i="6"/>
  <c r="S211" i="6"/>
  <c r="S210" i="6"/>
  <c r="S209" i="6"/>
  <c r="S208" i="6"/>
  <c r="S207" i="6"/>
  <c r="S206" i="6"/>
  <c r="S205" i="6"/>
  <c r="S204" i="6"/>
  <c r="S203" i="6"/>
  <c r="S202" i="6"/>
  <c r="S201" i="6"/>
  <c r="S200" i="6"/>
  <c r="S199" i="6"/>
  <c r="S198" i="6"/>
  <c r="S197" i="6"/>
  <c r="S196" i="6"/>
  <c r="S195" i="6"/>
  <c r="S194" i="6"/>
  <c r="S193" i="6"/>
  <c r="S192" i="6"/>
  <c r="S191" i="6"/>
  <c r="S190" i="6"/>
  <c r="S189" i="6"/>
  <c r="S188" i="6"/>
  <c r="S187" i="6"/>
  <c r="S186" i="6"/>
  <c r="S185" i="6"/>
  <c r="S184" i="6"/>
  <c r="S183" i="6"/>
  <c r="S182" i="6"/>
  <c r="S181" i="6"/>
  <c r="S180" i="6"/>
  <c r="S179" i="6"/>
  <c r="S178" i="6"/>
  <c r="S177" i="6"/>
  <c r="S176" i="6"/>
  <c r="S175" i="6"/>
  <c r="S174" i="6"/>
  <c r="S173" i="6"/>
  <c r="S172" i="6"/>
  <c r="S171" i="6"/>
  <c r="S170" i="6"/>
  <c r="S169" i="6"/>
  <c r="S168" i="6"/>
  <c r="S167" i="6"/>
  <c r="S166" i="6"/>
  <c r="S165" i="6"/>
  <c r="S164" i="6"/>
  <c r="S163" i="6"/>
  <c r="S162" i="6"/>
  <c r="S161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S3" i="6"/>
  <c r="S63" i="5"/>
  <c r="S62" i="5"/>
  <c r="S31" i="5"/>
  <c r="S15" i="5"/>
  <c r="S88" i="5"/>
  <c r="S75" i="5"/>
  <c r="S46" i="5"/>
  <c r="S11" i="5"/>
  <c r="S61" i="5"/>
  <c r="S74" i="5"/>
  <c r="S30" i="5"/>
  <c r="S9" i="5"/>
  <c r="S60" i="5"/>
  <c r="S87" i="5"/>
  <c r="S3" i="5"/>
  <c r="S86" i="5"/>
  <c r="S4" i="5"/>
  <c r="S20" i="5"/>
  <c r="S59" i="5"/>
  <c r="S24" i="5"/>
  <c r="S19" i="5"/>
  <c r="S29" i="5"/>
  <c r="S73" i="5"/>
  <c r="S45" i="5"/>
  <c r="S35" i="5"/>
  <c r="S44" i="5"/>
  <c r="S28" i="5"/>
  <c r="S27" i="5"/>
  <c r="S2" i="5"/>
  <c r="S43" i="5"/>
  <c r="S10" i="5"/>
  <c r="S6" i="5"/>
  <c r="S72" i="5"/>
  <c r="S58" i="5"/>
  <c r="S57" i="5"/>
  <c r="S71" i="5"/>
  <c r="S85" i="5"/>
  <c r="S70" i="5"/>
  <c r="S5" i="5"/>
  <c r="S8" i="5"/>
  <c r="S84" i="5"/>
  <c r="S83" i="5"/>
  <c r="S14" i="5"/>
  <c r="S69" i="5"/>
  <c r="S7" i="5"/>
  <c r="S68" i="5"/>
  <c r="S26" i="5"/>
  <c r="S56" i="5"/>
  <c r="S55" i="5"/>
  <c r="S54" i="5"/>
  <c r="S53" i="5"/>
  <c r="S82" i="5"/>
  <c r="S23" i="5"/>
  <c r="S42" i="5"/>
  <c r="S41" i="5"/>
  <c r="S18" i="5"/>
  <c r="S12" i="5"/>
  <c r="S81" i="5"/>
  <c r="S52" i="5"/>
  <c r="S67" i="5"/>
  <c r="S51" i="5"/>
  <c r="S34" i="5"/>
  <c r="S40" i="5"/>
  <c r="S17" i="5"/>
  <c r="S50" i="5"/>
  <c r="S49" i="5"/>
  <c r="S80" i="5"/>
  <c r="S25" i="5"/>
  <c r="S79" i="5"/>
  <c r="S13" i="5"/>
  <c r="S78" i="5"/>
  <c r="S48" i="5"/>
  <c r="S39" i="5"/>
  <c r="S47" i="5"/>
  <c r="S77" i="5"/>
  <c r="S66" i="5"/>
  <c r="S33" i="5"/>
  <c r="S22" i="5"/>
  <c r="S38" i="5"/>
  <c r="S21" i="5"/>
  <c r="S65" i="5"/>
  <c r="S37" i="5"/>
  <c r="S36" i="5"/>
  <c r="S32" i="5"/>
  <c r="S76" i="5"/>
  <c r="S64" i="5"/>
  <c r="S16" i="5"/>
  <c r="S3" i="4"/>
  <c r="S14" i="3"/>
  <c r="S12" i="3"/>
  <c r="S2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19" i="3" l="1"/>
  <c r="S20" i="3"/>
  <c r="S18" i="3"/>
  <c r="S17" i="3"/>
  <c r="S16" i="3"/>
  <c r="S15" i="3"/>
  <c r="S13" i="3"/>
  <c r="S11" i="3"/>
  <c r="S10" i="3"/>
  <c r="S9" i="3"/>
  <c r="S8" i="3"/>
  <c r="S6" i="3"/>
  <c r="S7" i="3"/>
  <c r="S5" i="3"/>
  <c r="S3" i="3"/>
  <c r="S4" i="3"/>
  <c r="S14" i="1"/>
  <c r="S13" i="1"/>
  <c r="S12" i="1"/>
  <c r="S91" i="1" l="1"/>
  <c r="S90" i="1"/>
  <c r="S89" i="1"/>
  <c r="S88" i="1"/>
  <c r="S87" i="1"/>
  <c r="S86" i="1"/>
  <c r="S85" i="1"/>
  <c r="S84" i="1"/>
  <c r="S83" i="1"/>
  <c r="B70" i="2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 l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1" i="1"/>
  <c r="S10" i="1"/>
  <c r="S9" i="1"/>
  <c r="S8" i="1"/>
  <c r="S7" i="1"/>
  <c r="S6" i="1"/>
  <c r="S5" i="1"/>
  <c r="S4" i="1"/>
  <c r="S3" i="1"/>
</calcChain>
</file>

<file path=xl/sharedStrings.xml><?xml version="1.0" encoding="utf-8"?>
<sst xmlns="http://schemas.openxmlformats.org/spreadsheetml/2006/main" count="17238" uniqueCount="851">
  <si>
    <t>sel</t>
  </si>
  <si>
    <t>grades</t>
  </si>
  <si>
    <t>bettype</t>
  </si>
  <si>
    <t>kumiban</t>
  </si>
  <si>
    <t>modelno</t>
  </si>
  <si>
    <t>patternid</t>
  </si>
  <si>
    <t>pattern</t>
  </si>
  <si>
    <t>betcnt</t>
  </si>
  <si>
    <t>hitrate</t>
  </si>
  <si>
    <t>range_selector</t>
  </si>
  <si>
    <t>bonus_pr</t>
  </si>
  <si>
    <t>bonus_bor</t>
  </si>
  <si>
    <t>bonus_bork</t>
  </si>
  <si>
    <t>bonus_borkbor</t>
  </si>
  <si>
    <t>ip,G3</t>
  </si>
  <si>
    <t>3R</t>
  </si>
  <si>
    <t>x</t>
  </si>
  <si>
    <t>#~</t>
    <phoneticPr fontId="1" type="noConversion"/>
  </si>
  <si>
    <t>nopattern</t>
    <phoneticPr fontId="1" type="noConversion"/>
  </si>
  <si>
    <t>incrate</t>
    <phoneticPr fontId="1" type="noConversion"/>
  </si>
  <si>
    <t>dailybet</t>
    <phoneticPr fontId="1" type="noConversion"/>
  </si>
  <si>
    <t>bonus_ebor</t>
    <phoneticPr fontId="1" type="noConversion"/>
  </si>
  <si>
    <t>bonus_ebork</t>
    <phoneticPr fontId="1" type="noConversion"/>
  </si>
  <si>
    <t>level</t>
    <phoneticPr fontId="1" type="noConversion"/>
  </si>
  <si>
    <t>A</t>
    <phoneticPr fontId="1" type="noConversion"/>
  </si>
  <si>
    <t>result</t>
    <phoneticPr fontId="1" type="noConversion"/>
  </si>
  <si>
    <t>1~23=1</t>
    <phoneticPr fontId="1" type="noConversion"/>
  </si>
  <si>
    <t>~</t>
    <phoneticPr fontId="1" type="noConversion"/>
  </si>
  <si>
    <t>1T</t>
    <phoneticPr fontId="1" type="noConversion"/>
  </si>
  <si>
    <t>2</t>
    <phoneticPr fontId="1" type="noConversion"/>
  </si>
  <si>
    <t>3~39=1</t>
    <phoneticPr fontId="1" type="noConversion"/>
  </si>
  <si>
    <t>3</t>
    <phoneticPr fontId="1" type="noConversion"/>
  </si>
  <si>
    <t>3~44=1</t>
    <phoneticPr fontId="1" type="noConversion"/>
  </si>
  <si>
    <t>4</t>
    <phoneticPr fontId="1" type="noConversion"/>
  </si>
  <si>
    <t>3~28=1</t>
    <phoneticPr fontId="1" type="noConversion"/>
  </si>
  <si>
    <t>5</t>
    <phoneticPr fontId="1" type="noConversion"/>
  </si>
  <si>
    <t>3~7=1</t>
    <phoneticPr fontId="1" type="noConversion"/>
  </si>
  <si>
    <t>6</t>
    <phoneticPr fontId="1" type="noConversion"/>
  </si>
  <si>
    <t>2~4=1</t>
    <phoneticPr fontId="1" type="noConversion"/>
  </si>
  <si>
    <t>incamt</t>
    <phoneticPr fontId="1" type="noConversion"/>
  </si>
  <si>
    <t>2F</t>
    <phoneticPr fontId="1" type="noConversion"/>
  </si>
  <si>
    <t>12</t>
    <phoneticPr fontId="1" type="noConversion"/>
  </si>
  <si>
    <t>6~15=1</t>
    <phoneticPr fontId="1" type="noConversion"/>
  </si>
  <si>
    <t>13</t>
    <phoneticPr fontId="1" type="noConversion"/>
  </si>
  <si>
    <t>9~19=1</t>
    <phoneticPr fontId="1" type="noConversion"/>
  </si>
  <si>
    <t>3C</t>
    <phoneticPr fontId="1" type="noConversion"/>
  </si>
  <si>
    <t>1234</t>
    <phoneticPr fontId="1" type="noConversion"/>
  </si>
  <si>
    <t>B</t>
    <phoneticPr fontId="1" type="noConversion"/>
  </si>
  <si>
    <t>1256</t>
    <phoneticPr fontId="1" type="noConversion"/>
  </si>
  <si>
    <t>9.3~15.3=1</t>
    <phoneticPr fontId="1" type="noConversion"/>
  </si>
  <si>
    <t>1263</t>
    <phoneticPr fontId="1" type="noConversion"/>
  </si>
  <si>
    <t>0~8=1</t>
    <phoneticPr fontId="1" type="noConversion"/>
  </si>
  <si>
    <t>1265</t>
    <phoneticPr fontId="1" type="noConversion"/>
  </si>
  <si>
    <t>x</t>
    <phoneticPr fontId="1" type="noConversion"/>
  </si>
  <si>
    <t>2~5=1</t>
    <phoneticPr fontId="1" type="noConversion"/>
  </si>
  <si>
    <t>1326</t>
    <phoneticPr fontId="1" type="noConversion"/>
  </si>
  <si>
    <t>7~13=1</t>
    <phoneticPr fontId="1" type="noConversion"/>
  </si>
  <si>
    <t>1342</t>
    <phoneticPr fontId="1" type="noConversion"/>
  </si>
  <si>
    <t>28.2~40.6=1</t>
    <phoneticPr fontId="1" type="noConversion"/>
  </si>
  <si>
    <t>1345</t>
    <phoneticPr fontId="1" type="noConversion"/>
  </si>
  <si>
    <t>7~16=1</t>
    <phoneticPr fontId="1" type="noConversion"/>
  </si>
  <si>
    <t>1356</t>
    <phoneticPr fontId="1" type="noConversion"/>
  </si>
  <si>
    <t>4~10=1</t>
    <phoneticPr fontId="1" type="noConversion"/>
  </si>
  <si>
    <t>1425</t>
    <phoneticPr fontId="1" type="noConversion"/>
  </si>
  <si>
    <t>1426</t>
    <phoneticPr fontId="1" type="noConversion"/>
  </si>
  <si>
    <t>1463</t>
    <phoneticPr fontId="1" type="noConversion"/>
  </si>
  <si>
    <t>8~10=1</t>
    <phoneticPr fontId="1" type="noConversion"/>
  </si>
  <si>
    <t>8~17=1</t>
    <phoneticPr fontId="1" type="noConversion"/>
  </si>
  <si>
    <t>A</t>
    <phoneticPr fontId="1" type="noConversion"/>
  </si>
  <si>
    <t>1524</t>
    <phoneticPr fontId="1" type="noConversion"/>
  </si>
  <si>
    <t>22.1~45.3=1</t>
    <phoneticPr fontId="1" type="noConversion"/>
  </si>
  <si>
    <t>28.8~50=1</t>
    <phoneticPr fontId="1" type="noConversion"/>
  </si>
  <si>
    <t>1526</t>
    <phoneticPr fontId="1" type="noConversion"/>
  </si>
  <si>
    <t>18.1~27.0=1</t>
    <phoneticPr fontId="1" type="noConversion"/>
  </si>
  <si>
    <t>A</t>
    <phoneticPr fontId="1" type="noConversion"/>
  </si>
  <si>
    <t>1536</t>
    <phoneticPr fontId="1" type="noConversion"/>
  </si>
  <si>
    <t>31.8~50=1</t>
    <phoneticPr fontId="1" type="noConversion"/>
  </si>
  <si>
    <t>1542</t>
    <phoneticPr fontId="1" type="noConversion"/>
  </si>
  <si>
    <t>14~17=1</t>
    <phoneticPr fontId="1" type="noConversion"/>
  </si>
  <si>
    <t>1543</t>
    <phoneticPr fontId="1" type="noConversion"/>
  </si>
  <si>
    <t>6~8=1</t>
    <phoneticPr fontId="1" type="noConversion"/>
  </si>
  <si>
    <t>1562</t>
    <phoneticPr fontId="1" type="noConversion"/>
  </si>
  <si>
    <t>1~2=1</t>
    <phoneticPr fontId="1" type="noConversion"/>
  </si>
  <si>
    <t>1564</t>
    <phoneticPr fontId="1" type="noConversion"/>
  </si>
  <si>
    <t>4~5=1</t>
    <phoneticPr fontId="1" type="noConversion"/>
  </si>
  <si>
    <t>1623</t>
    <phoneticPr fontId="1" type="noConversion"/>
  </si>
  <si>
    <t>29.3~49.1=1</t>
    <phoneticPr fontId="1" type="noConversion"/>
  </si>
  <si>
    <t>1624</t>
    <phoneticPr fontId="1" type="noConversion"/>
  </si>
  <si>
    <t>6~20=1</t>
    <phoneticPr fontId="1" type="noConversion"/>
  </si>
  <si>
    <t>B</t>
    <phoneticPr fontId="1" type="noConversion"/>
  </si>
  <si>
    <t>1625</t>
    <phoneticPr fontId="1" type="noConversion"/>
  </si>
  <si>
    <t>1632</t>
    <phoneticPr fontId="1" type="noConversion"/>
  </si>
  <si>
    <t>6~10.9=1</t>
    <phoneticPr fontId="1" type="noConversion"/>
  </si>
  <si>
    <t>10~17.9=1</t>
    <phoneticPr fontId="1" type="noConversion"/>
  </si>
  <si>
    <t>1634</t>
    <phoneticPr fontId="1" type="noConversion"/>
  </si>
  <si>
    <t>x</t>
    <phoneticPr fontId="1" type="noConversion"/>
  </si>
  <si>
    <t>5~11=1</t>
    <phoneticPr fontId="1" type="noConversion"/>
  </si>
  <si>
    <t>1642</t>
    <phoneticPr fontId="1" type="noConversion"/>
  </si>
  <si>
    <t>5~12=1</t>
    <phoneticPr fontId="1" type="noConversion"/>
  </si>
  <si>
    <t>1643</t>
    <phoneticPr fontId="1" type="noConversion"/>
  </si>
  <si>
    <t>5~11.9=1</t>
    <phoneticPr fontId="1" type="noConversion"/>
  </si>
  <si>
    <t>1652</t>
    <phoneticPr fontId="1" type="noConversion"/>
  </si>
  <si>
    <t>7.9~26.4=1</t>
    <phoneticPr fontId="1" type="noConversion"/>
  </si>
  <si>
    <t>2134</t>
    <phoneticPr fontId="1" type="noConversion"/>
  </si>
  <si>
    <t>7~14.9=1</t>
    <phoneticPr fontId="1" type="noConversion"/>
  </si>
  <si>
    <t>B</t>
    <phoneticPr fontId="1" type="noConversion"/>
  </si>
  <si>
    <t>2135</t>
    <phoneticPr fontId="1" type="noConversion"/>
  </si>
  <si>
    <t>x</t>
    <phoneticPr fontId="1" type="noConversion"/>
  </si>
  <si>
    <t>6~8=1</t>
    <phoneticPr fontId="1" type="noConversion"/>
  </si>
  <si>
    <t>2136</t>
    <phoneticPr fontId="1" type="noConversion"/>
  </si>
  <si>
    <t>7~9.9=1</t>
    <phoneticPr fontId="1" type="noConversion"/>
  </si>
  <si>
    <t>2145</t>
    <phoneticPr fontId="1" type="noConversion"/>
  </si>
  <si>
    <t>28.8~40.7=1</t>
    <phoneticPr fontId="1" type="noConversion"/>
  </si>
  <si>
    <t>2153</t>
    <phoneticPr fontId="1" type="noConversion"/>
  </si>
  <si>
    <t>13~20=1</t>
    <phoneticPr fontId="1" type="noConversion"/>
  </si>
  <si>
    <t>B</t>
    <phoneticPr fontId="1" type="noConversion"/>
  </si>
  <si>
    <t>2156</t>
    <phoneticPr fontId="1" type="noConversion"/>
  </si>
  <si>
    <t>2~4=1</t>
    <phoneticPr fontId="1" type="noConversion"/>
  </si>
  <si>
    <t>2164</t>
    <phoneticPr fontId="1" type="noConversion"/>
  </si>
  <si>
    <t>24.0~43.2=1</t>
    <phoneticPr fontId="1" type="noConversion"/>
  </si>
  <si>
    <t>2316</t>
    <phoneticPr fontId="1" type="noConversion"/>
  </si>
  <si>
    <t>6~9=1</t>
    <phoneticPr fontId="1" type="noConversion"/>
  </si>
  <si>
    <t>2341</t>
    <phoneticPr fontId="1" type="noConversion"/>
  </si>
  <si>
    <t>2~6.9=1</t>
    <phoneticPr fontId="1" type="noConversion"/>
  </si>
  <si>
    <t>2345</t>
    <phoneticPr fontId="1" type="noConversion"/>
  </si>
  <si>
    <t>1~2=1</t>
    <phoneticPr fontId="1" type="noConversion"/>
  </si>
  <si>
    <t>2413</t>
    <phoneticPr fontId="1" type="noConversion"/>
  </si>
  <si>
    <t>9~13.9=1</t>
    <phoneticPr fontId="1" type="noConversion"/>
  </si>
  <si>
    <t>2461</t>
    <phoneticPr fontId="1" type="noConversion"/>
  </si>
  <si>
    <t>0~2.9=1</t>
    <phoneticPr fontId="1" type="noConversion"/>
  </si>
  <si>
    <t>2513</t>
    <phoneticPr fontId="1" type="noConversion"/>
  </si>
  <si>
    <t>20.7~50=1</t>
    <phoneticPr fontId="1" type="noConversion"/>
  </si>
  <si>
    <t>2514</t>
    <phoneticPr fontId="1" type="noConversion"/>
  </si>
  <si>
    <t>4~7=1</t>
    <phoneticPr fontId="1" type="noConversion"/>
  </si>
  <si>
    <t>2516</t>
    <phoneticPr fontId="1" type="noConversion"/>
  </si>
  <si>
    <t>2614</t>
    <phoneticPr fontId="1" type="noConversion"/>
  </si>
  <si>
    <t>10~16.9=1</t>
    <phoneticPr fontId="1" type="noConversion"/>
  </si>
  <si>
    <t>3124</t>
    <phoneticPr fontId="1" type="noConversion"/>
  </si>
  <si>
    <t>6~6.9=1</t>
    <phoneticPr fontId="1" type="noConversion"/>
  </si>
  <si>
    <t>3126</t>
    <phoneticPr fontId="1" type="noConversion"/>
  </si>
  <si>
    <t>11~18.9=1</t>
    <phoneticPr fontId="1" type="noConversion"/>
  </si>
  <si>
    <t>3142</t>
    <phoneticPr fontId="1" type="noConversion"/>
  </si>
  <si>
    <t>27.8~46.5=1</t>
    <phoneticPr fontId="1" type="noConversion"/>
  </si>
  <si>
    <t>3145</t>
    <phoneticPr fontId="1" type="noConversion"/>
  </si>
  <si>
    <t>8~15=1</t>
    <phoneticPr fontId="1" type="noConversion"/>
  </si>
  <si>
    <t>3154</t>
    <phoneticPr fontId="1" type="noConversion"/>
  </si>
  <si>
    <t>6~11=1</t>
    <phoneticPr fontId="1" type="noConversion"/>
  </si>
  <si>
    <t>3214</t>
    <phoneticPr fontId="1" type="noConversion"/>
  </si>
  <si>
    <t>13~18=1</t>
    <phoneticPr fontId="1" type="noConversion"/>
  </si>
  <si>
    <t>3215</t>
    <phoneticPr fontId="1" type="noConversion"/>
  </si>
  <si>
    <t>13.5~30=1</t>
    <phoneticPr fontId="1" type="noConversion"/>
  </si>
  <si>
    <t>3241</t>
    <phoneticPr fontId="1" type="noConversion"/>
  </si>
  <si>
    <t>9~17.9=1</t>
    <phoneticPr fontId="1" type="noConversion"/>
  </si>
  <si>
    <t>3246</t>
    <phoneticPr fontId="1" type="noConversion"/>
  </si>
  <si>
    <t>3~6.9=1</t>
    <phoneticPr fontId="1" type="noConversion"/>
  </si>
  <si>
    <t>3251</t>
    <phoneticPr fontId="1" type="noConversion"/>
  </si>
  <si>
    <t>6~17=1</t>
    <phoneticPr fontId="1" type="noConversion"/>
  </si>
  <si>
    <t>3261</t>
    <phoneticPr fontId="1" type="noConversion"/>
  </si>
  <si>
    <t>5~9=1</t>
    <phoneticPr fontId="1" type="noConversion"/>
  </si>
  <si>
    <t>3416</t>
    <phoneticPr fontId="1" type="noConversion"/>
  </si>
  <si>
    <t>2~6.9=1</t>
    <phoneticPr fontId="1" type="noConversion"/>
  </si>
  <si>
    <t>x</t>
    <phoneticPr fontId="1" type="noConversion"/>
  </si>
  <si>
    <t>3421</t>
    <phoneticPr fontId="1" type="noConversion"/>
  </si>
  <si>
    <t>5~8.9=1</t>
    <phoneticPr fontId="1" type="noConversion"/>
  </si>
  <si>
    <t>3514</t>
    <phoneticPr fontId="1" type="noConversion"/>
  </si>
  <si>
    <t>24,7~50=1</t>
    <phoneticPr fontId="1" type="noConversion"/>
  </si>
  <si>
    <t>3612</t>
    <phoneticPr fontId="1" type="noConversion"/>
  </si>
  <si>
    <t>20.9~26.6=1</t>
    <phoneticPr fontId="1" type="noConversion"/>
  </si>
  <si>
    <t>4126</t>
    <phoneticPr fontId="1" type="noConversion"/>
  </si>
  <si>
    <t>4132</t>
    <phoneticPr fontId="1" type="noConversion"/>
  </si>
  <si>
    <t>9~19.9=1</t>
    <phoneticPr fontId="1" type="noConversion"/>
  </si>
  <si>
    <t>B</t>
    <phoneticPr fontId="1" type="noConversion"/>
  </si>
  <si>
    <t>4135</t>
    <phoneticPr fontId="1" type="noConversion"/>
  </si>
  <si>
    <t>9~16=1</t>
    <phoneticPr fontId="1" type="noConversion"/>
  </si>
  <si>
    <t>5~8=1</t>
    <phoneticPr fontId="1" type="noConversion"/>
  </si>
  <si>
    <t>4136</t>
    <phoneticPr fontId="1" type="noConversion"/>
  </si>
  <si>
    <t>4251</t>
    <phoneticPr fontId="1" type="noConversion"/>
  </si>
  <si>
    <t>8~14.9=1</t>
    <phoneticPr fontId="1" type="noConversion"/>
  </si>
  <si>
    <t>4263</t>
    <phoneticPr fontId="1" type="noConversion"/>
  </si>
  <si>
    <t>0~3.9=1</t>
    <phoneticPr fontId="1" type="noConversion"/>
  </si>
  <si>
    <t>5231</t>
    <phoneticPr fontId="1" type="noConversion"/>
  </si>
  <si>
    <t>1~4.9=1</t>
    <phoneticPr fontId="1" type="noConversion"/>
  </si>
  <si>
    <t>SG,G1,G2</t>
    <phoneticPr fontId="1" type="noConversion"/>
  </si>
  <si>
    <t>1235</t>
    <phoneticPr fontId="1" type="noConversion"/>
  </si>
  <si>
    <t>10~14=1</t>
    <phoneticPr fontId="1" type="noConversion"/>
  </si>
  <si>
    <t>1236</t>
    <phoneticPr fontId="1" type="noConversion"/>
  </si>
  <si>
    <t>x</t>
    <phoneticPr fontId="1" type="noConversion"/>
  </si>
  <si>
    <t>2~4.9=1</t>
    <phoneticPr fontId="1" type="noConversion"/>
  </si>
  <si>
    <t>1243</t>
    <phoneticPr fontId="1" type="noConversion"/>
  </si>
  <si>
    <t>9~17=1</t>
    <phoneticPr fontId="1" type="noConversion"/>
  </si>
  <si>
    <t>1325</t>
    <phoneticPr fontId="1" type="noConversion"/>
  </si>
  <si>
    <t>5~7.9=1</t>
    <phoneticPr fontId="1" type="noConversion"/>
  </si>
  <si>
    <t>6~10=1</t>
    <phoneticPr fontId="1" type="noConversion"/>
  </si>
  <si>
    <t>3N</t>
    <phoneticPr fontId="1" type="noConversion"/>
  </si>
  <si>
    <t>125</t>
    <phoneticPr fontId="1" type="noConversion"/>
  </si>
  <si>
    <t>9~32=1</t>
    <phoneticPr fontId="1" type="noConversion"/>
  </si>
  <si>
    <t>145</t>
    <phoneticPr fontId="1" type="noConversion"/>
  </si>
  <si>
    <t>5~13=1</t>
    <phoneticPr fontId="1" type="noConversion"/>
  </si>
  <si>
    <t>162</t>
    <phoneticPr fontId="1" type="noConversion"/>
  </si>
  <si>
    <t>5~19.9=1</t>
    <phoneticPr fontId="1" type="noConversion"/>
  </si>
  <si>
    <t>231</t>
    <phoneticPr fontId="1" type="noConversion"/>
  </si>
  <si>
    <t>6~12.9=1</t>
    <phoneticPr fontId="1" type="noConversion"/>
  </si>
  <si>
    <t>234</t>
    <phoneticPr fontId="1" type="noConversion"/>
  </si>
  <si>
    <t>10~16=1</t>
    <phoneticPr fontId="1" type="noConversion"/>
  </si>
  <si>
    <t>243</t>
    <phoneticPr fontId="1" type="noConversion"/>
  </si>
  <si>
    <t>14.2~27.1=1</t>
    <phoneticPr fontId="1" type="noConversion"/>
  </si>
  <si>
    <t>256</t>
    <phoneticPr fontId="1" type="noConversion"/>
  </si>
  <si>
    <t>1.0~2.9=1</t>
    <phoneticPr fontId="1" type="noConversion"/>
  </si>
  <si>
    <t>312</t>
    <phoneticPr fontId="1" type="noConversion"/>
  </si>
  <si>
    <t>x</t>
    <phoneticPr fontId="1" type="noConversion"/>
  </si>
  <si>
    <t>17.8~33.4=1</t>
    <phoneticPr fontId="1" type="noConversion"/>
  </si>
  <si>
    <t>316</t>
    <phoneticPr fontId="1" type="noConversion"/>
  </si>
  <si>
    <t>13~22.9=1</t>
    <phoneticPr fontId="1" type="noConversion"/>
  </si>
  <si>
    <t>9~20=1</t>
    <phoneticPr fontId="1" type="noConversion"/>
  </si>
  <si>
    <t>15.5~21.1=1</t>
    <phoneticPr fontId="1" type="noConversion"/>
  </si>
  <si>
    <t>0.34~0.37=1</t>
    <phoneticPr fontId="1" type="noConversion"/>
  </si>
  <si>
    <t>A</t>
    <phoneticPr fontId="1" type="noConversion"/>
  </si>
  <si>
    <t>x</t>
    <phoneticPr fontId="1" type="noConversion"/>
  </si>
  <si>
    <t>10~11=1</t>
    <phoneticPr fontId="1" type="noConversion"/>
  </si>
  <si>
    <t>wk1</t>
    <phoneticPr fontId="1" type="noConversion"/>
  </si>
  <si>
    <t>B1</t>
    <phoneticPr fontId="1" type="noConversion"/>
  </si>
  <si>
    <t>B2</t>
    <phoneticPr fontId="1" type="noConversion"/>
  </si>
  <si>
    <t>A2</t>
    <phoneticPr fontId="1" type="noConversion"/>
  </si>
  <si>
    <t>A</t>
    <phoneticPr fontId="1" type="noConversion"/>
  </si>
  <si>
    <t>x</t>
    <phoneticPr fontId="1" type="noConversion"/>
  </si>
  <si>
    <t>A1</t>
    <phoneticPr fontId="1" type="noConversion"/>
  </si>
  <si>
    <t>19.5~24.3</t>
    <phoneticPr fontId="1" type="noConversion"/>
  </si>
  <si>
    <t>24.5~54.0</t>
    <phoneticPr fontId="1" type="noConversion"/>
  </si>
  <si>
    <t>8~18</t>
    <phoneticPr fontId="1" type="noConversion"/>
  </si>
  <si>
    <t>1~2</t>
    <phoneticPr fontId="1" type="noConversion"/>
  </si>
  <si>
    <t>x</t>
    <phoneticPr fontId="1" type="noConversion"/>
  </si>
  <si>
    <t>1.5~2.3</t>
    <phoneticPr fontId="1" type="noConversion"/>
  </si>
  <si>
    <t>6.1~6.5</t>
    <phoneticPr fontId="1" type="noConversion"/>
  </si>
  <si>
    <t>14.9~19.8</t>
    <phoneticPr fontId="1" type="noConversion"/>
  </si>
  <si>
    <t>x</t>
    <phoneticPr fontId="1" type="noConversion"/>
  </si>
  <si>
    <t>3.3~4.1</t>
    <phoneticPr fontId="1" type="noConversion"/>
  </si>
  <si>
    <t>A</t>
    <phoneticPr fontId="1" type="noConversion"/>
  </si>
  <si>
    <t>1236</t>
    <phoneticPr fontId="1" type="noConversion"/>
  </si>
  <si>
    <t>x</t>
    <phoneticPr fontId="1" type="noConversion"/>
  </si>
  <si>
    <t>3~11</t>
    <phoneticPr fontId="1" type="noConversion"/>
  </si>
  <si>
    <t>8~10</t>
    <phoneticPr fontId="1" type="noConversion"/>
  </si>
  <si>
    <t>13.2~32.7</t>
    <phoneticPr fontId="1" type="noConversion"/>
  </si>
  <si>
    <t>x</t>
    <phoneticPr fontId="1" type="noConversion"/>
  </si>
  <si>
    <t>1.7~2.9</t>
    <phoneticPr fontId="1" type="noConversion"/>
  </si>
  <si>
    <t>x</t>
    <phoneticPr fontId="1" type="noConversion"/>
  </si>
  <si>
    <t>0.33~0.33</t>
    <phoneticPr fontId="1" type="noConversion"/>
  </si>
  <si>
    <t>3.1~4.4</t>
    <phoneticPr fontId="1" type="noConversion"/>
  </si>
  <si>
    <t>1245</t>
    <phoneticPr fontId="1" type="noConversion"/>
  </si>
  <si>
    <t>5.5~8.4</t>
    <phoneticPr fontId="1" type="noConversion"/>
  </si>
  <si>
    <t>2.4~2.8</t>
    <phoneticPr fontId="1" type="noConversion"/>
  </si>
  <si>
    <t>18.3~21.9</t>
    <phoneticPr fontId="1" type="noConversion"/>
  </si>
  <si>
    <t>1246</t>
    <phoneticPr fontId="1" type="noConversion"/>
  </si>
  <si>
    <t>x</t>
    <phoneticPr fontId="1" type="noConversion"/>
  </si>
  <si>
    <t>0.34~0.41</t>
    <phoneticPr fontId="1" type="noConversion"/>
  </si>
  <si>
    <t>0.46~0.47</t>
    <phoneticPr fontId="1" type="noConversion"/>
  </si>
  <si>
    <t>3.1~3.9</t>
    <phoneticPr fontId="1" type="noConversion"/>
  </si>
  <si>
    <t>1253</t>
    <phoneticPr fontId="1" type="noConversion"/>
  </si>
  <si>
    <t>x</t>
    <phoneticPr fontId="1" type="noConversion"/>
  </si>
  <si>
    <t>A</t>
    <phoneticPr fontId="1" type="noConversion"/>
  </si>
  <si>
    <t>A2</t>
    <phoneticPr fontId="1" type="noConversion"/>
  </si>
  <si>
    <t>3~12</t>
    <phoneticPr fontId="1" type="noConversion"/>
  </si>
  <si>
    <t>1~3</t>
    <phoneticPr fontId="1" type="noConversion"/>
  </si>
  <si>
    <t>1254</t>
    <phoneticPr fontId="1" type="noConversion"/>
  </si>
  <si>
    <t>19.8~24.4</t>
    <phoneticPr fontId="1" type="noConversion"/>
  </si>
  <si>
    <t>5~9</t>
    <phoneticPr fontId="1" type="noConversion"/>
  </si>
  <si>
    <t>14.4~18.5</t>
    <phoneticPr fontId="1" type="noConversion"/>
  </si>
  <si>
    <t>x</t>
    <phoneticPr fontId="1" type="noConversion"/>
  </si>
  <si>
    <t>2~3</t>
    <phoneticPr fontId="1" type="noConversion"/>
  </si>
  <si>
    <t>x</t>
    <phoneticPr fontId="1" type="noConversion"/>
  </si>
  <si>
    <t>0.27~0.35</t>
    <phoneticPr fontId="1" type="noConversion"/>
  </si>
  <si>
    <t>0.38~0.45</t>
    <phoneticPr fontId="1" type="noConversion"/>
  </si>
  <si>
    <t>7~11,1~1</t>
    <phoneticPr fontId="1" type="noConversion"/>
  </si>
  <si>
    <t>5.3~8.7,1.3~2.5</t>
    <phoneticPr fontId="1" type="noConversion"/>
  </si>
  <si>
    <t>1264</t>
    <phoneticPr fontId="1" type="noConversion"/>
  </si>
  <si>
    <t>21.5~29.5</t>
    <phoneticPr fontId="1" type="noConversion"/>
  </si>
  <si>
    <t>12~13</t>
    <phoneticPr fontId="1" type="noConversion"/>
  </si>
  <si>
    <t>1.9~2.6</t>
    <phoneticPr fontId="1" type="noConversion"/>
  </si>
  <si>
    <t>13.4~16.0</t>
    <phoneticPr fontId="1" type="noConversion"/>
  </si>
  <si>
    <t>2~4</t>
    <phoneticPr fontId="1" type="noConversion"/>
  </si>
  <si>
    <t>1324</t>
    <phoneticPr fontId="1" type="noConversion"/>
  </si>
  <si>
    <t>24.5~30.2</t>
    <phoneticPr fontId="1" type="noConversion"/>
  </si>
  <si>
    <t>0.34~0.39</t>
    <phoneticPr fontId="1" type="noConversion"/>
  </si>
  <si>
    <t>1.1~1.3</t>
    <phoneticPr fontId="1" type="noConversion"/>
  </si>
  <si>
    <t>6~11</t>
    <phoneticPr fontId="1" type="noConversion"/>
  </si>
  <si>
    <t>x</t>
    <phoneticPr fontId="1" type="noConversion"/>
  </si>
  <si>
    <t>0.3~0.34</t>
    <phoneticPr fontId="1" type="noConversion"/>
  </si>
  <si>
    <t>0.47~0.47</t>
    <phoneticPr fontId="1" type="noConversion"/>
  </si>
  <si>
    <t>19.8~40.4</t>
    <phoneticPr fontId="1" type="noConversion"/>
  </si>
  <si>
    <t>6.3~13.0</t>
    <phoneticPr fontId="1" type="noConversion"/>
  </si>
  <si>
    <t>11~14</t>
    <phoneticPr fontId="1" type="noConversion"/>
  </si>
  <si>
    <t>1.4~1.5</t>
    <phoneticPr fontId="1" type="noConversion"/>
  </si>
  <si>
    <t>A</t>
    <phoneticPr fontId="1" type="noConversion"/>
  </si>
  <si>
    <t>10~14</t>
    <phoneticPr fontId="1" type="noConversion"/>
  </si>
  <si>
    <t>1345</t>
    <phoneticPr fontId="1" type="noConversion"/>
  </si>
  <si>
    <t>A1</t>
    <phoneticPr fontId="1" type="noConversion"/>
  </si>
  <si>
    <t>0.42~0.43</t>
    <phoneticPr fontId="1" type="noConversion"/>
  </si>
  <si>
    <t>B</t>
    <phoneticPr fontId="1" type="noConversion"/>
  </si>
  <si>
    <t>A</t>
    <phoneticPr fontId="1" type="noConversion"/>
  </si>
  <si>
    <t>5.6~7.7</t>
    <phoneticPr fontId="1" type="noConversion"/>
  </si>
  <si>
    <t>B2</t>
    <phoneticPr fontId="1" type="noConversion"/>
  </si>
  <si>
    <t>1~5</t>
    <phoneticPr fontId="1" type="noConversion"/>
  </si>
  <si>
    <t>5.4~8.3</t>
    <phoneticPr fontId="1" type="noConversion"/>
  </si>
  <si>
    <t>1346</t>
    <phoneticPr fontId="1" type="noConversion"/>
  </si>
  <si>
    <t>1346</t>
    <phoneticPr fontId="1" type="noConversion"/>
  </si>
  <si>
    <t>B1</t>
    <phoneticPr fontId="1" type="noConversion"/>
  </si>
  <si>
    <t>0.41~0.49</t>
    <phoneticPr fontId="1" type="noConversion"/>
  </si>
  <si>
    <t>1352</t>
    <phoneticPr fontId="1" type="noConversion"/>
  </si>
  <si>
    <t>A1</t>
    <phoneticPr fontId="1" type="noConversion"/>
  </si>
  <si>
    <t>5.3~8.0</t>
    <phoneticPr fontId="1" type="noConversion"/>
  </si>
  <si>
    <t>25.9~57.8</t>
    <phoneticPr fontId="1" type="noConversion"/>
  </si>
  <si>
    <t>1354</t>
    <phoneticPr fontId="1" type="noConversion"/>
  </si>
  <si>
    <t>0.43~0.44</t>
    <phoneticPr fontId="1" type="noConversion"/>
  </si>
  <si>
    <t>3~4</t>
    <phoneticPr fontId="1" type="noConversion"/>
  </si>
  <si>
    <t>A</t>
    <phoneticPr fontId="1" type="noConversion"/>
  </si>
  <si>
    <t>0.41~0.46</t>
    <phoneticPr fontId="1" type="noConversion"/>
  </si>
  <si>
    <t>0.48~0.49</t>
    <phoneticPr fontId="1" type="noConversion"/>
  </si>
  <si>
    <t>B1</t>
    <phoneticPr fontId="1" type="noConversion"/>
  </si>
  <si>
    <t>0.39~0.48</t>
    <phoneticPr fontId="1" type="noConversion"/>
  </si>
  <si>
    <t>1362</t>
    <phoneticPr fontId="1" type="noConversion"/>
  </si>
  <si>
    <t>x</t>
    <phoneticPr fontId="1" type="noConversion"/>
  </si>
  <si>
    <t>3.7~4.9</t>
    <phoneticPr fontId="1" type="noConversion"/>
  </si>
  <si>
    <t>0.41~0.44,0.35~0.37</t>
    <phoneticPr fontId="1" type="noConversion"/>
  </si>
  <si>
    <t>1364</t>
    <phoneticPr fontId="1" type="noConversion"/>
  </si>
  <si>
    <t>A1</t>
    <phoneticPr fontId="1" type="noConversion"/>
  </si>
  <si>
    <t>5~9</t>
    <phoneticPr fontId="1" type="noConversion"/>
  </si>
  <si>
    <t>0.45~0.47</t>
    <phoneticPr fontId="1" type="noConversion"/>
  </si>
  <si>
    <t>1365</t>
    <phoneticPr fontId="1" type="noConversion"/>
  </si>
  <si>
    <t>10.5~13.5</t>
    <phoneticPr fontId="1" type="noConversion"/>
  </si>
  <si>
    <t>5~5</t>
    <phoneticPr fontId="1" type="noConversion"/>
  </si>
  <si>
    <t>0.39~0.42</t>
    <phoneticPr fontId="1" type="noConversion"/>
  </si>
  <si>
    <t>1423</t>
    <phoneticPr fontId="1" type="noConversion"/>
  </si>
  <si>
    <t>0.49~0.49</t>
    <phoneticPr fontId="1" type="noConversion"/>
  </si>
  <si>
    <t>7~8</t>
    <phoneticPr fontId="1" type="noConversion"/>
  </si>
  <si>
    <t>1425</t>
    <phoneticPr fontId="1" type="noConversion"/>
  </si>
  <si>
    <t>6~9</t>
    <phoneticPr fontId="1" type="noConversion"/>
  </si>
  <si>
    <t>26.3~50.1</t>
    <phoneticPr fontId="1" type="noConversion"/>
  </si>
  <si>
    <t>1426</t>
    <phoneticPr fontId="1" type="noConversion"/>
  </si>
  <si>
    <t>1.9~2.3</t>
    <phoneticPr fontId="1" type="noConversion"/>
  </si>
  <si>
    <t>7~12</t>
    <phoneticPr fontId="1" type="noConversion"/>
  </si>
  <si>
    <t>B1</t>
    <phoneticPr fontId="1" type="noConversion"/>
  </si>
  <si>
    <t>11~17</t>
    <phoneticPr fontId="1" type="noConversion"/>
  </si>
  <si>
    <t>1432</t>
    <phoneticPr fontId="1" type="noConversion"/>
  </si>
  <si>
    <t>5.8~7.9</t>
    <phoneticPr fontId="1" type="noConversion"/>
  </si>
  <si>
    <t>1435</t>
    <phoneticPr fontId="1" type="noConversion"/>
  </si>
  <si>
    <t>x</t>
    <phoneticPr fontId="1" type="noConversion"/>
  </si>
  <si>
    <t>0.36~0.4</t>
    <phoneticPr fontId="1" type="noConversion"/>
  </si>
  <si>
    <t>1436</t>
    <phoneticPr fontId="1" type="noConversion"/>
  </si>
  <si>
    <t>10~13</t>
    <phoneticPr fontId="1" type="noConversion"/>
  </si>
  <si>
    <t>B</t>
    <phoneticPr fontId="1" type="noConversion"/>
  </si>
  <si>
    <t>4~4</t>
    <phoneticPr fontId="1" type="noConversion"/>
  </si>
  <si>
    <t>32.3~56.2</t>
    <phoneticPr fontId="1" type="noConversion"/>
  </si>
  <si>
    <t>1452</t>
    <phoneticPr fontId="1" type="noConversion"/>
  </si>
  <si>
    <t>4~7</t>
    <phoneticPr fontId="1" type="noConversion"/>
  </si>
  <si>
    <t>B</t>
    <phoneticPr fontId="1" type="noConversion"/>
  </si>
  <si>
    <t>1453</t>
    <phoneticPr fontId="1" type="noConversion"/>
  </si>
  <si>
    <t>14.5~16.7</t>
    <phoneticPr fontId="1" type="noConversion"/>
  </si>
  <si>
    <t>1456</t>
    <phoneticPr fontId="1" type="noConversion"/>
  </si>
  <si>
    <t>0.44~0.44</t>
    <phoneticPr fontId="1" type="noConversion"/>
  </si>
  <si>
    <t>0.4~0.7</t>
    <phoneticPr fontId="1" type="noConversion"/>
  </si>
  <si>
    <t>1462</t>
    <phoneticPr fontId="1" type="noConversion"/>
  </si>
  <si>
    <t>0.8~1.0</t>
    <phoneticPr fontId="1" type="noConversion"/>
  </si>
  <si>
    <t>A2</t>
    <phoneticPr fontId="1" type="noConversion"/>
  </si>
  <si>
    <t>2~3.4</t>
    <phoneticPr fontId="1" type="noConversion"/>
  </si>
  <si>
    <t>B1</t>
    <phoneticPr fontId="1" type="noConversion"/>
  </si>
  <si>
    <t>4.9~6.2</t>
    <phoneticPr fontId="1" type="noConversion"/>
  </si>
  <si>
    <t>1.8~3.1</t>
    <phoneticPr fontId="1" type="noConversion"/>
  </si>
  <si>
    <t>0.47~0.48</t>
    <phoneticPr fontId="1" type="noConversion"/>
  </si>
  <si>
    <t>B1</t>
    <phoneticPr fontId="1" type="noConversion"/>
  </si>
  <si>
    <t>5.8~6.8</t>
    <phoneticPr fontId="1" type="noConversion"/>
  </si>
  <si>
    <t>1465</t>
    <phoneticPr fontId="1" type="noConversion"/>
  </si>
  <si>
    <t>9.1~14.7</t>
    <phoneticPr fontId="1" type="noConversion"/>
  </si>
  <si>
    <t>1523</t>
    <phoneticPr fontId="1" type="noConversion"/>
  </si>
  <si>
    <t>B1</t>
    <phoneticPr fontId="1" type="noConversion"/>
  </si>
  <si>
    <t>0.44~0.46</t>
    <phoneticPr fontId="1" type="noConversion"/>
  </si>
  <si>
    <t>1524</t>
    <phoneticPr fontId="1" type="noConversion"/>
  </si>
  <si>
    <t>2~3.9</t>
    <phoneticPr fontId="1" type="noConversion"/>
  </si>
  <si>
    <t>A2</t>
    <phoneticPr fontId="1" type="noConversion"/>
  </si>
  <si>
    <t>4.9~6.6</t>
    <phoneticPr fontId="1" type="noConversion"/>
  </si>
  <si>
    <t>8~10</t>
    <phoneticPr fontId="1" type="noConversion"/>
  </si>
  <si>
    <t>1526</t>
    <phoneticPr fontId="1" type="noConversion"/>
  </si>
  <si>
    <t>0.43~0.47</t>
    <phoneticPr fontId="1" type="noConversion"/>
  </si>
  <si>
    <t>x</t>
    <phoneticPr fontId="1" type="noConversion"/>
  </si>
  <si>
    <t>1.1~1.7</t>
    <phoneticPr fontId="1" type="noConversion"/>
  </si>
  <si>
    <t>0.43~0.45</t>
    <phoneticPr fontId="1" type="noConversion"/>
  </si>
  <si>
    <t>1532</t>
    <phoneticPr fontId="1" type="noConversion"/>
  </si>
  <si>
    <t>3~5</t>
    <phoneticPr fontId="1" type="noConversion"/>
  </si>
  <si>
    <t>0.38~0.42</t>
    <phoneticPr fontId="1" type="noConversion"/>
  </si>
  <si>
    <t>x</t>
    <phoneticPr fontId="1" type="noConversion"/>
  </si>
  <si>
    <t>1536</t>
    <phoneticPr fontId="1" type="noConversion"/>
  </si>
  <si>
    <t>0.44~0.48</t>
    <phoneticPr fontId="1" type="noConversion"/>
  </si>
  <si>
    <t>0.39~0.41</t>
    <phoneticPr fontId="1" type="noConversion"/>
  </si>
  <si>
    <t>1542</t>
    <phoneticPr fontId="1" type="noConversion"/>
  </si>
  <si>
    <t>x</t>
    <phoneticPr fontId="1" type="noConversion"/>
  </si>
  <si>
    <t>0.7~1.1</t>
    <phoneticPr fontId="1" type="noConversion"/>
  </si>
  <si>
    <t>0.4~0.42</t>
    <phoneticPr fontId="1" type="noConversion"/>
  </si>
  <si>
    <t>4.1~5.2</t>
    <phoneticPr fontId="1" type="noConversion"/>
  </si>
  <si>
    <t>1543</t>
    <phoneticPr fontId="1" type="noConversion"/>
  </si>
  <si>
    <t>2.4~3.4</t>
    <phoneticPr fontId="1" type="noConversion"/>
  </si>
  <si>
    <t>3.6~10.3</t>
    <phoneticPr fontId="1" type="noConversion"/>
  </si>
  <si>
    <t>6.8~8.8</t>
    <phoneticPr fontId="1" type="noConversion"/>
  </si>
  <si>
    <t>1562</t>
    <phoneticPr fontId="1" type="noConversion"/>
  </si>
  <si>
    <t>6.2~10</t>
    <phoneticPr fontId="1" type="noConversion"/>
  </si>
  <si>
    <t>2.2~4.1</t>
    <phoneticPr fontId="1" type="noConversion"/>
  </si>
  <si>
    <t>1563</t>
    <phoneticPr fontId="1" type="noConversion"/>
  </si>
  <si>
    <t>0.37~0.47</t>
    <phoneticPr fontId="1" type="noConversion"/>
  </si>
  <si>
    <t>1~1</t>
    <phoneticPr fontId="1" type="noConversion"/>
  </si>
  <si>
    <t>1564</t>
    <phoneticPr fontId="1" type="noConversion"/>
  </si>
  <si>
    <t>0.2~0.5</t>
    <phoneticPr fontId="1" type="noConversion"/>
  </si>
  <si>
    <t>1623</t>
    <phoneticPr fontId="1" type="noConversion"/>
  </si>
  <si>
    <t>0.36~0.39</t>
    <phoneticPr fontId="1" type="noConversion"/>
  </si>
  <si>
    <t>10~17</t>
    <phoneticPr fontId="1" type="noConversion"/>
  </si>
  <si>
    <t>12~18</t>
    <phoneticPr fontId="1" type="noConversion"/>
  </si>
  <si>
    <t>1.4~3.4</t>
    <phoneticPr fontId="1" type="noConversion"/>
  </si>
  <si>
    <t>5~17</t>
    <phoneticPr fontId="1" type="noConversion"/>
  </si>
  <si>
    <t>B1</t>
    <phoneticPr fontId="1" type="noConversion"/>
  </si>
  <si>
    <t>6~20</t>
    <phoneticPr fontId="1" type="noConversion"/>
  </si>
  <si>
    <t>1632</t>
    <phoneticPr fontId="1" type="noConversion"/>
  </si>
  <si>
    <t>A1</t>
    <phoneticPr fontId="1" type="noConversion"/>
  </si>
  <si>
    <t>0.9~5.5</t>
    <phoneticPr fontId="1" type="noConversion"/>
  </si>
  <si>
    <t>3.5~9.1</t>
    <phoneticPr fontId="1" type="noConversion"/>
  </si>
  <si>
    <t>1634</t>
    <phoneticPr fontId="1" type="noConversion"/>
  </si>
  <si>
    <t>0.42~0.44</t>
    <phoneticPr fontId="1" type="noConversion"/>
  </si>
  <si>
    <t>A2</t>
    <phoneticPr fontId="1" type="noConversion"/>
  </si>
  <si>
    <t>1~5.4</t>
    <phoneticPr fontId="1" type="noConversion"/>
  </si>
  <si>
    <t>B1</t>
    <phoneticPr fontId="1" type="noConversion"/>
  </si>
  <si>
    <t>x</t>
    <phoneticPr fontId="1" type="noConversion"/>
  </si>
  <si>
    <t>0.9~1.6</t>
    <phoneticPr fontId="1" type="noConversion"/>
  </si>
  <si>
    <t>1635</t>
    <phoneticPr fontId="1" type="noConversion"/>
  </si>
  <si>
    <t>A2</t>
    <phoneticPr fontId="1" type="noConversion"/>
  </si>
  <si>
    <t>7.9~18.3</t>
    <phoneticPr fontId="1" type="noConversion"/>
  </si>
  <si>
    <t>1642</t>
    <phoneticPr fontId="1" type="noConversion"/>
  </si>
  <si>
    <t>2.1~7.9</t>
    <phoneticPr fontId="1" type="noConversion"/>
  </si>
  <si>
    <t>14.1~20.9</t>
    <phoneticPr fontId="1" type="noConversion"/>
  </si>
  <si>
    <t>2.2~7.4</t>
    <phoneticPr fontId="1" type="noConversion"/>
  </si>
  <si>
    <t>1643</t>
    <phoneticPr fontId="1" type="noConversion"/>
  </si>
  <si>
    <t>A1</t>
    <phoneticPr fontId="1" type="noConversion"/>
  </si>
  <si>
    <t>23.2~41.2</t>
    <phoneticPr fontId="1" type="noConversion"/>
  </si>
  <si>
    <t>0.43~0.47</t>
    <phoneticPr fontId="1" type="noConversion"/>
  </si>
  <si>
    <t>0.35~0.38</t>
    <phoneticPr fontId="1" type="noConversion"/>
  </si>
  <si>
    <t>1645</t>
    <phoneticPr fontId="1" type="noConversion"/>
  </si>
  <si>
    <t>0.2~1.7</t>
    <phoneticPr fontId="1" type="noConversion"/>
  </si>
  <si>
    <t>1652</t>
    <phoneticPr fontId="1" type="noConversion"/>
  </si>
  <si>
    <t>0.39~0.48</t>
    <phoneticPr fontId="1" type="noConversion"/>
  </si>
  <si>
    <t>0.45~0.49</t>
    <phoneticPr fontId="1" type="noConversion"/>
  </si>
  <si>
    <t>17.4~47.0</t>
    <phoneticPr fontId="1" type="noConversion"/>
  </si>
  <si>
    <t>x</t>
    <phoneticPr fontId="1" type="noConversion"/>
  </si>
  <si>
    <t>2135</t>
    <phoneticPr fontId="1" type="noConversion"/>
  </si>
  <si>
    <t>2.2~4.0</t>
    <phoneticPr fontId="1" type="noConversion"/>
  </si>
  <si>
    <t>B1</t>
    <phoneticPr fontId="1" type="noConversion"/>
  </si>
  <si>
    <t>x</t>
    <phoneticPr fontId="1" type="noConversion"/>
  </si>
  <si>
    <t>0.28~0.35</t>
    <phoneticPr fontId="1" type="noConversion"/>
  </si>
  <si>
    <t>2136</t>
    <phoneticPr fontId="1" type="noConversion"/>
  </si>
  <si>
    <t>3~6</t>
    <phoneticPr fontId="1" type="noConversion"/>
  </si>
  <si>
    <t>B1</t>
    <phoneticPr fontId="1" type="noConversion"/>
  </si>
  <si>
    <t>x</t>
    <phoneticPr fontId="1" type="noConversion"/>
  </si>
  <si>
    <t>3.9~7.4</t>
    <phoneticPr fontId="1" type="noConversion"/>
  </si>
  <si>
    <t>2143</t>
    <phoneticPr fontId="1" type="noConversion"/>
  </si>
  <si>
    <t>4~7</t>
    <phoneticPr fontId="1" type="noConversion"/>
  </si>
  <si>
    <t>5~6</t>
    <phoneticPr fontId="1" type="noConversion"/>
  </si>
  <si>
    <t>A</t>
    <phoneticPr fontId="1" type="noConversion"/>
  </si>
  <si>
    <t>1.8~3.9</t>
    <phoneticPr fontId="1" type="noConversion"/>
  </si>
  <si>
    <t>2153</t>
    <phoneticPr fontId="1" type="noConversion"/>
  </si>
  <si>
    <t>3.1~4.6</t>
    <phoneticPr fontId="1" type="noConversion"/>
  </si>
  <si>
    <t>4.7~10.7</t>
    <phoneticPr fontId="1" type="noConversion"/>
  </si>
  <si>
    <t>2163</t>
    <phoneticPr fontId="1" type="noConversion"/>
  </si>
  <si>
    <t>5.8~10.7</t>
    <phoneticPr fontId="1" type="noConversion"/>
  </si>
  <si>
    <t>24.1~43.2</t>
    <phoneticPr fontId="1" type="noConversion"/>
  </si>
  <si>
    <t>2165</t>
    <phoneticPr fontId="1" type="noConversion"/>
  </si>
  <si>
    <t>0.38~0.4</t>
    <phoneticPr fontId="1" type="noConversion"/>
  </si>
  <si>
    <t>B</t>
    <phoneticPr fontId="1" type="noConversion"/>
  </si>
  <si>
    <t>2314</t>
    <phoneticPr fontId="1" type="noConversion"/>
  </si>
  <si>
    <t>18.4~21.9</t>
    <phoneticPr fontId="1" type="noConversion"/>
  </si>
  <si>
    <t>2315</t>
    <phoneticPr fontId="1" type="noConversion"/>
  </si>
  <si>
    <t>2~2</t>
    <phoneticPr fontId="1" type="noConversion"/>
  </si>
  <si>
    <t>2316</t>
    <phoneticPr fontId="1" type="noConversion"/>
  </si>
  <si>
    <t>1.0~2.2</t>
    <phoneticPr fontId="1" type="noConversion"/>
  </si>
  <si>
    <t>B2</t>
    <phoneticPr fontId="1" type="noConversion"/>
  </si>
  <si>
    <t>x</t>
    <phoneticPr fontId="1" type="noConversion"/>
  </si>
  <si>
    <t>1~4</t>
    <phoneticPr fontId="1" type="noConversion"/>
  </si>
  <si>
    <t>2341</t>
    <phoneticPr fontId="1" type="noConversion"/>
  </si>
  <si>
    <t>2.3~6.7</t>
    <phoneticPr fontId="1" type="noConversion"/>
  </si>
  <si>
    <t>2361</t>
    <phoneticPr fontId="1" type="noConversion"/>
  </si>
  <si>
    <t>0.39~0.4</t>
    <phoneticPr fontId="1" type="noConversion"/>
  </si>
  <si>
    <t>2413</t>
    <phoneticPr fontId="1" type="noConversion"/>
  </si>
  <si>
    <t>22.7~28.5</t>
    <phoneticPr fontId="1" type="noConversion"/>
  </si>
  <si>
    <t>2416</t>
    <phoneticPr fontId="1" type="noConversion"/>
  </si>
  <si>
    <t>0.3~0.35</t>
    <phoneticPr fontId="1" type="noConversion"/>
  </si>
  <si>
    <t>2461</t>
    <phoneticPr fontId="1" type="noConversion"/>
  </si>
  <si>
    <t>12~14</t>
    <phoneticPr fontId="1" type="noConversion"/>
  </si>
  <si>
    <t>16.1~27.6</t>
    <phoneticPr fontId="1" type="noConversion"/>
  </si>
  <si>
    <t>2531</t>
    <phoneticPr fontId="1" type="noConversion"/>
  </si>
  <si>
    <t>0.7~1.8</t>
    <phoneticPr fontId="1" type="noConversion"/>
  </si>
  <si>
    <t>2536</t>
    <phoneticPr fontId="1" type="noConversion"/>
  </si>
  <si>
    <t>1~3</t>
    <phoneticPr fontId="1" type="noConversion"/>
  </si>
  <si>
    <t>2614</t>
    <phoneticPr fontId="1" type="noConversion"/>
  </si>
  <si>
    <t>x</t>
    <phoneticPr fontId="1" type="noConversion"/>
  </si>
  <si>
    <t>3~4.9</t>
    <phoneticPr fontId="1" type="noConversion"/>
  </si>
  <si>
    <t>3126</t>
    <phoneticPr fontId="1" type="noConversion"/>
  </si>
  <si>
    <t>2.5~4.2</t>
    <phoneticPr fontId="1" type="noConversion"/>
  </si>
  <si>
    <t>3142</t>
    <phoneticPr fontId="1" type="noConversion"/>
  </si>
  <si>
    <t>A2</t>
    <phoneticPr fontId="1" type="noConversion"/>
  </si>
  <si>
    <t>4.5~11.6</t>
    <phoneticPr fontId="1" type="noConversion"/>
  </si>
  <si>
    <t>B1</t>
    <phoneticPr fontId="1" type="noConversion"/>
  </si>
  <si>
    <t>13~16</t>
    <phoneticPr fontId="1" type="noConversion"/>
  </si>
  <si>
    <t>3145</t>
    <phoneticPr fontId="1" type="noConversion"/>
  </si>
  <si>
    <t>2~10</t>
    <phoneticPr fontId="1" type="noConversion"/>
  </si>
  <si>
    <t>1.9~3.4</t>
    <phoneticPr fontId="1" type="noConversion"/>
  </si>
  <si>
    <t>A2</t>
    <phoneticPr fontId="1" type="noConversion"/>
  </si>
  <si>
    <t>1.2~3.0</t>
    <phoneticPr fontId="1" type="noConversion"/>
  </si>
  <si>
    <t>0.3~0.6</t>
    <phoneticPr fontId="1" type="noConversion"/>
  </si>
  <si>
    <t>3156</t>
    <phoneticPr fontId="1" type="noConversion"/>
  </si>
  <si>
    <t>13.9~18.8</t>
    <phoneticPr fontId="1" type="noConversion"/>
  </si>
  <si>
    <t>A</t>
    <phoneticPr fontId="1" type="noConversion"/>
  </si>
  <si>
    <t>3164</t>
    <phoneticPr fontId="1" type="noConversion"/>
  </si>
  <si>
    <t>4~15</t>
    <phoneticPr fontId="1" type="noConversion"/>
  </si>
  <si>
    <t>3214</t>
    <phoneticPr fontId="1" type="noConversion"/>
  </si>
  <si>
    <t>8.2~9.2</t>
    <phoneticPr fontId="1" type="noConversion"/>
  </si>
  <si>
    <t>3215</t>
    <phoneticPr fontId="1" type="noConversion"/>
  </si>
  <si>
    <t>0.34~0.38</t>
    <phoneticPr fontId="1" type="noConversion"/>
  </si>
  <si>
    <t>3216</t>
    <phoneticPr fontId="1" type="noConversion"/>
  </si>
  <si>
    <t>1.5~2.1</t>
    <phoneticPr fontId="1" type="noConversion"/>
  </si>
  <si>
    <t>3241</t>
    <phoneticPr fontId="1" type="noConversion"/>
  </si>
  <si>
    <t>0.41~0.44</t>
    <phoneticPr fontId="1" type="noConversion"/>
  </si>
  <si>
    <t>3246</t>
    <phoneticPr fontId="1" type="noConversion"/>
  </si>
  <si>
    <t>3.5~6.8</t>
    <phoneticPr fontId="1" type="noConversion"/>
  </si>
  <si>
    <t>3251</t>
    <phoneticPr fontId="1" type="noConversion"/>
  </si>
  <si>
    <t>0.38~0.41</t>
    <phoneticPr fontId="1" type="noConversion"/>
  </si>
  <si>
    <t>1.3~5.3</t>
    <phoneticPr fontId="1" type="noConversion"/>
  </si>
  <si>
    <t>3415</t>
    <phoneticPr fontId="1" type="noConversion"/>
  </si>
  <si>
    <t>2~4</t>
    <phoneticPr fontId="1" type="noConversion"/>
  </si>
  <si>
    <t>A</t>
    <phoneticPr fontId="1" type="noConversion"/>
  </si>
  <si>
    <t>3421</t>
    <phoneticPr fontId="1" type="noConversion"/>
  </si>
  <si>
    <t>0.32~0.39</t>
    <phoneticPr fontId="1" type="noConversion"/>
  </si>
  <si>
    <t>3612</t>
    <phoneticPr fontId="1" type="noConversion"/>
  </si>
  <si>
    <t>x</t>
    <phoneticPr fontId="1" type="noConversion"/>
  </si>
  <si>
    <t>21.1~27.1</t>
    <phoneticPr fontId="1" type="noConversion"/>
  </si>
  <si>
    <t>A</t>
    <phoneticPr fontId="1" type="noConversion"/>
  </si>
  <si>
    <t>4123</t>
    <phoneticPr fontId="1" type="noConversion"/>
  </si>
  <si>
    <t>0.8~3.4</t>
    <phoneticPr fontId="1" type="noConversion"/>
  </si>
  <si>
    <t>x</t>
    <phoneticPr fontId="1" type="noConversion"/>
  </si>
  <si>
    <t>0.39~0.39</t>
    <phoneticPr fontId="1" type="noConversion"/>
  </si>
  <si>
    <t>4135</t>
    <phoneticPr fontId="1" type="noConversion"/>
  </si>
  <si>
    <t>0.39~0.43</t>
    <phoneticPr fontId="1" type="noConversion"/>
  </si>
  <si>
    <t>4136</t>
    <phoneticPr fontId="1" type="noConversion"/>
  </si>
  <si>
    <t>24.5~35.2</t>
    <phoneticPr fontId="1" type="noConversion"/>
  </si>
  <si>
    <t>4162</t>
    <phoneticPr fontId="1" type="noConversion"/>
  </si>
  <si>
    <t>4163</t>
    <phoneticPr fontId="1" type="noConversion"/>
  </si>
  <si>
    <t>0.37~0.4</t>
    <phoneticPr fontId="1" type="noConversion"/>
  </si>
  <si>
    <t>4215</t>
    <phoneticPr fontId="1" type="noConversion"/>
  </si>
  <si>
    <t>4~8</t>
    <phoneticPr fontId="1" type="noConversion"/>
  </si>
  <si>
    <t>4216</t>
    <phoneticPr fontId="1" type="noConversion"/>
  </si>
  <si>
    <t>0.36~0.37</t>
    <phoneticPr fontId="1" type="noConversion"/>
  </si>
  <si>
    <t>4251</t>
    <phoneticPr fontId="1" type="noConversion"/>
  </si>
  <si>
    <t>14.4~35.5</t>
    <phoneticPr fontId="1" type="noConversion"/>
  </si>
  <si>
    <t>4521</t>
    <phoneticPr fontId="1" type="noConversion"/>
  </si>
  <si>
    <t>x</t>
    <phoneticPr fontId="1" type="noConversion"/>
  </si>
  <si>
    <t>1~1</t>
    <phoneticPr fontId="1" type="noConversion"/>
  </si>
  <si>
    <t>5132</t>
    <phoneticPr fontId="1" type="noConversion"/>
  </si>
  <si>
    <t>24.6~48.2</t>
    <phoneticPr fontId="1" type="noConversion"/>
  </si>
  <si>
    <t>5134</t>
    <phoneticPr fontId="1" type="noConversion"/>
  </si>
  <si>
    <t>0.2~1.3</t>
    <phoneticPr fontId="1" type="noConversion"/>
  </si>
  <si>
    <t>5162</t>
    <phoneticPr fontId="1" type="noConversion"/>
  </si>
  <si>
    <t>0.3~0.9</t>
    <phoneticPr fontId="1" type="noConversion"/>
  </si>
  <si>
    <t>5213</t>
    <phoneticPr fontId="1" type="noConversion"/>
  </si>
  <si>
    <t>x</t>
    <phoneticPr fontId="1" type="noConversion"/>
  </si>
  <si>
    <t>4~5</t>
    <phoneticPr fontId="1" type="noConversion"/>
  </si>
  <si>
    <t>5216</t>
    <phoneticPr fontId="1" type="noConversion"/>
  </si>
  <si>
    <t>17.1~40.5</t>
    <phoneticPr fontId="1" type="noConversion"/>
  </si>
  <si>
    <t>5231</t>
    <phoneticPr fontId="1" type="noConversion"/>
  </si>
  <si>
    <t>1.2~4.3</t>
    <phoneticPr fontId="1" type="noConversion"/>
  </si>
  <si>
    <t>3N</t>
    <phoneticPr fontId="1" type="noConversion"/>
  </si>
  <si>
    <t>123</t>
    <phoneticPr fontId="1" type="noConversion"/>
  </si>
  <si>
    <t>x</t>
    <phoneticPr fontId="1" type="noConversion"/>
  </si>
  <si>
    <t>14.2~24.2</t>
    <phoneticPr fontId="1" type="noConversion"/>
  </si>
  <si>
    <t>x</t>
    <phoneticPr fontId="1" type="noConversion"/>
  </si>
  <si>
    <t>6.1~8.0</t>
    <phoneticPr fontId="1" type="noConversion"/>
  </si>
  <si>
    <t>1234</t>
    <phoneticPr fontId="1" type="noConversion"/>
  </si>
  <si>
    <t>1.3~1.5</t>
    <phoneticPr fontId="1" type="noConversion"/>
  </si>
  <si>
    <t>1.1~2.7</t>
    <phoneticPr fontId="1" type="noConversion"/>
  </si>
  <si>
    <t>x</t>
    <phoneticPr fontId="1" type="noConversion"/>
  </si>
  <si>
    <t>2.0~9.6</t>
    <phoneticPr fontId="1" type="noConversion"/>
  </si>
  <si>
    <t>1236</t>
    <phoneticPr fontId="1" type="noConversion"/>
  </si>
  <si>
    <t>7.1~21.0</t>
    <phoneticPr fontId="1" type="noConversion"/>
  </si>
  <si>
    <t>1243</t>
    <phoneticPr fontId="1" type="noConversion"/>
  </si>
  <si>
    <t>9~15</t>
    <phoneticPr fontId="1" type="noConversion"/>
  </si>
  <si>
    <t>1324</t>
    <phoneticPr fontId="1" type="noConversion"/>
  </si>
  <si>
    <t>x</t>
    <phoneticPr fontId="1" type="noConversion"/>
  </si>
  <si>
    <t>8~16</t>
    <phoneticPr fontId="1" type="noConversion"/>
  </si>
  <si>
    <t>A2</t>
    <phoneticPr fontId="1" type="noConversion"/>
  </si>
  <si>
    <t>0.42~0.43</t>
    <phoneticPr fontId="1" type="noConversion"/>
  </si>
  <si>
    <t>1325</t>
    <phoneticPr fontId="1" type="noConversion"/>
  </si>
  <si>
    <t>A1</t>
    <phoneticPr fontId="1" type="noConversion"/>
  </si>
  <si>
    <t>5.2~7.5</t>
    <phoneticPr fontId="1" type="noConversion"/>
  </si>
  <si>
    <t>1326</t>
    <phoneticPr fontId="1" type="noConversion"/>
  </si>
  <si>
    <t>x</t>
    <phoneticPr fontId="1" type="noConversion"/>
  </si>
  <si>
    <t>7~9</t>
    <phoneticPr fontId="1" type="noConversion"/>
  </si>
  <si>
    <t>6~10</t>
    <phoneticPr fontId="1" type="noConversion"/>
  </si>
  <si>
    <t>1~6</t>
    <phoneticPr fontId="1" type="noConversion"/>
  </si>
  <si>
    <t>124</t>
    <phoneticPr fontId="1" type="noConversion"/>
  </si>
  <si>
    <t>6~7</t>
    <phoneticPr fontId="1" type="noConversion"/>
  </si>
  <si>
    <t>1.7~2.4</t>
    <phoneticPr fontId="1" type="noConversion"/>
  </si>
  <si>
    <t>125</t>
    <phoneticPr fontId="1" type="noConversion"/>
  </si>
  <si>
    <t>13.7~18.7</t>
    <phoneticPr fontId="1" type="noConversion"/>
  </si>
  <si>
    <t>0.61~0.65</t>
    <phoneticPr fontId="1" type="noConversion"/>
  </si>
  <si>
    <t>16.9~30.6</t>
    <phoneticPr fontId="1" type="noConversion"/>
  </si>
  <si>
    <t>B2</t>
    <phoneticPr fontId="1" type="noConversion"/>
  </si>
  <si>
    <t>2~8</t>
    <phoneticPr fontId="1" type="noConversion"/>
  </si>
  <si>
    <t>126</t>
    <phoneticPr fontId="1" type="noConversion"/>
  </si>
  <si>
    <t>A2</t>
    <phoneticPr fontId="1" type="noConversion"/>
  </si>
  <si>
    <t>9.4~19.6</t>
    <phoneticPr fontId="1" type="noConversion"/>
  </si>
  <si>
    <t>10.2~13.6</t>
    <phoneticPr fontId="1" type="noConversion"/>
  </si>
  <si>
    <t>3.3~5.7</t>
    <phoneticPr fontId="1" type="noConversion"/>
  </si>
  <si>
    <t>132</t>
    <phoneticPr fontId="1" type="noConversion"/>
  </si>
  <si>
    <t>5.6~19.7</t>
    <phoneticPr fontId="1" type="noConversion"/>
  </si>
  <si>
    <t>3.4~5.0</t>
    <phoneticPr fontId="1" type="noConversion"/>
  </si>
  <si>
    <t>134</t>
    <phoneticPr fontId="1" type="noConversion"/>
  </si>
  <si>
    <t>8.7~23.5</t>
    <phoneticPr fontId="1" type="noConversion"/>
  </si>
  <si>
    <t>A2</t>
    <phoneticPr fontId="1" type="noConversion"/>
  </si>
  <si>
    <t>1.8~3.1</t>
    <phoneticPr fontId="1" type="noConversion"/>
  </si>
  <si>
    <t>1.4~4.7</t>
    <phoneticPr fontId="1" type="noConversion"/>
  </si>
  <si>
    <t>135</t>
    <phoneticPr fontId="1" type="noConversion"/>
  </si>
  <si>
    <t>4.7~9.0</t>
    <phoneticPr fontId="1" type="noConversion"/>
  </si>
  <si>
    <t>136</t>
    <phoneticPr fontId="1" type="noConversion"/>
  </si>
  <si>
    <t>B1</t>
    <phoneticPr fontId="1" type="noConversion"/>
  </si>
  <si>
    <t>0.58~0.62</t>
    <phoneticPr fontId="1" type="noConversion"/>
  </si>
  <si>
    <t>2~5</t>
    <phoneticPr fontId="1" type="noConversion"/>
  </si>
  <si>
    <t>143</t>
    <phoneticPr fontId="1" type="noConversion"/>
  </si>
  <si>
    <t>x</t>
    <phoneticPr fontId="1" type="noConversion"/>
  </si>
  <si>
    <t>1.9~3.8</t>
    <phoneticPr fontId="1" type="noConversion"/>
  </si>
  <si>
    <t>0.5~0.6</t>
    <phoneticPr fontId="1" type="noConversion"/>
  </si>
  <si>
    <t>A1</t>
    <phoneticPr fontId="1" type="noConversion"/>
  </si>
  <si>
    <t>1.9~5.7</t>
    <phoneticPr fontId="1" type="noConversion"/>
  </si>
  <si>
    <t>B1</t>
    <phoneticPr fontId="1" type="noConversion"/>
  </si>
  <si>
    <t>7~13</t>
    <phoneticPr fontId="1" type="noConversion"/>
  </si>
  <si>
    <t>146</t>
    <phoneticPr fontId="1" type="noConversion"/>
  </si>
  <si>
    <t>6.5~11.9</t>
    <phoneticPr fontId="1" type="noConversion"/>
  </si>
  <si>
    <t>153</t>
    <phoneticPr fontId="1" type="noConversion"/>
  </si>
  <si>
    <t>3.4~5.2</t>
    <phoneticPr fontId="1" type="noConversion"/>
  </si>
  <si>
    <t>156</t>
    <phoneticPr fontId="1" type="noConversion"/>
  </si>
  <si>
    <t>7.3~14.2</t>
    <phoneticPr fontId="1" type="noConversion"/>
  </si>
  <si>
    <t>x</t>
    <phoneticPr fontId="1" type="noConversion"/>
  </si>
  <si>
    <t>0.63~0.64</t>
    <phoneticPr fontId="1" type="noConversion"/>
  </si>
  <si>
    <t>A</t>
    <phoneticPr fontId="1" type="noConversion"/>
  </si>
  <si>
    <t>1.6~2.6</t>
    <phoneticPr fontId="1" type="noConversion"/>
  </si>
  <si>
    <t>A2</t>
    <phoneticPr fontId="1" type="noConversion"/>
  </si>
  <si>
    <t>3.0~9.4</t>
    <phoneticPr fontId="1" type="noConversion"/>
  </si>
  <si>
    <t>7.4~12.9</t>
    <phoneticPr fontId="1" type="noConversion"/>
  </si>
  <si>
    <t>163</t>
    <phoneticPr fontId="1" type="noConversion"/>
  </si>
  <si>
    <t>1.7~2.2</t>
    <phoneticPr fontId="1" type="noConversion"/>
  </si>
  <si>
    <t>164</t>
    <phoneticPr fontId="1" type="noConversion"/>
  </si>
  <si>
    <t>0.8~2.2</t>
    <phoneticPr fontId="1" type="noConversion"/>
  </si>
  <si>
    <t>213</t>
    <phoneticPr fontId="1" type="noConversion"/>
  </si>
  <si>
    <t>19.9~27.5</t>
    <phoneticPr fontId="1" type="noConversion"/>
  </si>
  <si>
    <t>214</t>
    <phoneticPr fontId="1" type="noConversion"/>
  </si>
  <si>
    <t>5.9~10.2</t>
    <phoneticPr fontId="1" type="noConversion"/>
  </si>
  <si>
    <t>B</t>
    <phoneticPr fontId="1" type="noConversion"/>
  </si>
  <si>
    <t>215</t>
    <phoneticPr fontId="1" type="noConversion"/>
  </si>
  <si>
    <t>A2</t>
    <phoneticPr fontId="1" type="noConversion"/>
  </si>
  <si>
    <t>2.2~4.2</t>
    <phoneticPr fontId="1" type="noConversion"/>
  </si>
  <si>
    <t>B2</t>
    <phoneticPr fontId="1" type="noConversion"/>
  </si>
  <si>
    <t>0.56~0.63</t>
    <phoneticPr fontId="1" type="noConversion"/>
  </si>
  <si>
    <t>231</t>
    <phoneticPr fontId="1" type="noConversion"/>
  </si>
  <si>
    <t>0.4~1.29</t>
    <phoneticPr fontId="1" type="noConversion"/>
  </si>
  <si>
    <t>6.2~19.9</t>
    <phoneticPr fontId="1" type="noConversion"/>
  </si>
  <si>
    <t>234</t>
    <phoneticPr fontId="1" type="noConversion"/>
  </si>
  <si>
    <t>0.53~0.59</t>
    <phoneticPr fontId="1" type="noConversion"/>
  </si>
  <si>
    <t>236</t>
    <phoneticPr fontId="1" type="noConversion"/>
  </si>
  <si>
    <t>B2</t>
    <phoneticPr fontId="1" type="noConversion"/>
  </si>
  <si>
    <t>x</t>
    <phoneticPr fontId="1" type="noConversion"/>
  </si>
  <si>
    <t>0.2~0.6</t>
    <phoneticPr fontId="1" type="noConversion"/>
  </si>
  <si>
    <t>241</t>
    <phoneticPr fontId="1" type="noConversion"/>
  </si>
  <si>
    <t>0.56~0.59</t>
    <phoneticPr fontId="1" type="noConversion"/>
  </si>
  <si>
    <t>243</t>
    <phoneticPr fontId="1" type="noConversion"/>
  </si>
  <si>
    <t>8~10</t>
    <phoneticPr fontId="1" type="noConversion"/>
  </si>
  <si>
    <t>254</t>
    <phoneticPr fontId="1" type="noConversion"/>
  </si>
  <si>
    <t>263</t>
    <phoneticPr fontId="1" type="noConversion"/>
  </si>
  <si>
    <t>0.55~0.62</t>
    <phoneticPr fontId="1" type="noConversion"/>
  </si>
  <si>
    <t>x</t>
    <phoneticPr fontId="1" type="noConversion"/>
  </si>
  <si>
    <t>6.9~15.3</t>
    <phoneticPr fontId="1" type="noConversion"/>
  </si>
  <si>
    <t>314</t>
    <phoneticPr fontId="1" type="noConversion"/>
  </si>
  <si>
    <t>7.4~12.7</t>
    <phoneticPr fontId="1" type="noConversion"/>
  </si>
  <si>
    <t>14.4~22.9</t>
    <phoneticPr fontId="1" type="noConversion"/>
  </si>
  <si>
    <t>316</t>
    <phoneticPr fontId="1" type="noConversion"/>
  </si>
  <si>
    <t>x</t>
    <phoneticPr fontId="1" type="noConversion"/>
  </si>
  <si>
    <t>1.3~3.1</t>
    <phoneticPr fontId="1" type="noConversion"/>
  </si>
  <si>
    <t>3.4~5.3</t>
    <phoneticPr fontId="1" type="noConversion"/>
  </si>
  <si>
    <t>321</t>
    <phoneticPr fontId="1" type="noConversion"/>
  </si>
  <si>
    <t>3.4~4.6</t>
    <phoneticPr fontId="1" type="noConversion"/>
  </si>
  <si>
    <t>3.4~6.8</t>
    <phoneticPr fontId="1" type="noConversion"/>
  </si>
  <si>
    <t>B</t>
    <phoneticPr fontId="1" type="noConversion"/>
  </si>
  <si>
    <t>324</t>
    <phoneticPr fontId="1" type="noConversion"/>
  </si>
  <si>
    <t>1.8~3.1</t>
    <phoneticPr fontId="1" type="noConversion"/>
  </si>
  <si>
    <t>325</t>
    <phoneticPr fontId="1" type="noConversion"/>
  </si>
  <si>
    <t>341</t>
    <phoneticPr fontId="1" type="noConversion"/>
  </si>
  <si>
    <t>0.58~0.62</t>
    <phoneticPr fontId="1" type="noConversion"/>
  </si>
  <si>
    <t>342</t>
    <phoneticPr fontId="1" type="noConversion"/>
  </si>
  <si>
    <t>0.9~3.8</t>
    <phoneticPr fontId="1" type="noConversion"/>
  </si>
  <si>
    <t>345</t>
    <phoneticPr fontId="1" type="noConversion"/>
  </si>
  <si>
    <t>1~9</t>
    <phoneticPr fontId="1" type="noConversion"/>
  </si>
  <si>
    <t>361</t>
    <phoneticPr fontId="1" type="noConversion"/>
  </si>
  <si>
    <t>6.2~8.9</t>
    <phoneticPr fontId="1" type="noConversion"/>
  </si>
  <si>
    <t>416</t>
    <phoneticPr fontId="1" type="noConversion"/>
  </si>
  <si>
    <t>9.7~13.8</t>
    <phoneticPr fontId="1" type="noConversion"/>
  </si>
  <si>
    <t>421</t>
    <phoneticPr fontId="1" type="noConversion"/>
  </si>
  <si>
    <t>B2</t>
    <phoneticPr fontId="1" type="noConversion"/>
  </si>
  <si>
    <t>1.6~3.4</t>
    <phoneticPr fontId="1" type="noConversion"/>
  </si>
  <si>
    <t>425</t>
    <phoneticPr fontId="1" type="noConversion"/>
  </si>
  <si>
    <t>431</t>
    <phoneticPr fontId="1" type="noConversion"/>
  </si>
  <si>
    <t>2.1~2.6</t>
    <phoneticPr fontId="1" type="noConversion"/>
  </si>
  <si>
    <t>A</t>
    <phoneticPr fontId="1" type="noConversion"/>
  </si>
  <si>
    <t>432</t>
    <phoneticPr fontId="1" type="noConversion"/>
  </si>
  <si>
    <t>20.2~57.6</t>
    <phoneticPr fontId="1" type="noConversion"/>
  </si>
  <si>
    <t>512</t>
    <phoneticPr fontId="1" type="noConversion"/>
  </si>
  <si>
    <t>11~15</t>
    <phoneticPr fontId="1" type="noConversion"/>
  </si>
  <si>
    <t>516</t>
    <phoneticPr fontId="1" type="noConversion"/>
  </si>
  <si>
    <t>0.61~0.66</t>
    <phoneticPr fontId="1" type="noConversion"/>
  </si>
  <si>
    <t>532</t>
    <phoneticPr fontId="1" type="noConversion"/>
  </si>
  <si>
    <t>0.61~0.63</t>
    <phoneticPr fontId="1" type="noConversion"/>
  </si>
  <si>
    <t>123</t>
    <phoneticPr fontId="1" type="noConversion"/>
  </si>
  <si>
    <t>A1</t>
    <phoneticPr fontId="1" type="noConversion"/>
  </si>
  <si>
    <t>1.6~4.2</t>
    <phoneticPr fontId="1" type="noConversion"/>
  </si>
  <si>
    <t>A2</t>
    <phoneticPr fontId="1" type="noConversion"/>
  </si>
  <si>
    <t>9.1~19.2</t>
    <phoneticPr fontId="1" type="noConversion"/>
  </si>
  <si>
    <t>126</t>
    <phoneticPr fontId="1" type="noConversion"/>
  </si>
  <si>
    <t>4.8~18.2</t>
    <phoneticPr fontId="1" type="noConversion"/>
  </si>
  <si>
    <t>8.6~14.3</t>
    <phoneticPr fontId="1" type="noConversion"/>
  </si>
  <si>
    <t>A</t>
    <phoneticPr fontId="1" type="noConversion"/>
  </si>
  <si>
    <t>142</t>
    <phoneticPr fontId="1" type="noConversion"/>
  </si>
  <si>
    <t>4.2~8.4</t>
    <phoneticPr fontId="1" type="noConversion"/>
  </si>
  <si>
    <t>x</t>
    <phoneticPr fontId="1" type="noConversion"/>
  </si>
  <si>
    <t>~</t>
    <phoneticPr fontId="1" type="noConversion"/>
  </si>
  <si>
    <t>betrate</t>
    <phoneticPr fontId="1" type="noConversion"/>
  </si>
  <si>
    <t>3.8~13.1</t>
    <phoneticPr fontId="1" type="noConversion"/>
  </si>
  <si>
    <t>1253</t>
    <phoneticPr fontId="1" type="noConversion"/>
  </si>
  <si>
    <t>x</t>
    <phoneticPr fontId="1" type="noConversion"/>
  </si>
  <si>
    <t>1365</t>
    <phoneticPr fontId="1" type="noConversion"/>
  </si>
  <si>
    <t>0.8~8.3</t>
    <phoneticPr fontId="1" type="noConversion"/>
  </si>
  <si>
    <t>0.67~0.78</t>
    <phoneticPr fontId="1" type="noConversion"/>
  </si>
  <si>
    <t>1436</t>
    <phoneticPr fontId="1" type="noConversion"/>
  </si>
  <si>
    <t>1.7~6.0</t>
    <phoneticPr fontId="1" type="noConversion"/>
  </si>
  <si>
    <t>3~4</t>
    <phoneticPr fontId="1" type="noConversion"/>
  </si>
  <si>
    <t>15.1~20.4</t>
    <phoneticPr fontId="1" type="noConversion"/>
  </si>
  <si>
    <t>1524</t>
    <phoneticPr fontId="1" type="noConversion"/>
  </si>
  <si>
    <t>1.6~3.5</t>
    <phoneticPr fontId="1" type="noConversion"/>
  </si>
  <si>
    <t>1542</t>
    <phoneticPr fontId="1" type="noConversion"/>
  </si>
  <si>
    <t>0.6~0.78</t>
    <phoneticPr fontId="1" type="noConversion"/>
  </si>
  <si>
    <t>1543</t>
    <phoneticPr fontId="1" type="noConversion"/>
  </si>
  <si>
    <t>1.0~1.7</t>
    <phoneticPr fontId="1" type="noConversion"/>
  </si>
  <si>
    <t>1546</t>
    <phoneticPr fontId="1" type="noConversion"/>
  </si>
  <si>
    <t>0.56~0.68</t>
    <phoneticPr fontId="1" type="noConversion"/>
  </si>
  <si>
    <t>0.9~4.8</t>
    <phoneticPr fontId="1" type="noConversion"/>
  </si>
  <si>
    <t>0.36~0.64</t>
    <phoneticPr fontId="1" type="noConversion"/>
  </si>
  <si>
    <t>4.4~21.8</t>
    <phoneticPr fontId="1" type="noConversion"/>
  </si>
  <si>
    <t>1623</t>
    <phoneticPr fontId="1" type="noConversion"/>
  </si>
  <si>
    <t>7.9~19.7</t>
    <phoneticPr fontId="1" type="noConversion"/>
  </si>
  <si>
    <t>6~14</t>
    <phoneticPr fontId="1" type="noConversion"/>
  </si>
  <si>
    <t>0.53~0.8</t>
    <phoneticPr fontId="1" type="noConversion"/>
  </si>
  <si>
    <t>0.44~0.69</t>
    <phoneticPr fontId="1" type="noConversion"/>
  </si>
  <si>
    <t>11~19</t>
    <phoneticPr fontId="1" type="noConversion"/>
  </si>
  <si>
    <t>1642</t>
    <phoneticPr fontId="1" type="noConversion"/>
  </si>
  <si>
    <t>15.2~26.2</t>
    <phoneticPr fontId="1" type="noConversion"/>
  </si>
  <si>
    <t>1652</t>
    <phoneticPr fontId="1" type="noConversion"/>
  </si>
  <si>
    <t>0.5~0.67</t>
    <phoneticPr fontId="1" type="noConversion"/>
  </si>
  <si>
    <t>x</t>
    <phoneticPr fontId="1" type="noConversion"/>
  </si>
  <si>
    <t>1653</t>
    <phoneticPr fontId="1" type="noConversion"/>
  </si>
  <si>
    <t>3.5~8.9</t>
    <phoneticPr fontId="1" type="noConversion"/>
  </si>
  <si>
    <t>2135</t>
    <phoneticPr fontId="1" type="noConversion"/>
  </si>
  <si>
    <t>1.6~3.8</t>
    <phoneticPr fontId="1" type="noConversion"/>
  </si>
  <si>
    <t>2136</t>
    <phoneticPr fontId="1" type="noConversion"/>
  </si>
  <si>
    <t>15.7~28.4</t>
    <phoneticPr fontId="1" type="noConversion"/>
  </si>
  <si>
    <t>x</t>
    <phoneticPr fontId="1" type="noConversion"/>
  </si>
  <si>
    <t>4.8~16.5</t>
    <phoneticPr fontId="1" type="noConversion"/>
  </si>
  <si>
    <t>1.1~2.8</t>
    <phoneticPr fontId="1" type="noConversion"/>
  </si>
  <si>
    <t>2154</t>
    <phoneticPr fontId="1" type="noConversion"/>
  </si>
  <si>
    <t>1~2</t>
    <phoneticPr fontId="1" type="noConversion"/>
  </si>
  <si>
    <t>2156</t>
    <phoneticPr fontId="1" type="noConversion"/>
  </si>
  <si>
    <t>3~7</t>
    <phoneticPr fontId="1" type="noConversion"/>
  </si>
  <si>
    <t>2341</t>
    <phoneticPr fontId="1" type="noConversion"/>
  </si>
  <si>
    <t>7.2~17.6</t>
    <phoneticPr fontId="1" type="noConversion"/>
  </si>
  <si>
    <t>2351</t>
    <phoneticPr fontId="1" type="noConversion"/>
  </si>
  <si>
    <t>5.9~12.8</t>
    <phoneticPr fontId="1" type="noConversion"/>
  </si>
  <si>
    <t>2413</t>
    <phoneticPr fontId="1" type="noConversion"/>
  </si>
  <si>
    <t>7~11</t>
    <phoneticPr fontId="1" type="noConversion"/>
  </si>
  <si>
    <t>0.44~0.6</t>
    <phoneticPr fontId="1" type="noConversion"/>
  </si>
  <si>
    <t>2514</t>
    <phoneticPr fontId="1" type="noConversion"/>
  </si>
  <si>
    <t>21.1~31</t>
    <phoneticPr fontId="1" type="noConversion"/>
  </si>
  <si>
    <t>3125</t>
    <phoneticPr fontId="1" type="noConversion"/>
  </si>
  <si>
    <t>6~12</t>
    <phoneticPr fontId="1" type="noConversion"/>
  </si>
  <si>
    <t>8.5~15.1</t>
    <phoneticPr fontId="1" type="noConversion"/>
  </si>
  <si>
    <t>x</t>
    <phoneticPr fontId="1" type="noConversion"/>
  </si>
  <si>
    <t>5.1~7.5</t>
    <phoneticPr fontId="1" type="noConversion"/>
  </si>
  <si>
    <t>3146</t>
    <phoneticPr fontId="1" type="noConversion"/>
  </si>
  <si>
    <t>x</t>
    <phoneticPr fontId="1" type="noConversion"/>
  </si>
  <si>
    <t>1.2~3.1</t>
    <phoneticPr fontId="1" type="noConversion"/>
  </si>
  <si>
    <t>3152</t>
    <phoneticPr fontId="1" type="noConversion"/>
  </si>
  <si>
    <t>4.6~17</t>
    <phoneticPr fontId="1" type="noConversion"/>
  </si>
  <si>
    <t>6~11</t>
    <phoneticPr fontId="1" type="noConversion"/>
  </si>
  <si>
    <t>3164</t>
    <phoneticPr fontId="1" type="noConversion"/>
  </si>
  <si>
    <t>1.8~3.2</t>
    <phoneticPr fontId="1" type="noConversion"/>
  </si>
  <si>
    <t>x</t>
    <phoneticPr fontId="1" type="noConversion"/>
  </si>
  <si>
    <t>0.31~0.56</t>
    <phoneticPr fontId="1" type="noConversion"/>
  </si>
  <si>
    <t>3215</t>
    <phoneticPr fontId="1" type="noConversion"/>
  </si>
  <si>
    <t>0.56~0.65</t>
    <phoneticPr fontId="1" type="noConversion"/>
  </si>
  <si>
    <t>0.5~1.6</t>
    <phoneticPr fontId="1" type="noConversion"/>
  </si>
  <si>
    <t>3245</t>
    <phoneticPr fontId="1" type="noConversion"/>
  </si>
  <si>
    <t>6.5~15.2</t>
    <phoneticPr fontId="1" type="noConversion"/>
  </si>
  <si>
    <t>3246</t>
    <phoneticPr fontId="1" type="noConversion"/>
  </si>
  <si>
    <t>3.1~7.2</t>
    <phoneticPr fontId="1" type="noConversion"/>
  </si>
  <si>
    <t>x</t>
    <phoneticPr fontId="1" type="noConversion"/>
  </si>
  <si>
    <t>1.1~8.8</t>
    <phoneticPr fontId="1" type="noConversion"/>
  </si>
  <si>
    <t>3416</t>
    <phoneticPr fontId="1" type="noConversion"/>
  </si>
  <si>
    <t>16.9~30.8</t>
    <phoneticPr fontId="1" type="noConversion"/>
  </si>
  <si>
    <t>2341</t>
    <phoneticPr fontId="1" type="noConversion"/>
  </si>
  <si>
    <t>0.5~0.71</t>
    <phoneticPr fontId="1" type="noConversion"/>
  </si>
  <si>
    <t>3425</t>
    <phoneticPr fontId="1" type="noConversion"/>
  </si>
  <si>
    <t>0.2~0.51</t>
    <phoneticPr fontId="1" type="noConversion"/>
  </si>
  <si>
    <t>3452</t>
    <phoneticPr fontId="1" type="noConversion"/>
  </si>
  <si>
    <t>1~11</t>
    <phoneticPr fontId="1" type="noConversion"/>
  </si>
  <si>
    <t>3526</t>
    <phoneticPr fontId="1" type="noConversion"/>
  </si>
  <si>
    <t>1~7</t>
    <phoneticPr fontId="1" type="noConversion"/>
  </si>
  <si>
    <t>3612</t>
    <phoneticPr fontId="1" type="noConversion"/>
  </si>
  <si>
    <t>14.8~26.7</t>
    <phoneticPr fontId="1" type="noConversion"/>
  </si>
  <si>
    <t>3614</t>
    <phoneticPr fontId="1" type="noConversion"/>
  </si>
  <si>
    <t>4.1~14.6</t>
    <phoneticPr fontId="1" type="noConversion"/>
  </si>
  <si>
    <t>4125</t>
    <phoneticPr fontId="1" type="noConversion"/>
  </si>
  <si>
    <t>1~5</t>
    <phoneticPr fontId="1" type="noConversion"/>
  </si>
  <si>
    <t>1~2</t>
    <phoneticPr fontId="1" type="noConversion"/>
  </si>
  <si>
    <t>14.7~23.6</t>
    <phoneticPr fontId="1" type="noConversion"/>
  </si>
  <si>
    <t>4156</t>
    <phoneticPr fontId="1" type="noConversion"/>
  </si>
  <si>
    <t>13.7~34.8</t>
    <phoneticPr fontId="1" type="noConversion"/>
  </si>
  <si>
    <t>4162</t>
    <phoneticPr fontId="1" type="noConversion"/>
  </si>
  <si>
    <t>17~47.7</t>
    <phoneticPr fontId="1" type="noConversion"/>
  </si>
  <si>
    <t>4~8</t>
    <phoneticPr fontId="1" type="noConversion"/>
  </si>
  <si>
    <t>4215</t>
    <phoneticPr fontId="1" type="noConversion"/>
  </si>
  <si>
    <t>8.8~14.0</t>
    <phoneticPr fontId="1" type="noConversion"/>
  </si>
  <si>
    <t>4261</t>
    <phoneticPr fontId="1" type="noConversion"/>
  </si>
  <si>
    <t>0.42~0.69</t>
    <phoneticPr fontId="1" type="noConversion"/>
  </si>
  <si>
    <t>4523</t>
    <phoneticPr fontId="1" type="noConversion"/>
  </si>
  <si>
    <t>0.32~0.69</t>
    <phoneticPr fontId="1" type="noConversion"/>
  </si>
  <si>
    <t>5123</t>
    <phoneticPr fontId="1" type="noConversion"/>
  </si>
  <si>
    <t>x</t>
    <phoneticPr fontId="1" type="noConversion"/>
  </si>
  <si>
    <t>7~16</t>
    <phoneticPr fontId="1" type="noConversion"/>
  </si>
  <si>
    <t>5132</t>
    <phoneticPr fontId="1" type="noConversion"/>
  </si>
  <si>
    <t>5~12</t>
    <phoneticPr fontId="1" type="noConversion"/>
  </si>
  <si>
    <t>5134</t>
    <phoneticPr fontId="1" type="noConversion"/>
  </si>
  <si>
    <t>0.48~0.6</t>
    <phoneticPr fontId="1" type="noConversion"/>
  </si>
  <si>
    <t>5214</t>
    <phoneticPr fontId="1" type="noConversion"/>
  </si>
  <si>
    <t>x</t>
    <phoneticPr fontId="1" type="noConversion"/>
  </si>
  <si>
    <t>5~11.4</t>
    <phoneticPr fontId="1" type="noConversion"/>
  </si>
  <si>
    <t>6132</t>
    <phoneticPr fontId="1" type="noConversion"/>
  </si>
  <si>
    <t>0.3~3.6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</si>
</sst>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_ "/>
    <numFmt numFmtId="177" formatCode="0_ "/>
    <numFmt numFmtId="178" formatCode="0.00_ 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6"/>
      <name val="맑은 고딕"/>
      <family val="3"/>
      <charset val="128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>
      <alignment vertical="center"/>
    </xf>
    <xf numFmtId="176" fontId="0" fillId="0" borderId="0" xfId="0" applyNumberFormat="1" applyAlignment="1">
      <alignment vertical="center" wrapText="1"/>
    </xf>
    <xf numFmtId="176" fontId="0" fillId="0" borderId="0" xfId="0" applyNumberFormat="1">
      <alignment vertical="center"/>
    </xf>
    <xf numFmtId="177" fontId="0" fillId="0" borderId="0" xfId="0" applyNumberFormat="1" applyAlignment="1">
      <alignment vertical="center" wrapText="1"/>
    </xf>
    <xf numFmtId="177" fontId="0" fillId="0" borderId="0" xfId="0" applyNumberFormat="1">
      <alignment vertical="center"/>
    </xf>
    <xf numFmtId="49" fontId="3" fillId="2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178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"/>
  <sheetViews>
    <sheetView tabSelected="1" zoomScale="90" zoomScaleNormal="90" workbookViewId="0">
      <pane ySplit="1" topLeftCell="A2" activePane="bottomLeft" state="frozen"/>
      <selection pane="bottomLeft" activeCell="D35" sqref="D35"/>
    </sheetView>
  </sheetViews>
  <sheetFormatPr defaultRowHeight="16.5" x14ac:dyDescent="0.3"/>
  <cols>
    <col min="1" max="2" width="4.875" customWidth="1"/>
    <col min="3" max="3" width="4.75" customWidth="1"/>
    <col min="4" max="4" width="7.375" customWidth="1"/>
    <col min="5" max="5" width="7.5" customWidth="1"/>
    <col min="6" max="6" width="9" style="3"/>
    <col min="7" max="7" width="6.625" customWidth="1"/>
    <col min="8" max="8" width="5" customWidth="1"/>
    <col min="9" max="9" width="6.625" customWidth="1"/>
    <col min="11" max="11" width="10.375" customWidth="1"/>
    <col min="12" max="13" width="10.125" customWidth="1"/>
    <col min="14" max="14" width="10.5" customWidth="1"/>
    <col min="15" max="15" width="7" customWidth="1"/>
    <col min="16" max="17" width="9.125" style="7" customWidth="1"/>
    <col min="18" max="18" width="6.625" customWidth="1"/>
    <col min="19" max="19" width="7.125" customWidth="1"/>
    <col min="20" max="20" width="7.5" style="5" customWidth="1"/>
    <col min="21" max="21" width="3.5" customWidth="1"/>
    <col min="22" max="22" width="2.75" customWidth="1"/>
  </cols>
  <sheetData>
    <row r="1" spans="1:22" s="1" customFormat="1" ht="29.25" customHeight="1" x14ac:dyDescent="0.3">
      <c r="A1" s="1" t="s">
        <v>0</v>
      </c>
      <c r="B1" s="1" t="s">
        <v>23</v>
      </c>
      <c r="C1" s="1" t="s">
        <v>25</v>
      </c>
      <c r="D1" s="1" t="s">
        <v>1</v>
      </c>
      <c r="E1" s="1" t="s">
        <v>2</v>
      </c>
      <c r="F1" s="8" t="s">
        <v>3</v>
      </c>
      <c r="G1" s="1" t="s">
        <v>4</v>
      </c>
      <c r="H1" s="1" t="s">
        <v>5</v>
      </c>
      <c r="I1" s="9" t="s">
        <v>6</v>
      </c>
      <c r="J1" s="1" t="s">
        <v>10</v>
      </c>
      <c r="K1" s="1" t="s">
        <v>21</v>
      </c>
      <c r="L1" s="1" t="s">
        <v>22</v>
      </c>
      <c r="M1" s="1" t="s">
        <v>11</v>
      </c>
      <c r="N1" s="1" t="s">
        <v>12</v>
      </c>
      <c r="O1" s="1" t="s">
        <v>7</v>
      </c>
      <c r="P1" s="6" t="s">
        <v>39</v>
      </c>
      <c r="Q1" s="6" t="s">
        <v>731</v>
      </c>
      <c r="R1" s="1" t="s">
        <v>8</v>
      </c>
      <c r="S1" s="1" t="s">
        <v>19</v>
      </c>
      <c r="T1" s="4" t="s">
        <v>20</v>
      </c>
      <c r="U1" s="1" t="s">
        <v>9</v>
      </c>
      <c r="V1" s="1" t="s">
        <v>13</v>
      </c>
    </row>
    <row r="2" spans="1:22" x14ac:dyDescent="0.3">
      <c r="A2" t="s">
        <v>730</v>
      </c>
      <c r="B2" t="s">
        <v>68</v>
      </c>
      <c r="C2">
        <v>131</v>
      </c>
      <c r="D2" t="s">
        <v>14</v>
      </c>
      <c r="E2" t="s">
        <v>45</v>
      </c>
      <c r="F2" s="3" t="s">
        <v>816</v>
      </c>
      <c r="G2">
        <v>20023</v>
      </c>
      <c r="H2" t="s">
        <v>18</v>
      </c>
      <c r="I2" t="s">
        <v>18</v>
      </c>
      <c r="J2" t="s">
        <v>95</v>
      </c>
      <c r="K2" t="s">
        <v>95</v>
      </c>
      <c r="L2" t="s">
        <v>344</v>
      </c>
      <c r="M2" t="s">
        <v>95</v>
      </c>
      <c r="N2" t="s">
        <v>817</v>
      </c>
      <c r="O2">
        <v>95</v>
      </c>
      <c r="P2" s="7">
        <v>5298</v>
      </c>
      <c r="Q2" s="10">
        <v>0.84</v>
      </c>
      <c r="R2">
        <v>0.09</v>
      </c>
      <c r="S2">
        <v>1.54</v>
      </c>
      <c r="T2" s="5">
        <f>O2/730</f>
        <v>0.13013698630136986</v>
      </c>
      <c r="U2" t="s">
        <v>16</v>
      </c>
      <c r="V2" t="s">
        <v>16</v>
      </c>
    </row>
    <row r="3" spans="1:22" x14ac:dyDescent="0.3">
      <c r="A3" t="s">
        <v>730</v>
      </c>
      <c r="B3" t="s">
        <v>68</v>
      </c>
      <c r="C3">
        <v>131</v>
      </c>
      <c r="D3" t="s">
        <v>14</v>
      </c>
      <c r="E3" t="s">
        <v>45</v>
      </c>
      <c r="F3" s="3" t="s">
        <v>420</v>
      </c>
      <c r="G3">
        <v>20023</v>
      </c>
      <c r="H3" t="s">
        <v>18</v>
      </c>
      <c r="I3" t="s">
        <v>18</v>
      </c>
      <c r="J3" t="s">
        <v>757</v>
      </c>
      <c r="K3" t="s">
        <v>95</v>
      </c>
      <c r="L3" t="s">
        <v>95</v>
      </c>
      <c r="M3" t="s">
        <v>95</v>
      </c>
      <c r="N3" t="s">
        <v>95</v>
      </c>
      <c r="O3">
        <v>577</v>
      </c>
      <c r="P3" s="7">
        <v>11364</v>
      </c>
      <c r="Q3" s="10">
        <v>0.82</v>
      </c>
      <c r="R3">
        <v>7.0000000000000007E-2</v>
      </c>
      <c r="S3">
        <v>1.19</v>
      </c>
      <c r="T3" s="5">
        <f>O3/730</f>
        <v>0.79041095890410962</v>
      </c>
      <c r="U3" t="s">
        <v>16</v>
      </c>
      <c r="V3" t="s">
        <v>16</v>
      </c>
    </row>
    <row r="4" spans="1:22" x14ac:dyDescent="0.3">
      <c r="A4" t="s">
        <v>730</v>
      </c>
      <c r="B4" t="s">
        <v>68</v>
      </c>
      <c r="C4">
        <v>131</v>
      </c>
      <c r="D4" t="s">
        <v>14</v>
      </c>
      <c r="E4" t="s">
        <v>45</v>
      </c>
      <c r="F4" s="3" t="s">
        <v>835</v>
      </c>
      <c r="G4">
        <v>20023</v>
      </c>
      <c r="H4" t="s">
        <v>18</v>
      </c>
      <c r="I4" t="s">
        <v>18</v>
      </c>
      <c r="J4" t="s">
        <v>836</v>
      </c>
      <c r="K4" t="s">
        <v>454</v>
      </c>
      <c r="L4" t="s">
        <v>95</v>
      </c>
      <c r="M4" t="s">
        <v>95</v>
      </c>
      <c r="N4" t="s">
        <v>95</v>
      </c>
      <c r="O4">
        <v>98</v>
      </c>
      <c r="P4" s="7">
        <v>8631</v>
      </c>
      <c r="Q4" s="10">
        <v>0.8</v>
      </c>
      <c r="R4">
        <v>0.12</v>
      </c>
      <c r="S4">
        <v>1.88</v>
      </c>
      <c r="T4" s="5">
        <f>O4/730</f>
        <v>0.13424657534246576</v>
      </c>
      <c r="U4" t="s">
        <v>16</v>
      </c>
      <c r="V4" t="s">
        <v>16</v>
      </c>
    </row>
    <row r="5" spans="1:22" x14ac:dyDescent="0.3">
      <c r="A5" t="s">
        <v>730</v>
      </c>
      <c r="B5" t="s">
        <v>68</v>
      </c>
      <c r="C5">
        <v>131</v>
      </c>
      <c r="D5" t="s">
        <v>14</v>
      </c>
      <c r="E5" t="s">
        <v>45</v>
      </c>
      <c r="F5" s="3" t="s">
        <v>818</v>
      </c>
      <c r="G5">
        <v>20023</v>
      </c>
      <c r="H5" t="s">
        <v>18</v>
      </c>
      <c r="I5" t="s">
        <v>18</v>
      </c>
      <c r="J5" t="s">
        <v>95</v>
      </c>
      <c r="K5" t="s">
        <v>95</v>
      </c>
      <c r="L5" t="s">
        <v>344</v>
      </c>
      <c r="M5" t="s">
        <v>95</v>
      </c>
      <c r="N5" t="s">
        <v>819</v>
      </c>
      <c r="O5">
        <v>40</v>
      </c>
      <c r="P5" s="7">
        <v>2440</v>
      </c>
      <c r="Q5" s="10">
        <v>0.78</v>
      </c>
      <c r="R5">
        <v>0.1</v>
      </c>
      <c r="S5">
        <v>1.61</v>
      </c>
      <c r="T5" s="5">
        <f>O5/730</f>
        <v>5.4794520547945202E-2</v>
      </c>
      <c r="U5" t="s">
        <v>16</v>
      </c>
      <c r="V5" t="s">
        <v>16</v>
      </c>
    </row>
    <row r="6" spans="1:22" x14ac:dyDescent="0.3">
      <c r="A6" t="s">
        <v>730</v>
      </c>
      <c r="B6" t="s">
        <v>68</v>
      </c>
      <c r="C6">
        <v>131</v>
      </c>
      <c r="D6" t="s">
        <v>14</v>
      </c>
      <c r="E6" t="s">
        <v>45</v>
      </c>
      <c r="F6" s="3" t="s">
        <v>849</v>
      </c>
      <c r="G6">
        <v>20023</v>
      </c>
      <c r="H6" t="s">
        <v>18</v>
      </c>
      <c r="I6" t="s">
        <v>18</v>
      </c>
      <c r="J6" t="s">
        <v>847</v>
      </c>
      <c r="K6" t="s">
        <v>95</v>
      </c>
      <c r="L6" t="s">
        <v>850</v>
      </c>
      <c r="M6" t="s">
        <v>95</v>
      </c>
      <c r="N6" t="s">
        <v>95</v>
      </c>
      <c r="O6">
        <v>124</v>
      </c>
      <c r="P6" s="7">
        <v>9007</v>
      </c>
      <c r="Q6" s="10">
        <v>0.75</v>
      </c>
      <c r="R6">
        <v>0.09</v>
      </c>
      <c r="S6">
        <v>1.72</v>
      </c>
      <c r="T6" s="5">
        <f>O6/730</f>
        <v>0.16986301369863013</v>
      </c>
      <c r="U6" t="s">
        <v>16</v>
      </c>
      <c r="V6" t="s">
        <v>16</v>
      </c>
    </row>
    <row r="7" spans="1:22" x14ac:dyDescent="0.3">
      <c r="A7" t="s">
        <v>730</v>
      </c>
      <c r="B7" t="s">
        <v>68</v>
      </c>
      <c r="C7">
        <v>131</v>
      </c>
      <c r="D7" t="s">
        <v>14</v>
      </c>
      <c r="E7" t="s">
        <v>45</v>
      </c>
      <c r="F7" s="3" t="s">
        <v>403</v>
      </c>
      <c r="G7">
        <v>20023</v>
      </c>
      <c r="H7" t="s">
        <v>18</v>
      </c>
      <c r="I7" t="s">
        <v>18</v>
      </c>
      <c r="J7" t="s">
        <v>751</v>
      </c>
      <c r="K7" t="s">
        <v>95</v>
      </c>
      <c r="L7" t="s">
        <v>95</v>
      </c>
      <c r="M7" t="s">
        <v>95</v>
      </c>
      <c r="N7" t="s">
        <v>95</v>
      </c>
      <c r="O7">
        <v>258</v>
      </c>
      <c r="P7" s="7">
        <v>6548</v>
      </c>
      <c r="Q7" s="10">
        <v>0.72</v>
      </c>
      <c r="R7">
        <v>0.06</v>
      </c>
      <c r="S7">
        <v>1.25</v>
      </c>
      <c r="T7" s="5">
        <f>O7/730</f>
        <v>0.35342465753424657</v>
      </c>
      <c r="U7" t="s">
        <v>16</v>
      </c>
      <c r="V7" t="s">
        <v>16</v>
      </c>
    </row>
    <row r="8" spans="1:22" x14ac:dyDescent="0.3">
      <c r="A8" t="s">
        <v>730</v>
      </c>
      <c r="B8" t="s">
        <v>68</v>
      </c>
      <c r="C8">
        <v>131</v>
      </c>
      <c r="D8" t="s">
        <v>14</v>
      </c>
      <c r="E8" t="s">
        <v>45</v>
      </c>
      <c r="F8" s="3" t="s">
        <v>157</v>
      </c>
      <c r="G8">
        <v>20023</v>
      </c>
      <c r="H8" t="s">
        <v>18</v>
      </c>
      <c r="I8" t="s">
        <v>18</v>
      </c>
      <c r="J8" t="s">
        <v>344</v>
      </c>
      <c r="K8" t="s">
        <v>809</v>
      </c>
      <c r="L8" t="s">
        <v>344</v>
      </c>
      <c r="M8" t="s">
        <v>344</v>
      </c>
      <c r="N8" t="s">
        <v>95</v>
      </c>
      <c r="O8">
        <v>166</v>
      </c>
      <c r="P8" s="7">
        <v>6571</v>
      </c>
      <c r="Q8" s="10">
        <v>0.7</v>
      </c>
      <c r="R8">
        <v>7.0000000000000007E-2</v>
      </c>
      <c r="S8">
        <v>1.39</v>
      </c>
      <c r="T8" s="5">
        <f>O8/730</f>
        <v>0.22739726027397261</v>
      </c>
      <c r="U8" t="s">
        <v>16</v>
      </c>
      <c r="V8" t="s">
        <v>16</v>
      </c>
    </row>
    <row r="9" spans="1:22" x14ac:dyDescent="0.3">
      <c r="A9" t="s">
        <v>730</v>
      </c>
      <c r="B9" t="s">
        <v>68</v>
      </c>
      <c r="C9">
        <v>131</v>
      </c>
      <c r="D9" t="s">
        <v>14</v>
      </c>
      <c r="E9" t="s">
        <v>45</v>
      </c>
      <c r="F9" s="3" t="s">
        <v>822</v>
      </c>
      <c r="G9">
        <v>20023</v>
      </c>
      <c r="H9" t="s">
        <v>18</v>
      </c>
      <c r="I9" t="s">
        <v>18</v>
      </c>
      <c r="J9" t="s">
        <v>95</v>
      </c>
      <c r="K9" t="s">
        <v>823</v>
      </c>
      <c r="L9" t="s">
        <v>344</v>
      </c>
      <c r="M9" t="s">
        <v>95</v>
      </c>
      <c r="N9" t="s">
        <v>95</v>
      </c>
      <c r="O9">
        <v>103</v>
      </c>
      <c r="P9" s="7">
        <v>7449</v>
      </c>
      <c r="Q9" s="10">
        <v>0.7</v>
      </c>
      <c r="R9">
        <v>0.05</v>
      </c>
      <c r="S9">
        <v>1.72</v>
      </c>
      <c r="T9" s="5">
        <f>O9/730</f>
        <v>0.14109589041095891</v>
      </c>
      <c r="U9" t="s">
        <v>16</v>
      </c>
      <c r="V9" t="s">
        <v>16</v>
      </c>
    </row>
    <row r="10" spans="1:22" x14ac:dyDescent="0.3">
      <c r="Q10" s="10"/>
    </row>
    <row r="11" spans="1:22" x14ac:dyDescent="0.3">
      <c r="Q11" s="10"/>
    </row>
    <row r="12" spans="1:22" x14ac:dyDescent="0.3">
      <c r="Q12" s="10"/>
    </row>
    <row r="13" spans="1:22" x14ac:dyDescent="0.3">
      <c r="Q13" s="10"/>
    </row>
    <row r="14" spans="1:22" x14ac:dyDescent="0.3">
      <c r="Q14" s="10"/>
    </row>
    <row r="15" spans="1:22" x14ac:dyDescent="0.3">
      <c r="Q15" s="10"/>
    </row>
    <row r="16" spans="1:22" x14ac:dyDescent="0.3">
      <c r="Q16" s="10"/>
    </row>
    <row r="17" spans="17:17" x14ac:dyDescent="0.3">
      <c r="Q17" s="10"/>
    </row>
    <row r="18" spans="17:17" x14ac:dyDescent="0.3">
      <c r="Q18" s="10"/>
    </row>
    <row r="19" spans="17:17" x14ac:dyDescent="0.3">
      <c r="Q19" s="10"/>
    </row>
    <row r="20" spans="17:17" x14ac:dyDescent="0.3">
      <c r="Q20" s="10"/>
    </row>
    <row r="21" spans="17:17" x14ac:dyDescent="0.3">
      <c r="Q21" s="10"/>
    </row>
    <row r="22" spans="17:17" x14ac:dyDescent="0.3">
      <c r="Q22" s="10"/>
    </row>
    <row r="23" spans="17:17" x14ac:dyDescent="0.3">
      <c r="Q23" s="10"/>
    </row>
    <row r="24" spans="17:17" x14ac:dyDescent="0.3">
      <c r="Q24" s="10"/>
    </row>
    <row r="25" spans="17:17" x14ac:dyDescent="0.3">
      <c r="Q25" s="10"/>
    </row>
    <row r="26" spans="17:17" x14ac:dyDescent="0.3">
      <c r="Q26" s="10"/>
    </row>
    <row r="27" spans="17:17" x14ac:dyDescent="0.3">
      <c r="Q27" s="10"/>
    </row>
    <row r="28" spans="17:17" x14ac:dyDescent="0.3">
      <c r="Q28" s="10"/>
    </row>
    <row r="29" spans="17:17" x14ac:dyDescent="0.3">
      <c r="Q29" s="10"/>
    </row>
    <row r="30" spans="17:17" x14ac:dyDescent="0.3">
      <c r="Q30" s="10"/>
    </row>
    <row r="31" spans="17:17" x14ac:dyDescent="0.3">
      <c r="Q31" s="10"/>
    </row>
    <row r="32" spans="17:17" x14ac:dyDescent="0.3">
      <c r="Q32" s="10"/>
    </row>
    <row r="33" spans="17:17" x14ac:dyDescent="0.3">
      <c r="Q33" s="10"/>
    </row>
    <row r="34" spans="17:17" x14ac:dyDescent="0.3">
      <c r="Q34" s="10"/>
    </row>
    <row r="35" spans="17:17" x14ac:dyDescent="0.3">
      <c r="Q35" s="10"/>
    </row>
    <row r="36" spans="17:17" x14ac:dyDescent="0.3">
      <c r="Q36" s="10"/>
    </row>
    <row r="37" spans="17:17" x14ac:dyDescent="0.3">
      <c r="Q37" s="10"/>
    </row>
    <row r="38" spans="17:17" x14ac:dyDescent="0.3">
      <c r="Q38" s="10"/>
    </row>
    <row r="39" spans="17:17" x14ac:dyDescent="0.3">
      <c r="Q39" s="10"/>
    </row>
    <row r="40" spans="17:17" x14ac:dyDescent="0.3">
      <c r="Q40" s="10"/>
    </row>
    <row r="41" spans="17:17" x14ac:dyDescent="0.3">
      <c r="Q41" s="10"/>
    </row>
    <row r="42" spans="17:17" x14ac:dyDescent="0.3">
      <c r="Q42" s="10"/>
    </row>
    <row r="43" spans="17:17" x14ac:dyDescent="0.3">
      <c r="Q43" s="10"/>
    </row>
    <row r="44" spans="17:17" x14ac:dyDescent="0.3">
      <c r="Q44" s="10"/>
    </row>
    <row r="45" spans="17:17" x14ac:dyDescent="0.3">
      <c r="Q45" s="10"/>
    </row>
    <row r="46" spans="17:17" x14ac:dyDescent="0.3">
      <c r="Q46" s="10"/>
    </row>
    <row r="47" spans="17:17" x14ac:dyDescent="0.3">
      <c r="Q47" s="10"/>
    </row>
    <row r="48" spans="17:17" x14ac:dyDescent="0.3">
      <c r="Q48" s="10"/>
    </row>
    <row r="49" spans="17:17" x14ac:dyDescent="0.3">
      <c r="Q49" s="10"/>
    </row>
    <row r="50" spans="17:17" x14ac:dyDescent="0.3">
      <c r="Q50" s="10"/>
    </row>
    <row r="51" spans="17:17" x14ac:dyDescent="0.3">
      <c r="Q51" s="10"/>
    </row>
    <row r="52" spans="17:17" x14ac:dyDescent="0.3">
      <c r="Q52" s="10"/>
    </row>
    <row r="53" spans="17:17" x14ac:dyDescent="0.3">
      <c r="Q53" s="10"/>
    </row>
    <row r="54" spans="17:17" x14ac:dyDescent="0.3">
      <c r="Q54" s="10"/>
    </row>
    <row r="55" spans="17:17" x14ac:dyDescent="0.3">
      <c r="Q55" s="10"/>
    </row>
    <row r="56" spans="17:17" x14ac:dyDescent="0.3">
      <c r="Q56" s="10"/>
    </row>
    <row r="57" spans="17:17" x14ac:dyDescent="0.3">
      <c r="Q57" s="10"/>
    </row>
    <row r="58" spans="17:17" x14ac:dyDescent="0.3">
      <c r="Q58" s="10"/>
    </row>
    <row r="59" spans="17:17" x14ac:dyDescent="0.3">
      <c r="Q59" s="10"/>
    </row>
    <row r="60" spans="17:17" x14ac:dyDescent="0.3">
      <c r="Q60" s="10"/>
    </row>
    <row r="61" spans="17:17" x14ac:dyDescent="0.3">
      <c r="Q61" s="10"/>
    </row>
    <row r="62" spans="17:17" x14ac:dyDescent="0.3">
      <c r="Q62" s="10"/>
    </row>
    <row r="63" spans="17:17" x14ac:dyDescent="0.3">
      <c r="Q63" s="10"/>
    </row>
    <row r="64" spans="17:17" x14ac:dyDescent="0.3">
      <c r="Q64" s="10"/>
    </row>
    <row r="65" spans="17:17" x14ac:dyDescent="0.3">
      <c r="Q65" s="10"/>
    </row>
    <row r="66" spans="17:17" x14ac:dyDescent="0.3">
      <c r="Q66" s="10"/>
    </row>
    <row r="67" spans="17:17" x14ac:dyDescent="0.3">
      <c r="Q67" s="10"/>
    </row>
    <row r="68" spans="17:17" x14ac:dyDescent="0.3">
      <c r="Q68" s="10"/>
    </row>
    <row r="69" spans="17:17" x14ac:dyDescent="0.3">
      <c r="Q69" s="10"/>
    </row>
    <row r="70" spans="17:17" x14ac:dyDescent="0.3">
      <c r="Q70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"/>
  <sheetViews>
    <sheetView zoomScale="90" zoomScaleNormal="90" workbookViewId="0">
      <pane ySplit="1" topLeftCell="A2" activePane="bottomLeft" state="frozen"/>
      <selection pane="bottomLeft" activeCell="E23" sqref="E23"/>
    </sheetView>
  </sheetViews>
  <sheetFormatPr defaultRowHeight="16.5" x14ac:dyDescent="0.3"/>
  <cols>
    <col min="1" max="2" width="4.875" customWidth="1"/>
    <col min="3" max="3" width="4.75" customWidth="1"/>
    <col min="4" max="4" width="7.375" customWidth="1"/>
    <col min="5" max="5" width="7.5" customWidth="1"/>
    <col min="6" max="6" width="9" style="3"/>
    <col min="7" max="7" width="6.625" customWidth="1"/>
    <col min="8" max="8" width="5" customWidth="1"/>
    <col min="9" max="9" width="6.625" customWidth="1"/>
    <col min="11" max="11" width="10.375" customWidth="1"/>
    <col min="12" max="13" width="10.125" customWidth="1"/>
    <col min="14" max="14" width="10.5" customWidth="1"/>
    <col min="15" max="15" width="7" customWidth="1"/>
    <col min="16" max="17" width="9.125" style="7" customWidth="1"/>
    <col min="18" max="18" width="6.625" customWidth="1"/>
    <col min="19" max="19" width="7.125" customWidth="1"/>
    <col min="20" max="20" width="7.5" style="5" customWidth="1"/>
    <col min="21" max="21" width="3.5" customWidth="1"/>
    <col min="22" max="22" width="2.75" customWidth="1"/>
  </cols>
  <sheetData>
    <row r="1" spans="1:22" s="1" customFormat="1" ht="29.25" customHeight="1" x14ac:dyDescent="0.3">
      <c r="A1" s="1" t="s">
        <v>0</v>
      </c>
      <c r="B1" s="1" t="s">
        <v>23</v>
      </c>
      <c r="C1" s="1" t="s">
        <v>25</v>
      </c>
      <c r="D1" s="1" t="s">
        <v>1</v>
      </c>
      <c r="E1" s="1" t="s">
        <v>2</v>
      </c>
      <c r="F1" s="8" t="s">
        <v>3</v>
      </c>
      <c r="G1" s="1" t="s">
        <v>4</v>
      </c>
      <c r="H1" s="1" t="s">
        <v>5</v>
      </c>
      <c r="I1" s="9" t="s">
        <v>6</v>
      </c>
      <c r="J1" s="1" t="s">
        <v>10</v>
      </c>
      <c r="K1" s="1" t="s">
        <v>21</v>
      </c>
      <c r="L1" s="1" t="s">
        <v>22</v>
      </c>
      <c r="M1" s="1" t="s">
        <v>11</v>
      </c>
      <c r="N1" s="1" t="s">
        <v>12</v>
      </c>
      <c r="O1" s="1" t="s">
        <v>7</v>
      </c>
      <c r="P1" s="6" t="s">
        <v>39</v>
      </c>
      <c r="Q1" s="6" t="s">
        <v>731</v>
      </c>
      <c r="R1" s="1" t="s">
        <v>8</v>
      </c>
      <c r="S1" s="1" t="s">
        <v>19</v>
      </c>
      <c r="T1" s="4" t="s">
        <v>20</v>
      </c>
      <c r="U1" s="1" t="s">
        <v>9</v>
      </c>
      <c r="V1" s="1" t="s">
        <v>13</v>
      </c>
    </row>
    <row r="2" spans="1:22" x14ac:dyDescent="0.3">
      <c r="A2" t="s">
        <v>730</v>
      </c>
      <c r="B2" t="s">
        <v>68</v>
      </c>
      <c r="C2">
        <v>131</v>
      </c>
      <c r="D2" t="s">
        <v>14</v>
      </c>
      <c r="E2" t="s">
        <v>45</v>
      </c>
      <c r="F2" s="3" t="s">
        <v>816</v>
      </c>
      <c r="G2">
        <v>20023</v>
      </c>
      <c r="H2" t="s">
        <v>18</v>
      </c>
      <c r="I2" t="s">
        <v>18</v>
      </c>
      <c r="J2" t="s">
        <v>95</v>
      </c>
      <c r="K2" t="s">
        <v>95</v>
      </c>
      <c r="L2" t="s">
        <v>344</v>
      </c>
      <c r="M2" t="s">
        <v>95</v>
      </c>
      <c r="N2" t="s">
        <v>817</v>
      </c>
      <c r="O2">
        <v>95</v>
      </c>
      <c r="P2" s="7">
        <v>5298</v>
      </c>
      <c r="Q2" s="10">
        <v>0.84</v>
      </c>
      <c r="R2">
        <v>0.09</v>
      </c>
      <c r="S2">
        <v>1.54</v>
      </c>
      <c r="T2" s="5">
        <f>O2/730</f>
        <v>0.13013698630136986</v>
      </c>
      <c r="U2" t="s">
        <v>16</v>
      </c>
      <c r="V2" t="s">
        <v>16</v>
      </c>
    </row>
    <row r="3" spans="1:22" x14ac:dyDescent="0.3">
      <c r="A3" t="s">
        <v>730</v>
      </c>
      <c r="B3" t="s">
        <v>68</v>
      </c>
      <c r="C3">
        <v>131</v>
      </c>
      <c r="D3" t="s">
        <v>14</v>
      </c>
      <c r="E3" t="s">
        <v>45</v>
      </c>
      <c r="F3" s="3" t="s">
        <v>420</v>
      </c>
      <c r="G3">
        <v>20023</v>
      </c>
      <c r="H3" t="s">
        <v>18</v>
      </c>
      <c r="I3" t="s">
        <v>18</v>
      </c>
      <c r="J3" t="s">
        <v>757</v>
      </c>
      <c r="K3" t="s">
        <v>95</v>
      </c>
      <c r="L3" t="s">
        <v>95</v>
      </c>
      <c r="M3" t="s">
        <v>95</v>
      </c>
      <c r="N3" t="s">
        <v>95</v>
      </c>
      <c r="O3">
        <v>577</v>
      </c>
      <c r="P3" s="7">
        <v>11364</v>
      </c>
      <c r="Q3" s="10">
        <v>0.82</v>
      </c>
      <c r="R3">
        <v>7.0000000000000007E-2</v>
      </c>
      <c r="S3">
        <v>1.19</v>
      </c>
      <c r="T3" s="5">
        <f>O3/730</f>
        <v>0.79041095890410962</v>
      </c>
      <c r="U3" t="s">
        <v>16</v>
      </c>
      <c r="V3" t="s">
        <v>16</v>
      </c>
    </row>
    <row r="4" spans="1:22" x14ac:dyDescent="0.3">
      <c r="A4" t="s">
        <v>730</v>
      </c>
      <c r="B4" t="s">
        <v>68</v>
      </c>
      <c r="C4">
        <v>131</v>
      </c>
      <c r="D4" t="s">
        <v>14</v>
      </c>
      <c r="E4" t="s">
        <v>45</v>
      </c>
      <c r="F4" s="3" t="s">
        <v>835</v>
      </c>
      <c r="G4">
        <v>20023</v>
      </c>
      <c r="H4" t="s">
        <v>18</v>
      </c>
      <c r="I4" t="s">
        <v>18</v>
      </c>
      <c r="J4" t="s">
        <v>836</v>
      </c>
      <c r="K4" t="s">
        <v>454</v>
      </c>
      <c r="L4" t="s">
        <v>95</v>
      </c>
      <c r="M4" t="s">
        <v>95</v>
      </c>
      <c r="N4" t="s">
        <v>95</v>
      </c>
      <c r="O4">
        <v>98</v>
      </c>
      <c r="P4" s="7">
        <v>8631</v>
      </c>
      <c r="Q4" s="10">
        <v>0.8</v>
      </c>
      <c r="R4">
        <v>0.12</v>
      </c>
      <c r="S4">
        <v>1.88</v>
      </c>
      <c r="T4" s="5">
        <f>O4/730</f>
        <v>0.13424657534246576</v>
      </c>
      <c r="U4" t="s">
        <v>16</v>
      </c>
      <c r="V4" t="s">
        <v>16</v>
      </c>
    </row>
    <row r="5" spans="1:22" x14ac:dyDescent="0.3">
      <c r="A5" t="s">
        <v>730</v>
      </c>
      <c r="B5" t="s">
        <v>68</v>
      </c>
      <c r="C5">
        <v>131</v>
      </c>
      <c r="D5" t="s">
        <v>14</v>
      </c>
      <c r="E5" t="s">
        <v>45</v>
      </c>
      <c r="F5" s="3" t="s">
        <v>818</v>
      </c>
      <c r="G5">
        <v>20023</v>
      </c>
      <c r="H5" t="s">
        <v>18</v>
      </c>
      <c r="I5" t="s">
        <v>18</v>
      </c>
      <c r="J5" t="s">
        <v>95</v>
      </c>
      <c r="K5" t="s">
        <v>95</v>
      </c>
      <c r="L5" t="s">
        <v>344</v>
      </c>
      <c r="M5" t="s">
        <v>95</v>
      </c>
      <c r="N5" t="s">
        <v>819</v>
      </c>
      <c r="O5">
        <v>40</v>
      </c>
      <c r="P5" s="7">
        <v>2440</v>
      </c>
      <c r="Q5" s="10">
        <v>0.78</v>
      </c>
      <c r="R5">
        <v>0.1</v>
      </c>
      <c r="S5">
        <v>1.61</v>
      </c>
      <c r="T5" s="5">
        <f>O5/730</f>
        <v>5.4794520547945202E-2</v>
      </c>
      <c r="U5" t="s">
        <v>16</v>
      </c>
      <c r="V5" t="s">
        <v>16</v>
      </c>
    </row>
    <row r="6" spans="1:22" x14ac:dyDescent="0.3">
      <c r="A6" t="s">
        <v>730</v>
      </c>
      <c r="B6" t="s">
        <v>68</v>
      </c>
      <c r="C6">
        <v>131</v>
      </c>
      <c r="D6" t="s">
        <v>14</v>
      </c>
      <c r="E6" t="s">
        <v>45</v>
      </c>
      <c r="F6" s="3" t="s">
        <v>849</v>
      </c>
      <c r="G6">
        <v>20023</v>
      </c>
      <c r="H6" t="s">
        <v>18</v>
      </c>
      <c r="I6" t="s">
        <v>18</v>
      </c>
      <c r="J6" t="s">
        <v>847</v>
      </c>
      <c r="K6" t="s">
        <v>95</v>
      </c>
      <c r="L6" t="s">
        <v>850</v>
      </c>
      <c r="M6" t="s">
        <v>95</v>
      </c>
      <c r="N6" t="s">
        <v>95</v>
      </c>
      <c r="O6">
        <v>124</v>
      </c>
      <c r="P6" s="7">
        <v>9007</v>
      </c>
      <c r="Q6" s="10">
        <v>0.75</v>
      </c>
      <c r="R6">
        <v>0.09</v>
      </c>
      <c r="S6">
        <v>1.72</v>
      </c>
      <c r="T6" s="5">
        <f>O6/730</f>
        <v>0.16986301369863013</v>
      </c>
      <c r="U6" t="s">
        <v>16</v>
      </c>
      <c r="V6" t="s">
        <v>16</v>
      </c>
    </row>
    <row r="7" spans="1:22" x14ac:dyDescent="0.3">
      <c r="A7" t="s">
        <v>730</v>
      </c>
      <c r="B7" t="s">
        <v>68</v>
      </c>
      <c r="C7">
        <v>131</v>
      </c>
      <c r="D7" t="s">
        <v>14</v>
      </c>
      <c r="E7" t="s">
        <v>45</v>
      </c>
      <c r="F7" s="3" t="s">
        <v>403</v>
      </c>
      <c r="G7">
        <v>20023</v>
      </c>
      <c r="H7" t="s">
        <v>18</v>
      </c>
      <c r="I7" t="s">
        <v>18</v>
      </c>
      <c r="J7" t="s">
        <v>751</v>
      </c>
      <c r="K7" t="s">
        <v>95</v>
      </c>
      <c r="L7" t="s">
        <v>95</v>
      </c>
      <c r="M7" t="s">
        <v>95</v>
      </c>
      <c r="N7" t="s">
        <v>95</v>
      </c>
      <c r="O7">
        <v>258</v>
      </c>
      <c r="P7" s="7">
        <v>6548</v>
      </c>
      <c r="Q7" s="10">
        <v>0.72</v>
      </c>
      <c r="R7">
        <v>0.06</v>
      </c>
      <c r="S7">
        <v>1.25</v>
      </c>
      <c r="T7" s="5">
        <f>O7/730</f>
        <v>0.35342465753424657</v>
      </c>
      <c r="U7" t="s">
        <v>16</v>
      </c>
      <c r="V7" t="s">
        <v>16</v>
      </c>
    </row>
    <row r="8" spans="1:22" x14ac:dyDescent="0.3">
      <c r="A8" t="s">
        <v>730</v>
      </c>
      <c r="B8" t="s">
        <v>68</v>
      </c>
      <c r="C8">
        <v>131</v>
      </c>
      <c r="D8" t="s">
        <v>14</v>
      </c>
      <c r="E8" t="s">
        <v>45</v>
      </c>
      <c r="F8" s="3" t="s">
        <v>157</v>
      </c>
      <c r="G8">
        <v>20023</v>
      </c>
      <c r="H8" t="s">
        <v>18</v>
      </c>
      <c r="I8" t="s">
        <v>18</v>
      </c>
      <c r="J8" t="s">
        <v>344</v>
      </c>
      <c r="K8" t="s">
        <v>809</v>
      </c>
      <c r="L8" t="s">
        <v>344</v>
      </c>
      <c r="M8" t="s">
        <v>344</v>
      </c>
      <c r="N8" t="s">
        <v>95</v>
      </c>
      <c r="O8">
        <v>166</v>
      </c>
      <c r="P8" s="7">
        <v>6571</v>
      </c>
      <c r="Q8" s="10">
        <v>0.7</v>
      </c>
      <c r="R8">
        <v>7.0000000000000007E-2</v>
      </c>
      <c r="S8">
        <v>1.39</v>
      </c>
      <c r="T8" s="5">
        <f>O8/730</f>
        <v>0.22739726027397261</v>
      </c>
      <c r="U8" t="s">
        <v>16</v>
      </c>
      <c r="V8" t="s">
        <v>16</v>
      </c>
    </row>
    <row r="9" spans="1:22" x14ac:dyDescent="0.3">
      <c r="A9" t="s">
        <v>730</v>
      </c>
      <c r="B9" t="s">
        <v>68</v>
      </c>
      <c r="C9">
        <v>131</v>
      </c>
      <c r="D9" t="s">
        <v>14</v>
      </c>
      <c r="E9" t="s">
        <v>45</v>
      </c>
      <c r="F9" s="3" t="s">
        <v>822</v>
      </c>
      <c r="G9">
        <v>20023</v>
      </c>
      <c r="H9" t="s">
        <v>18</v>
      </c>
      <c r="I9" t="s">
        <v>18</v>
      </c>
      <c r="J9" t="s">
        <v>95</v>
      </c>
      <c r="K9" t="s">
        <v>823</v>
      </c>
      <c r="L9" t="s">
        <v>344</v>
      </c>
      <c r="M9" t="s">
        <v>95</v>
      </c>
      <c r="N9" t="s">
        <v>95</v>
      </c>
      <c r="O9">
        <v>103</v>
      </c>
      <c r="P9" s="7">
        <v>7449</v>
      </c>
      <c r="Q9" s="10">
        <v>0.7</v>
      </c>
      <c r="R9">
        <v>0.05</v>
      </c>
      <c r="S9">
        <v>1.72</v>
      </c>
      <c r="T9" s="5">
        <f>O9/730</f>
        <v>0.14109589041095891</v>
      </c>
      <c r="U9" t="s">
        <v>16</v>
      </c>
      <c r="V9" t="s">
        <v>16</v>
      </c>
    </row>
    <row r="10" spans="1:22" x14ac:dyDescent="0.3">
      <c r="A10" t="s">
        <v>730</v>
      </c>
      <c r="B10" t="s">
        <v>68</v>
      </c>
      <c r="C10">
        <v>131</v>
      </c>
      <c r="D10" t="s">
        <v>14</v>
      </c>
      <c r="E10" t="s">
        <v>45</v>
      </c>
      <c r="F10" s="3" t="s">
        <v>761</v>
      </c>
      <c r="G10">
        <v>20023</v>
      </c>
      <c r="H10" t="s">
        <v>18</v>
      </c>
      <c r="I10" t="s">
        <v>18</v>
      </c>
      <c r="J10" t="s">
        <v>762</v>
      </c>
      <c r="K10" t="s">
        <v>95</v>
      </c>
      <c r="L10" t="s">
        <v>95</v>
      </c>
      <c r="M10" t="s">
        <v>763</v>
      </c>
      <c r="N10" t="s">
        <v>95</v>
      </c>
      <c r="O10">
        <v>275</v>
      </c>
      <c r="P10" s="7">
        <v>9952</v>
      </c>
      <c r="Q10" s="10">
        <v>0.69</v>
      </c>
      <c r="R10">
        <v>7.0000000000000007E-2</v>
      </c>
      <c r="S10">
        <v>1.36</v>
      </c>
      <c r="T10" s="5">
        <f>O10/730</f>
        <v>0.37671232876712329</v>
      </c>
      <c r="U10" t="s">
        <v>16</v>
      </c>
      <c r="V10" t="s">
        <v>16</v>
      </c>
    </row>
    <row r="11" spans="1:22" x14ac:dyDescent="0.3">
      <c r="A11" t="s">
        <v>730</v>
      </c>
      <c r="B11" t="s">
        <v>68</v>
      </c>
      <c r="C11">
        <v>131</v>
      </c>
      <c r="D11" t="s">
        <v>14</v>
      </c>
      <c r="E11" t="s">
        <v>45</v>
      </c>
      <c r="F11" s="3" t="s">
        <v>406</v>
      </c>
      <c r="G11">
        <v>20023</v>
      </c>
      <c r="H11" t="s">
        <v>18</v>
      </c>
      <c r="I11" t="s">
        <v>18</v>
      </c>
      <c r="J11" t="s">
        <v>95</v>
      </c>
      <c r="K11" t="s">
        <v>95</v>
      </c>
      <c r="L11" t="s">
        <v>95</v>
      </c>
      <c r="M11" t="s">
        <v>752</v>
      </c>
      <c r="N11" t="s">
        <v>95</v>
      </c>
      <c r="O11">
        <v>199</v>
      </c>
      <c r="P11" s="7">
        <v>4200</v>
      </c>
      <c r="Q11" s="10">
        <v>0.68</v>
      </c>
      <c r="R11">
        <v>0.1</v>
      </c>
      <c r="S11">
        <v>1.21</v>
      </c>
      <c r="T11" s="5">
        <f>O11/730</f>
        <v>0.27260273972602739</v>
      </c>
      <c r="U11" t="s">
        <v>16</v>
      </c>
      <c r="V11" t="s">
        <v>16</v>
      </c>
    </row>
    <row r="12" spans="1:22" x14ac:dyDescent="0.3">
      <c r="A12" t="s">
        <v>730</v>
      </c>
      <c r="B12" t="s">
        <v>68</v>
      </c>
      <c r="C12">
        <v>131</v>
      </c>
      <c r="D12" t="s">
        <v>14</v>
      </c>
      <c r="E12" t="s">
        <v>45</v>
      </c>
      <c r="F12" s="3" t="s">
        <v>416</v>
      </c>
      <c r="G12">
        <v>20023</v>
      </c>
      <c r="H12" t="s">
        <v>18</v>
      </c>
      <c r="I12" t="s">
        <v>18</v>
      </c>
      <c r="J12" t="s">
        <v>756</v>
      </c>
      <c r="K12" t="s">
        <v>95</v>
      </c>
      <c r="L12" t="s">
        <v>95</v>
      </c>
      <c r="M12" t="s">
        <v>95</v>
      </c>
      <c r="N12" t="s">
        <v>95</v>
      </c>
      <c r="O12">
        <v>825</v>
      </c>
      <c r="P12" s="7">
        <v>19316</v>
      </c>
      <c r="Q12" s="10">
        <v>0.67</v>
      </c>
      <c r="R12">
        <v>0.08</v>
      </c>
      <c r="S12">
        <v>1.23</v>
      </c>
      <c r="T12" s="5">
        <f>O12/730</f>
        <v>1.1301369863013699</v>
      </c>
      <c r="U12" t="s">
        <v>16</v>
      </c>
      <c r="V12" t="s">
        <v>16</v>
      </c>
    </row>
    <row r="13" spans="1:22" x14ac:dyDescent="0.3">
      <c r="A13" t="s">
        <v>730</v>
      </c>
      <c r="B13" t="s">
        <v>68</v>
      </c>
      <c r="C13">
        <v>131</v>
      </c>
      <c r="D13" t="s">
        <v>14</v>
      </c>
      <c r="E13" t="s">
        <v>45</v>
      </c>
      <c r="F13" s="3" t="s">
        <v>764</v>
      </c>
      <c r="G13">
        <v>20023</v>
      </c>
      <c r="H13" t="s">
        <v>18</v>
      </c>
      <c r="I13" t="s">
        <v>18</v>
      </c>
      <c r="J13" t="s">
        <v>95</v>
      </c>
      <c r="K13" t="s">
        <v>765</v>
      </c>
      <c r="L13" t="s">
        <v>95</v>
      </c>
      <c r="M13" t="s">
        <v>763</v>
      </c>
      <c r="N13" t="s">
        <v>95</v>
      </c>
      <c r="O13">
        <v>217</v>
      </c>
      <c r="P13" s="7">
        <v>12669</v>
      </c>
      <c r="Q13" s="10">
        <v>0.66</v>
      </c>
      <c r="R13">
        <v>0.08</v>
      </c>
      <c r="S13">
        <v>1.58</v>
      </c>
      <c r="T13" s="5">
        <f>O13/730</f>
        <v>0.29726027397260274</v>
      </c>
      <c r="U13" t="s">
        <v>16</v>
      </c>
      <c r="V13" t="s">
        <v>16</v>
      </c>
    </row>
    <row r="14" spans="1:22" x14ac:dyDescent="0.3">
      <c r="Q14" s="10"/>
    </row>
    <row r="15" spans="1:22" x14ac:dyDescent="0.3">
      <c r="Q15" s="10"/>
    </row>
    <row r="16" spans="1:22" x14ac:dyDescent="0.3">
      <c r="Q16" s="10"/>
    </row>
    <row r="17" spans="17:17" x14ac:dyDescent="0.3">
      <c r="Q17" s="10"/>
    </row>
    <row r="18" spans="17:17" x14ac:dyDescent="0.3">
      <c r="Q18" s="10"/>
    </row>
    <row r="19" spans="17:17" x14ac:dyDescent="0.3">
      <c r="Q19" s="10"/>
    </row>
    <row r="20" spans="17:17" x14ac:dyDescent="0.3">
      <c r="Q20" s="10"/>
    </row>
    <row r="21" spans="17:17" x14ac:dyDescent="0.3">
      <c r="Q21" s="10"/>
    </row>
    <row r="22" spans="17:17" x14ac:dyDescent="0.3">
      <c r="Q22" s="10"/>
    </row>
    <row r="23" spans="17:17" x14ac:dyDescent="0.3">
      <c r="Q23" s="10"/>
    </row>
    <row r="24" spans="17:17" x14ac:dyDescent="0.3">
      <c r="Q24" s="10"/>
    </row>
    <row r="25" spans="17:17" x14ac:dyDescent="0.3">
      <c r="Q25" s="10"/>
    </row>
    <row r="26" spans="17:17" x14ac:dyDescent="0.3">
      <c r="Q26" s="10"/>
    </row>
    <row r="27" spans="17:17" x14ac:dyDescent="0.3">
      <c r="Q27" s="10"/>
    </row>
    <row r="28" spans="17:17" x14ac:dyDescent="0.3">
      <c r="Q28" s="10"/>
    </row>
    <row r="29" spans="17:17" x14ac:dyDescent="0.3">
      <c r="Q29" s="10"/>
    </row>
    <row r="30" spans="17:17" x14ac:dyDescent="0.3">
      <c r="Q30" s="10"/>
    </row>
    <row r="31" spans="17:17" x14ac:dyDescent="0.3">
      <c r="Q31" s="10"/>
    </row>
    <row r="32" spans="17:17" x14ac:dyDescent="0.3">
      <c r="Q32" s="10"/>
    </row>
    <row r="33" spans="17:17" x14ac:dyDescent="0.3">
      <c r="Q33" s="10"/>
    </row>
    <row r="34" spans="17:17" x14ac:dyDescent="0.3">
      <c r="Q34" s="10"/>
    </row>
    <row r="35" spans="17:17" x14ac:dyDescent="0.3">
      <c r="Q35" s="10"/>
    </row>
    <row r="36" spans="17:17" x14ac:dyDescent="0.3">
      <c r="Q36" s="10"/>
    </row>
    <row r="37" spans="17:17" x14ac:dyDescent="0.3">
      <c r="Q37" s="10"/>
    </row>
    <row r="38" spans="17:17" x14ac:dyDescent="0.3">
      <c r="Q38" s="10"/>
    </row>
    <row r="39" spans="17:17" x14ac:dyDescent="0.3">
      <c r="Q39" s="10"/>
    </row>
    <row r="40" spans="17:17" x14ac:dyDescent="0.3">
      <c r="Q40" s="10"/>
    </row>
    <row r="41" spans="17:17" x14ac:dyDescent="0.3">
      <c r="Q41" s="10"/>
    </row>
    <row r="42" spans="17:17" x14ac:dyDescent="0.3">
      <c r="Q42" s="10"/>
    </row>
    <row r="43" spans="17:17" x14ac:dyDescent="0.3">
      <c r="Q43" s="10"/>
    </row>
    <row r="44" spans="17:17" x14ac:dyDescent="0.3">
      <c r="Q44" s="10"/>
    </row>
    <row r="45" spans="17:17" x14ac:dyDescent="0.3">
      <c r="Q45" s="10"/>
    </row>
    <row r="46" spans="17:17" x14ac:dyDescent="0.3">
      <c r="Q46" s="10"/>
    </row>
    <row r="47" spans="17:17" x14ac:dyDescent="0.3">
      <c r="Q47" s="10"/>
    </row>
    <row r="48" spans="17:17" x14ac:dyDescent="0.3">
      <c r="Q48" s="10"/>
    </row>
    <row r="49" spans="17:17" x14ac:dyDescent="0.3">
      <c r="Q49" s="10"/>
    </row>
    <row r="50" spans="17:17" x14ac:dyDescent="0.3">
      <c r="Q50" s="10"/>
    </row>
    <row r="51" spans="17:17" x14ac:dyDescent="0.3">
      <c r="Q51" s="10"/>
    </row>
    <row r="52" spans="17:17" x14ac:dyDescent="0.3">
      <c r="Q52" s="10"/>
    </row>
    <row r="53" spans="17:17" x14ac:dyDescent="0.3">
      <c r="Q53" s="10"/>
    </row>
    <row r="54" spans="17:17" x14ac:dyDescent="0.3">
      <c r="Q54" s="10"/>
    </row>
    <row r="55" spans="17:17" x14ac:dyDescent="0.3">
      <c r="Q55" s="10"/>
    </row>
    <row r="56" spans="17:17" x14ac:dyDescent="0.3">
      <c r="Q56" s="10"/>
    </row>
    <row r="57" spans="17:17" x14ac:dyDescent="0.3">
      <c r="Q57" s="10"/>
    </row>
    <row r="58" spans="17:17" x14ac:dyDescent="0.3">
      <c r="Q58" s="10"/>
    </row>
    <row r="59" spans="17:17" x14ac:dyDescent="0.3">
      <c r="Q59" s="10"/>
    </row>
    <row r="60" spans="17:17" x14ac:dyDescent="0.3">
      <c r="Q60" s="10"/>
    </row>
    <row r="61" spans="17:17" x14ac:dyDescent="0.3">
      <c r="Q61" s="10"/>
    </row>
    <row r="62" spans="17:17" x14ac:dyDescent="0.3">
      <c r="Q62" s="10"/>
    </row>
    <row r="63" spans="17:17" x14ac:dyDescent="0.3">
      <c r="Q63" s="10"/>
    </row>
    <row r="64" spans="17:17" x14ac:dyDescent="0.3">
      <c r="Q64" s="10"/>
    </row>
    <row r="65" spans="17:17" x14ac:dyDescent="0.3">
      <c r="Q65" s="10"/>
    </row>
    <row r="66" spans="17:17" x14ac:dyDescent="0.3">
      <c r="Q66" s="10"/>
    </row>
    <row r="67" spans="17:17" x14ac:dyDescent="0.3">
      <c r="Q67" s="10"/>
    </row>
    <row r="68" spans="17:17" x14ac:dyDescent="0.3">
      <c r="Q68" s="10"/>
    </row>
    <row r="69" spans="17:17" x14ac:dyDescent="0.3">
      <c r="Q69" s="10"/>
    </row>
    <row r="70" spans="17:17" x14ac:dyDescent="0.3">
      <c r="Q70" s="10"/>
    </row>
  </sheetData>
  <sortState ref="A2:V71">
    <sortCondition descending="1" ref="Q3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"/>
  <sheetViews>
    <sheetView zoomScale="90" zoomScaleNormal="90" workbookViewId="0">
      <pane ySplit="1" topLeftCell="A2" activePane="bottomLeft" state="frozen"/>
      <selection pane="bottomLeft" activeCell="D17" sqref="D17"/>
    </sheetView>
  </sheetViews>
  <sheetFormatPr defaultRowHeight="16.5" x14ac:dyDescent="0.3"/>
  <cols>
    <col min="1" max="2" width="4.875" customWidth="1"/>
    <col min="3" max="3" width="4.75" customWidth="1"/>
    <col min="4" max="4" width="7.375" customWidth="1"/>
    <col min="5" max="5" width="7.5" customWidth="1"/>
    <col min="6" max="6" width="9" style="3"/>
    <col min="7" max="7" width="6.625" customWidth="1"/>
    <col min="8" max="8" width="5" customWidth="1"/>
    <col min="9" max="9" width="6.625" customWidth="1"/>
    <col min="11" max="11" width="10.375" customWidth="1"/>
    <col min="12" max="13" width="10.125" customWidth="1"/>
    <col min="14" max="14" width="10.5" customWidth="1"/>
    <col min="15" max="15" width="7" customWidth="1"/>
    <col min="16" max="17" width="9.125" style="7" customWidth="1"/>
    <col min="18" max="18" width="6.625" customWidth="1"/>
    <col min="19" max="19" width="7.125" customWidth="1"/>
    <col min="20" max="20" width="7.5" style="5" customWidth="1"/>
    <col min="21" max="21" width="3.5" customWidth="1"/>
    <col min="22" max="22" width="2.75" customWidth="1"/>
  </cols>
  <sheetData>
    <row r="1" spans="1:22" s="1" customFormat="1" ht="29.25" customHeight="1" x14ac:dyDescent="0.3">
      <c r="A1" s="1" t="s">
        <v>0</v>
      </c>
      <c r="B1" s="1" t="s">
        <v>23</v>
      </c>
      <c r="C1" s="1" t="s">
        <v>25</v>
      </c>
      <c r="D1" s="1" t="s">
        <v>1</v>
      </c>
      <c r="E1" s="1" t="s">
        <v>2</v>
      </c>
      <c r="F1" s="8" t="s">
        <v>3</v>
      </c>
      <c r="G1" s="1" t="s">
        <v>4</v>
      </c>
      <c r="H1" s="1" t="s">
        <v>5</v>
      </c>
      <c r="I1" s="9" t="s">
        <v>6</v>
      </c>
      <c r="J1" s="1" t="s">
        <v>10</v>
      </c>
      <c r="K1" s="1" t="s">
        <v>21</v>
      </c>
      <c r="L1" s="1" t="s">
        <v>22</v>
      </c>
      <c r="M1" s="1" t="s">
        <v>11</v>
      </c>
      <c r="N1" s="1" t="s">
        <v>12</v>
      </c>
      <c r="O1" s="1" t="s">
        <v>7</v>
      </c>
      <c r="P1" s="6" t="s">
        <v>39</v>
      </c>
      <c r="Q1" s="6" t="s">
        <v>731</v>
      </c>
      <c r="R1" s="1" t="s">
        <v>8</v>
      </c>
      <c r="S1" s="1" t="s">
        <v>19</v>
      </c>
      <c r="T1" s="4" t="s">
        <v>20</v>
      </c>
      <c r="U1" s="1" t="s">
        <v>9</v>
      </c>
      <c r="V1" s="1" t="s">
        <v>13</v>
      </c>
    </row>
    <row r="2" spans="1:22" x14ac:dyDescent="0.3">
      <c r="A2" t="s">
        <v>730</v>
      </c>
      <c r="B2" t="s">
        <v>68</v>
      </c>
      <c r="C2">
        <v>131</v>
      </c>
      <c r="D2" t="s">
        <v>14</v>
      </c>
      <c r="E2" t="s">
        <v>45</v>
      </c>
      <c r="F2" s="3" t="s">
        <v>816</v>
      </c>
      <c r="G2">
        <v>20023</v>
      </c>
      <c r="H2" t="s">
        <v>18</v>
      </c>
      <c r="I2" t="s">
        <v>18</v>
      </c>
      <c r="J2" t="s">
        <v>95</v>
      </c>
      <c r="K2" t="s">
        <v>95</v>
      </c>
      <c r="L2" t="s">
        <v>344</v>
      </c>
      <c r="M2" t="s">
        <v>95</v>
      </c>
      <c r="N2" t="s">
        <v>817</v>
      </c>
      <c r="O2">
        <v>95</v>
      </c>
      <c r="P2" s="7">
        <v>5298</v>
      </c>
      <c r="Q2" s="10">
        <v>0.84</v>
      </c>
      <c r="R2">
        <v>0.09</v>
      </c>
      <c r="S2">
        <v>1.54</v>
      </c>
      <c r="T2" s="5">
        <f>O2/730</f>
        <v>0.13013698630136986</v>
      </c>
      <c r="U2" t="s">
        <v>16</v>
      </c>
      <c r="V2" t="s">
        <v>16</v>
      </c>
    </row>
    <row r="3" spans="1:22" x14ac:dyDescent="0.3">
      <c r="A3" t="s">
        <v>730</v>
      </c>
      <c r="B3" t="s">
        <v>68</v>
      </c>
      <c r="C3">
        <v>131</v>
      </c>
      <c r="D3" t="s">
        <v>14</v>
      </c>
      <c r="E3" t="s">
        <v>45</v>
      </c>
      <c r="F3" s="3" t="s">
        <v>420</v>
      </c>
      <c r="G3">
        <v>20023</v>
      </c>
      <c r="H3" t="s">
        <v>18</v>
      </c>
      <c r="I3" t="s">
        <v>18</v>
      </c>
      <c r="J3" t="s">
        <v>757</v>
      </c>
      <c r="K3" t="s">
        <v>95</v>
      </c>
      <c r="L3" t="s">
        <v>95</v>
      </c>
      <c r="M3" t="s">
        <v>95</v>
      </c>
      <c r="N3" t="s">
        <v>95</v>
      </c>
      <c r="O3">
        <v>577</v>
      </c>
      <c r="P3" s="7">
        <v>11364</v>
      </c>
      <c r="Q3" s="10">
        <v>0.82</v>
      </c>
      <c r="R3">
        <v>7.0000000000000007E-2</v>
      </c>
      <c r="S3">
        <v>1.19</v>
      </c>
      <c r="T3" s="5">
        <f>O3/730</f>
        <v>0.79041095890410962</v>
      </c>
      <c r="U3" t="s">
        <v>16</v>
      </c>
      <c r="V3" t="s">
        <v>16</v>
      </c>
    </row>
    <row r="4" spans="1:22" x14ac:dyDescent="0.3">
      <c r="A4" t="s">
        <v>730</v>
      </c>
      <c r="B4" t="s">
        <v>68</v>
      </c>
      <c r="C4">
        <v>131</v>
      </c>
      <c r="D4" t="s">
        <v>14</v>
      </c>
      <c r="E4" t="s">
        <v>45</v>
      </c>
      <c r="F4" s="3" t="s">
        <v>835</v>
      </c>
      <c r="G4">
        <v>20023</v>
      </c>
      <c r="H4" t="s">
        <v>18</v>
      </c>
      <c r="I4" t="s">
        <v>18</v>
      </c>
      <c r="J4" t="s">
        <v>836</v>
      </c>
      <c r="K4" t="s">
        <v>454</v>
      </c>
      <c r="L4" t="s">
        <v>95</v>
      </c>
      <c r="M4" t="s">
        <v>95</v>
      </c>
      <c r="N4" t="s">
        <v>95</v>
      </c>
      <c r="O4">
        <v>98</v>
      </c>
      <c r="P4" s="7">
        <v>8631</v>
      </c>
      <c r="Q4" s="10">
        <v>0.8</v>
      </c>
      <c r="R4">
        <v>0.12</v>
      </c>
      <c r="S4">
        <v>1.88</v>
      </c>
      <c r="T4" s="5">
        <f>O4/730</f>
        <v>0.13424657534246576</v>
      </c>
      <c r="U4" t="s">
        <v>16</v>
      </c>
      <c r="V4" t="s">
        <v>16</v>
      </c>
    </row>
    <row r="5" spans="1:22" x14ac:dyDescent="0.3">
      <c r="A5" t="s">
        <v>730</v>
      </c>
      <c r="B5" t="s">
        <v>68</v>
      </c>
      <c r="C5">
        <v>131</v>
      </c>
      <c r="D5" t="s">
        <v>14</v>
      </c>
      <c r="E5" t="s">
        <v>45</v>
      </c>
      <c r="F5" s="3" t="s">
        <v>818</v>
      </c>
      <c r="G5">
        <v>20023</v>
      </c>
      <c r="H5" t="s">
        <v>18</v>
      </c>
      <c r="I5" t="s">
        <v>18</v>
      </c>
      <c r="J5" t="s">
        <v>95</v>
      </c>
      <c r="K5" t="s">
        <v>95</v>
      </c>
      <c r="L5" t="s">
        <v>344</v>
      </c>
      <c r="M5" t="s">
        <v>95</v>
      </c>
      <c r="N5" t="s">
        <v>819</v>
      </c>
      <c r="O5">
        <v>40</v>
      </c>
      <c r="P5" s="7">
        <v>2440</v>
      </c>
      <c r="Q5" s="10">
        <v>0.78</v>
      </c>
      <c r="R5">
        <v>0.1</v>
      </c>
      <c r="S5">
        <v>1.61</v>
      </c>
      <c r="T5" s="5">
        <f>O5/730</f>
        <v>5.4794520547945202E-2</v>
      </c>
      <c r="U5" t="s">
        <v>16</v>
      </c>
      <c r="V5" t="s">
        <v>16</v>
      </c>
    </row>
    <row r="6" spans="1:22" x14ac:dyDescent="0.3">
      <c r="A6" t="s">
        <v>730</v>
      </c>
      <c r="B6" t="s">
        <v>68</v>
      </c>
      <c r="C6">
        <v>131</v>
      </c>
      <c r="D6" t="s">
        <v>14</v>
      </c>
      <c r="E6" t="s">
        <v>45</v>
      </c>
      <c r="F6" s="3" t="s">
        <v>849</v>
      </c>
      <c r="G6">
        <v>20023</v>
      </c>
      <c r="H6" t="s">
        <v>18</v>
      </c>
      <c r="I6" t="s">
        <v>18</v>
      </c>
      <c r="J6" t="s">
        <v>847</v>
      </c>
      <c r="K6" t="s">
        <v>95</v>
      </c>
      <c r="L6" t="s">
        <v>850</v>
      </c>
      <c r="M6" t="s">
        <v>95</v>
      </c>
      <c r="N6" t="s">
        <v>95</v>
      </c>
      <c r="O6">
        <v>124</v>
      </c>
      <c r="P6" s="7">
        <v>9007</v>
      </c>
      <c r="Q6" s="10">
        <v>0.75</v>
      </c>
      <c r="R6">
        <v>0.09</v>
      </c>
      <c r="S6">
        <v>1.72</v>
      </c>
      <c r="T6" s="5">
        <f>O6/730</f>
        <v>0.16986301369863013</v>
      </c>
      <c r="U6" t="s">
        <v>16</v>
      </c>
      <c r="V6" t="s">
        <v>16</v>
      </c>
    </row>
    <row r="7" spans="1:22" x14ac:dyDescent="0.3">
      <c r="A7" t="s">
        <v>730</v>
      </c>
      <c r="B7" t="s">
        <v>68</v>
      </c>
      <c r="C7">
        <v>131</v>
      </c>
      <c r="D7" t="s">
        <v>14</v>
      </c>
      <c r="E7" t="s">
        <v>45</v>
      </c>
      <c r="F7" s="3" t="s">
        <v>403</v>
      </c>
      <c r="G7">
        <v>20023</v>
      </c>
      <c r="H7" t="s">
        <v>18</v>
      </c>
      <c r="I7" t="s">
        <v>18</v>
      </c>
      <c r="J7" t="s">
        <v>751</v>
      </c>
      <c r="K7" t="s">
        <v>95</v>
      </c>
      <c r="L7" t="s">
        <v>95</v>
      </c>
      <c r="M7" t="s">
        <v>95</v>
      </c>
      <c r="N7" t="s">
        <v>95</v>
      </c>
      <c r="O7">
        <v>258</v>
      </c>
      <c r="P7" s="7">
        <v>6548</v>
      </c>
      <c r="Q7" s="10">
        <v>0.72</v>
      </c>
      <c r="R7">
        <v>0.06</v>
      </c>
      <c r="S7">
        <v>1.25</v>
      </c>
      <c r="T7" s="5">
        <f>O7/730</f>
        <v>0.35342465753424657</v>
      </c>
      <c r="U7" t="s">
        <v>16</v>
      </c>
      <c r="V7" t="s">
        <v>16</v>
      </c>
    </row>
    <row r="8" spans="1:22" x14ac:dyDescent="0.3">
      <c r="A8" t="s">
        <v>730</v>
      </c>
      <c r="B8" t="s">
        <v>68</v>
      </c>
      <c r="C8">
        <v>131</v>
      </c>
      <c r="D8" t="s">
        <v>14</v>
      </c>
      <c r="E8" t="s">
        <v>45</v>
      </c>
      <c r="F8" s="3" t="s">
        <v>157</v>
      </c>
      <c r="G8">
        <v>20023</v>
      </c>
      <c r="H8" t="s">
        <v>18</v>
      </c>
      <c r="I8" t="s">
        <v>18</v>
      </c>
      <c r="J8" t="s">
        <v>344</v>
      </c>
      <c r="K8" t="s">
        <v>809</v>
      </c>
      <c r="L8" t="s">
        <v>344</v>
      </c>
      <c r="M8" t="s">
        <v>344</v>
      </c>
      <c r="N8" t="s">
        <v>95</v>
      </c>
      <c r="O8">
        <v>166</v>
      </c>
      <c r="P8" s="7">
        <v>6571</v>
      </c>
      <c r="Q8" s="10">
        <v>0.7</v>
      </c>
      <c r="R8">
        <v>7.0000000000000007E-2</v>
      </c>
      <c r="S8">
        <v>1.39</v>
      </c>
      <c r="T8" s="5">
        <f>O8/730</f>
        <v>0.22739726027397261</v>
      </c>
      <c r="U8" t="s">
        <v>16</v>
      </c>
      <c r="V8" t="s">
        <v>16</v>
      </c>
    </row>
    <row r="9" spans="1:22" x14ac:dyDescent="0.3">
      <c r="A9" t="s">
        <v>730</v>
      </c>
      <c r="B9" t="s">
        <v>68</v>
      </c>
      <c r="C9">
        <v>131</v>
      </c>
      <c r="D9" t="s">
        <v>14</v>
      </c>
      <c r="E9" t="s">
        <v>45</v>
      </c>
      <c r="F9" s="3" t="s">
        <v>822</v>
      </c>
      <c r="G9">
        <v>20023</v>
      </c>
      <c r="H9" t="s">
        <v>18</v>
      </c>
      <c r="I9" t="s">
        <v>18</v>
      </c>
      <c r="J9" t="s">
        <v>95</v>
      </c>
      <c r="K9" t="s">
        <v>823</v>
      </c>
      <c r="L9" t="s">
        <v>344</v>
      </c>
      <c r="M9" t="s">
        <v>95</v>
      </c>
      <c r="N9" t="s">
        <v>95</v>
      </c>
      <c r="O9">
        <v>103</v>
      </c>
      <c r="P9" s="7">
        <v>7449</v>
      </c>
      <c r="Q9" s="10">
        <v>0.7</v>
      </c>
      <c r="R9">
        <v>0.05</v>
      </c>
      <c r="S9">
        <v>1.72</v>
      </c>
      <c r="T9" s="5">
        <f>O9/730</f>
        <v>0.14109589041095891</v>
      </c>
      <c r="U9" t="s">
        <v>16</v>
      </c>
      <c r="V9" t="s">
        <v>16</v>
      </c>
    </row>
    <row r="10" spans="1:22" x14ac:dyDescent="0.3">
      <c r="A10" t="s">
        <v>730</v>
      </c>
      <c r="B10" t="s">
        <v>68</v>
      </c>
      <c r="C10">
        <v>131</v>
      </c>
      <c r="D10" t="s">
        <v>14</v>
      </c>
      <c r="E10" t="s">
        <v>45</v>
      </c>
      <c r="F10" s="3" t="s">
        <v>761</v>
      </c>
      <c r="G10">
        <v>20023</v>
      </c>
      <c r="H10" t="s">
        <v>18</v>
      </c>
      <c r="I10" t="s">
        <v>18</v>
      </c>
      <c r="J10" t="s">
        <v>762</v>
      </c>
      <c r="K10" t="s">
        <v>95</v>
      </c>
      <c r="L10" t="s">
        <v>95</v>
      </c>
      <c r="M10" t="s">
        <v>763</v>
      </c>
      <c r="N10" t="s">
        <v>95</v>
      </c>
      <c r="O10">
        <v>275</v>
      </c>
      <c r="P10" s="7">
        <v>9952</v>
      </c>
      <c r="Q10" s="10">
        <v>0.69</v>
      </c>
      <c r="R10">
        <v>7.0000000000000007E-2</v>
      </c>
      <c r="S10">
        <v>1.36</v>
      </c>
      <c r="T10" s="5">
        <f>O10/730</f>
        <v>0.37671232876712329</v>
      </c>
      <c r="U10" t="s">
        <v>16</v>
      </c>
      <c r="V10" t="s">
        <v>16</v>
      </c>
    </row>
    <row r="11" spans="1:22" x14ac:dyDescent="0.3">
      <c r="A11" t="s">
        <v>730</v>
      </c>
      <c r="B11" t="s">
        <v>68</v>
      </c>
      <c r="C11">
        <v>131</v>
      </c>
      <c r="D11" t="s">
        <v>14</v>
      </c>
      <c r="E11" t="s">
        <v>45</v>
      </c>
      <c r="F11" s="3" t="s">
        <v>406</v>
      </c>
      <c r="G11">
        <v>20023</v>
      </c>
      <c r="H11" t="s">
        <v>18</v>
      </c>
      <c r="I11" t="s">
        <v>18</v>
      </c>
      <c r="J11" t="s">
        <v>95</v>
      </c>
      <c r="K11" t="s">
        <v>95</v>
      </c>
      <c r="L11" t="s">
        <v>95</v>
      </c>
      <c r="M11" t="s">
        <v>752</v>
      </c>
      <c r="N11" t="s">
        <v>95</v>
      </c>
      <c r="O11">
        <v>199</v>
      </c>
      <c r="P11" s="7">
        <v>4200</v>
      </c>
      <c r="Q11" s="10">
        <v>0.68</v>
      </c>
      <c r="R11">
        <v>0.1</v>
      </c>
      <c r="S11">
        <v>1.21</v>
      </c>
      <c r="T11" s="5">
        <f>O11/730</f>
        <v>0.27260273972602739</v>
      </c>
      <c r="U11" t="s">
        <v>16</v>
      </c>
      <c r="V11" t="s">
        <v>16</v>
      </c>
    </row>
    <row r="12" spans="1:22" x14ac:dyDescent="0.3">
      <c r="A12" t="s">
        <v>730</v>
      </c>
      <c r="B12" t="s">
        <v>68</v>
      </c>
      <c r="C12">
        <v>131</v>
      </c>
      <c r="D12" t="s">
        <v>14</v>
      </c>
      <c r="E12" t="s">
        <v>45</v>
      </c>
      <c r="F12" s="3" t="s">
        <v>416</v>
      </c>
      <c r="G12">
        <v>20023</v>
      </c>
      <c r="H12" t="s">
        <v>18</v>
      </c>
      <c r="I12" t="s">
        <v>18</v>
      </c>
      <c r="J12" t="s">
        <v>756</v>
      </c>
      <c r="K12" t="s">
        <v>95</v>
      </c>
      <c r="L12" t="s">
        <v>95</v>
      </c>
      <c r="M12" t="s">
        <v>95</v>
      </c>
      <c r="N12" t="s">
        <v>95</v>
      </c>
      <c r="O12">
        <v>825</v>
      </c>
      <c r="P12" s="7">
        <v>19316</v>
      </c>
      <c r="Q12" s="10">
        <v>0.67</v>
      </c>
      <c r="R12">
        <v>0.08</v>
      </c>
      <c r="S12">
        <v>1.23</v>
      </c>
      <c r="T12" s="5">
        <f>O12/730</f>
        <v>1.1301369863013699</v>
      </c>
      <c r="U12" t="s">
        <v>16</v>
      </c>
      <c r="V12" t="s">
        <v>16</v>
      </c>
    </row>
    <row r="13" spans="1:22" x14ac:dyDescent="0.3">
      <c r="A13" t="s">
        <v>730</v>
      </c>
      <c r="B13" t="s">
        <v>68</v>
      </c>
      <c r="C13">
        <v>131</v>
      </c>
      <c r="D13" t="s">
        <v>14</v>
      </c>
      <c r="E13" t="s">
        <v>45</v>
      </c>
      <c r="F13" s="3" t="s">
        <v>764</v>
      </c>
      <c r="G13">
        <v>20023</v>
      </c>
      <c r="H13" t="s">
        <v>18</v>
      </c>
      <c r="I13" t="s">
        <v>18</v>
      </c>
      <c r="J13" t="s">
        <v>95</v>
      </c>
      <c r="K13" t="s">
        <v>765</v>
      </c>
      <c r="L13" t="s">
        <v>95</v>
      </c>
      <c r="M13" t="s">
        <v>763</v>
      </c>
      <c r="N13" t="s">
        <v>95</v>
      </c>
      <c r="O13">
        <v>217</v>
      </c>
      <c r="P13" s="7">
        <v>12669</v>
      </c>
      <c r="Q13" s="10">
        <v>0.66</v>
      </c>
      <c r="R13">
        <v>0.08</v>
      </c>
      <c r="S13">
        <v>1.58</v>
      </c>
      <c r="T13" s="5">
        <f>O13/730</f>
        <v>0.29726027397260274</v>
      </c>
      <c r="U13" t="s">
        <v>16</v>
      </c>
      <c r="V13" t="s">
        <v>16</v>
      </c>
    </row>
    <row r="14" spans="1:22" x14ac:dyDescent="0.3">
      <c r="A14" t="s">
        <v>730</v>
      </c>
      <c r="B14" t="s">
        <v>68</v>
      </c>
      <c r="C14">
        <v>131</v>
      </c>
      <c r="D14" t="s">
        <v>14</v>
      </c>
      <c r="E14" t="s">
        <v>45</v>
      </c>
      <c r="F14" s="3" t="s">
        <v>145</v>
      </c>
      <c r="G14">
        <v>20023</v>
      </c>
      <c r="H14" t="s">
        <v>18</v>
      </c>
      <c r="I14" t="s">
        <v>18</v>
      </c>
      <c r="J14" t="s">
        <v>95</v>
      </c>
      <c r="K14" t="s">
        <v>792</v>
      </c>
      <c r="L14" t="s">
        <v>95</v>
      </c>
      <c r="M14" t="s">
        <v>344</v>
      </c>
      <c r="N14" t="s">
        <v>260</v>
      </c>
      <c r="O14">
        <v>325</v>
      </c>
      <c r="P14" s="7">
        <v>13769</v>
      </c>
      <c r="Q14" s="10">
        <v>0.62</v>
      </c>
      <c r="R14">
        <v>0.08</v>
      </c>
      <c r="S14">
        <v>1.42</v>
      </c>
      <c r="T14" s="5">
        <f>O14/730</f>
        <v>0.4452054794520548</v>
      </c>
      <c r="U14" t="s">
        <v>16</v>
      </c>
      <c r="V14" t="s">
        <v>16</v>
      </c>
    </row>
    <row r="15" spans="1:22" x14ac:dyDescent="0.3">
      <c r="A15" t="s">
        <v>730</v>
      </c>
      <c r="B15" t="s">
        <v>68</v>
      </c>
      <c r="C15">
        <v>131</v>
      </c>
      <c r="D15" t="s">
        <v>14</v>
      </c>
      <c r="E15" t="s">
        <v>45</v>
      </c>
      <c r="F15" s="3" t="s">
        <v>830</v>
      </c>
      <c r="G15">
        <v>20023</v>
      </c>
      <c r="H15" t="s">
        <v>18</v>
      </c>
      <c r="I15" t="s">
        <v>18</v>
      </c>
      <c r="J15" t="s">
        <v>95</v>
      </c>
      <c r="K15" t="s">
        <v>95</v>
      </c>
      <c r="L15" t="s">
        <v>95</v>
      </c>
      <c r="M15" t="s">
        <v>831</v>
      </c>
      <c r="N15" t="s">
        <v>95</v>
      </c>
      <c r="O15">
        <v>162</v>
      </c>
      <c r="P15" s="7">
        <v>8696</v>
      </c>
      <c r="Q15" s="10">
        <v>0.62</v>
      </c>
      <c r="R15">
        <v>0.05</v>
      </c>
      <c r="S15">
        <v>1.53</v>
      </c>
      <c r="T15" s="5">
        <f>O15/730</f>
        <v>0.22191780821917809</v>
      </c>
      <c r="U15" t="s">
        <v>16</v>
      </c>
      <c r="V15" t="s">
        <v>16</v>
      </c>
    </row>
    <row r="16" spans="1:22" x14ac:dyDescent="0.3">
      <c r="A16" t="s">
        <v>730</v>
      </c>
      <c r="B16" t="s">
        <v>68</v>
      </c>
      <c r="C16">
        <v>131</v>
      </c>
      <c r="D16" t="s">
        <v>14</v>
      </c>
      <c r="E16" t="s">
        <v>45</v>
      </c>
      <c r="F16" s="3" t="s">
        <v>812</v>
      </c>
      <c r="G16">
        <v>20023</v>
      </c>
      <c r="H16" t="s">
        <v>18</v>
      </c>
      <c r="I16" t="s">
        <v>18</v>
      </c>
      <c r="J16" t="s">
        <v>813</v>
      </c>
      <c r="K16" t="s">
        <v>95</v>
      </c>
      <c r="L16" t="s">
        <v>344</v>
      </c>
      <c r="M16" t="s">
        <v>95</v>
      </c>
      <c r="N16" t="s">
        <v>95</v>
      </c>
      <c r="O16">
        <v>255</v>
      </c>
      <c r="P16" s="7">
        <v>9830</v>
      </c>
      <c r="Q16" s="10">
        <v>0.61</v>
      </c>
      <c r="R16">
        <v>0.06</v>
      </c>
      <c r="S16">
        <v>1.38</v>
      </c>
      <c r="T16" s="5">
        <f>O16/730</f>
        <v>0.34931506849315069</v>
      </c>
      <c r="U16" t="s">
        <v>16</v>
      </c>
      <c r="V16" t="s">
        <v>16</v>
      </c>
    </row>
    <row r="17" spans="1:22" x14ac:dyDescent="0.3">
      <c r="A17" t="s">
        <v>730</v>
      </c>
      <c r="B17" t="s">
        <v>68</v>
      </c>
      <c r="C17">
        <v>131</v>
      </c>
      <c r="D17" t="s">
        <v>14</v>
      </c>
      <c r="E17" t="s">
        <v>45</v>
      </c>
      <c r="F17" s="3" t="s">
        <v>828</v>
      </c>
      <c r="G17">
        <v>20023</v>
      </c>
      <c r="H17" t="s">
        <v>18</v>
      </c>
      <c r="I17" t="s">
        <v>18</v>
      </c>
      <c r="J17" t="s">
        <v>95</v>
      </c>
      <c r="K17" t="s">
        <v>95</v>
      </c>
      <c r="L17" t="s">
        <v>95</v>
      </c>
      <c r="M17" t="s">
        <v>829</v>
      </c>
      <c r="N17" t="s">
        <v>95</v>
      </c>
      <c r="O17">
        <v>76</v>
      </c>
      <c r="P17" s="7">
        <v>5916</v>
      </c>
      <c r="Q17" s="10">
        <v>0.61</v>
      </c>
      <c r="R17">
        <v>7.0000000000000007E-2</v>
      </c>
      <c r="S17">
        <v>1.77</v>
      </c>
      <c r="T17" s="5">
        <f>O17/730</f>
        <v>0.10410958904109589</v>
      </c>
      <c r="U17" t="s">
        <v>16</v>
      </c>
      <c r="V17" t="s">
        <v>16</v>
      </c>
    </row>
    <row r="18" spans="1:22" x14ac:dyDescent="0.3">
      <c r="Q18" s="10"/>
    </row>
    <row r="19" spans="1:22" x14ac:dyDescent="0.3">
      <c r="Q19" s="10"/>
    </row>
    <row r="20" spans="1:22" x14ac:dyDescent="0.3">
      <c r="Q20" s="10"/>
    </row>
    <row r="21" spans="1:22" x14ac:dyDescent="0.3">
      <c r="Q21" s="10"/>
    </row>
    <row r="22" spans="1:22" x14ac:dyDescent="0.3">
      <c r="Q22" s="10"/>
    </row>
    <row r="23" spans="1:22" x14ac:dyDescent="0.3">
      <c r="Q23" s="10"/>
    </row>
    <row r="24" spans="1:22" x14ac:dyDescent="0.3">
      <c r="Q24" s="10"/>
    </row>
    <row r="25" spans="1:22" x14ac:dyDescent="0.3">
      <c r="Q25" s="10"/>
    </row>
    <row r="26" spans="1:22" x14ac:dyDescent="0.3">
      <c r="Q26" s="10"/>
    </row>
    <row r="27" spans="1:22" x14ac:dyDescent="0.3">
      <c r="Q27" s="10"/>
    </row>
    <row r="28" spans="1:22" x14ac:dyDescent="0.3">
      <c r="Q28" s="10"/>
    </row>
    <row r="29" spans="1:22" x14ac:dyDescent="0.3">
      <c r="Q29" s="10"/>
    </row>
    <row r="30" spans="1:22" x14ac:dyDescent="0.3">
      <c r="Q30" s="10"/>
    </row>
    <row r="31" spans="1:22" x14ac:dyDescent="0.3">
      <c r="Q31" s="10"/>
    </row>
    <row r="32" spans="1:22" x14ac:dyDescent="0.3">
      <c r="Q32" s="10"/>
    </row>
    <row r="33" spans="17:17" x14ac:dyDescent="0.3">
      <c r="Q33" s="10"/>
    </row>
    <row r="34" spans="17:17" x14ac:dyDescent="0.3">
      <c r="Q34" s="10"/>
    </row>
    <row r="35" spans="17:17" x14ac:dyDescent="0.3">
      <c r="Q35" s="10"/>
    </row>
    <row r="36" spans="17:17" x14ac:dyDescent="0.3">
      <c r="Q36" s="10"/>
    </row>
    <row r="37" spans="17:17" x14ac:dyDescent="0.3">
      <c r="Q37" s="10"/>
    </row>
    <row r="38" spans="17:17" x14ac:dyDescent="0.3">
      <c r="Q38" s="10"/>
    </row>
    <row r="39" spans="17:17" x14ac:dyDescent="0.3">
      <c r="Q39" s="10"/>
    </row>
    <row r="40" spans="17:17" x14ac:dyDescent="0.3">
      <c r="Q40" s="10"/>
    </row>
    <row r="41" spans="17:17" x14ac:dyDescent="0.3">
      <c r="Q41" s="10"/>
    </row>
    <row r="42" spans="17:17" x14ac:dyDescent="0.3">
      <c r="Q42" s="10"/>
    </row>
    <row r="43" spans="17:17" x14ac:dyDescent="0.3">
      <c r="Q43" s="10"/>
    </row>
    <row r="44" spans="17:17" x14ac:dyDescent="0.3">
      <c r="Q44" s="10"/>
    </row>
    <row r="45" spans="17:17" x14ac:dyDescent="0.3">
      <c r="Q45" s="10"/>
    </row>
    <row r="46" spans="17:17" x14ac:dyDescent="0.3">
      <c r="Q46" s="10"/>
    </row>
    <row r="47" spans="17:17" x14ac:dyDescent="0.3">
      <c r="Q47" s="10"/>
    </row>
    <row r="48" spans="17:17" x14ac:dyDescent="0.3">
      <c r="Q48" s="10"/>
    </row>
    <row r="49" spans="17:17" x14ac:dyDescent="0.3">
      <c r="Q49" s="10"/>
    </row>
    <row r="50" spans="17:17" x14ac:dyDescent="0.3">
      <c r="Q50" s="10"/>
    </row>
    <row r="51" spans="17:17" x14ac:dyDescent="0.3">
      <c r="Q51" s="10"/>
    </row>
    <row r="52" spans="17:17" x14ac:dyDescent="0.3">
      <c r="Q52" s="10"/>
    </row>
    <row r="53" spans="17:17" x14ac:dyDescent="0.3">
      <c r="Q53" s="10"/>
    </row>
    <row r="54" spans="17:17" x14ac:dyDescent="0.3">
      <c r="Q54" s="10"/>
    </row>
    <row r="55" spans="17:17" x14ac:dyDescent="0.3">
      <c r="Q55" s="10"/>
    </row>
    <row r="56" spans="17:17" x14ac:dyDescent="0.3">
      <c r="Q56" s="10"/>
    </row>
    <row r="57" spans="17:17" x14ac:dyDescent="0.3">
      <c r="Q57" s="10"/>
    </row>
    <row r="58" spans="17:17" x14ac:dyDescent="0.3">
      <c r="Q58" s="10"/>
    </row>
    <row r="59" spans="17:17" x14ac:dyDescent="0.3">
      <c r="Q59" s="10"/>
    </row>
    <row r="60" spans="17:17" x14ac:dyDescent="0.3">
      <c r="Q60" s="10"/>
    </row>
    <row r="61" spans="17:17" x14ac:dyDescent="0.3">
      <c r="Q61" s="10"/>
    </row>
    <row r="62" spans="17:17" x14ac:dyDescent="0.3">
      <c r="Q62" s="10"/>
    </row>
    <row r="63" spans="17:17" x14ac:dyDescent="0.3">
      <c r="Q63" s="10"/>
    </row>
    <row r="64" spans="17:17" x14ac:dyDescent="0.3">
      <c r="Q64" s="10"/>
    </row>
    <row r="65" spans="17:17" x14ac:dyDescent="0.3">
      <c r="Q65" s="10"/>
    </row>
    <row r="66" spans="17:17" x14ac:dyDescent="0.3">
      <c r="Q66" s="10"/>
    </row>
    <row r="67" spans="17:17" x14ac:dyDescent="0.3">
      <c r="Q67" s="10"/>
    </row>
    <row r="68" spans="17:17" x14ac:dyDescent="0.3">
      <c r="Q68" s="10"/>
    </row>
    <row r="69" spans="17:17" x14ac:dyDescent="0.3">
      <c r="Q69" s="10"/>
    </row>
    <row r="70" spans="17:17" x14ac:dyDescent="0.3">
      <c r="Q70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"/>
  <sheetViews>
    <sheetView zoomScale="90" zoomScaleNormal="90" workbookViewId="0">
      <pane ySplit="1" topLeftCell="A2" activePane="bottomLeft" state="frozen"/>
      <selection pane="bottomLeft" activeCell="A25" sqref="A25"/>
    </sheetView>
  </sheetViews>
  <sheetFormatPr defaultRowHeight="16.5" x14ac:dyDescent="0.3"/>
  <cols>
    <col min="1" max="2" width="4.875" customWidth="1"/>
    <col min="3" max="3" width="4.75" customWidth="1"/>
    <col min="4" max="4" width="7.375" customWidth="1"/>
    <col min="5" max="5" width="7.5" customWidth="1"/>
    <col min="6" max="6" width="9" style="3"/>
    <col min="7" max="7" width="6.625" customWidth="1"/>
    <col min="8" max="8" width="5" customWidth="1"/>
    <col min="9" max="9" width="6.625" customWidth="1"/>
    <col min="11" max="11" width="10.375" customWidth="1"/>
    <col min="12" max="13" width="10.125" customWidth="1"/>
    <col min="14" max="14" width="10.5" customWidth="1"/>
    <col min="15" max="15" width="7" customWidth="1"/>
    <col min="16" max="17" width="9.125" style="7" customWidth="1"/>
    <col min="18" max="18" width="6.625" customWidth="1"/>
    <col min="19" max="19" width="7.125" customWidth="1"/>
    <col min="20" max="20" width="7.5" style="5" customWidth="1"/>
    <col min="21" max="21" width="3.5" customWidth="1"/>
    <col min="22" max="22" width="2.75" customWidth="1"/>
  </cols>
  <sheetData>
    <row r="1" spans="1:22" s="1" customFormat="1" ht="29.25" customHeight="1" x14ac:dyDescent="0.3">
      <c r="A1" s="1" t="s">
        <v>0</v>
      </c>
      <c r="B1" s="1" t="s">
        <v>23</v>
      </c>
      <c r="C1" s="1" t="s">
        <v>25</v>
      </c>
      <c r="D1" s="1" t="s">
        <v>1</v>
      </c>
      <c r="E1" s="1" t="s">
        <v>2</v>
      </c>
      <c r="F1" s="8" t="s">
        <v>3</v>
      </c>
      <c r="G1" s="1" t="s">
        <v>4</v>
      </c>
      <c r="H1" s="1" t="s">
        <v>5</v>
      </c>
      <c r="I1" s="9" t="s">
        <v>6</v>
      </c>
      <c r="J1" s="1" t="s">
        <v>10</v>
      </c>
      <c r="K1" s="1" t="s">
        <v>21</v>
      </c>
      <c r="L1" s="1" t="s">
        <v>22</v>
      </c>
      <c r="M1" s="1" t="s">
        <v>11</v>
      </c>
      <c r="N1" s="1" t="s">
        <v>12</v>
      </c>
      <c r="O1" s="1" t="s">
        <v>7</v>
      </c>
      <c r="P1" s="6" t="s">
        <v>39</v>
      </c>
      <c r="Q1" s="6" t="s">
        <v>731</v>
      </c>
      <c r="R1" s="1" t="s">
        <v>8</v>
      </c>
      <c r="S1" s="1" t="s">
        <v>19</v>
      </c>
      <c r="T1" s="4" t="s">
        <v>20</v>
      </c>
      <c r="U1" s="1" t="s">
        <v>9</v>
      </c>
      <c r="V1" s="1" t="s">
        <v>13</v>
      </c>
    </row>
    <row r="2" spans="1:22" x14ac:dyDescent="0.3">
      <c r="A2" t="s">
        <v>730</v>
      </c>
      <c r="B2" t="s">
        <v>68</v>
      </c>
      <c r="C2">
        <v>131</v>
      </c>
      <c r="D2" t="s">
        <v>14</v>
      </c>
      <c r="E2" t="s">
        <v>45</v>
      </c>
      <c r="F2" s="3" t="s">
        <v>816</v>
      </c>
      <c r="G2">
        <v>20023</v>
      </c>
      <c r="H2" t="s">
        <v>18</v>
      </c>
      <c r="I2" t="s">
        <v>18</v>
      </c>
      <c r="J2" t="s">
        <v>95</v>
      </c>
      <c r="K2" t="s">
        <v>95</v>
      </c>
      <c r="L2" t="s">
        <v>344</v>
      </c>
      <c r="M2" t="s">
        <v>95</v>
      </c>
      <c r="N2" t="s">
        <v>817</v>
      </c>
      <c r="O2">
        <v>95</v>
      </c>
      <c r="P2" s="7">
        <v>5298</v>
      </c>
      <c r="Q2" s="10">
        <v>0.84</v>
      </c>
      <c r="R2">
        <v>0.09</v>
      </c>
      <c r="S2">
        <v>1.54</v>
      </c>
      <c r="T2" s="5">
        <f>O2/730</f>
        <v>0.13013698630136986</v>
      </c>
      <c r="U2" t="s">
        <v>16</v>
      </c>
      <c r="V2" t="s">
        <v>16</v>
      </c>
    </row>
    <row r="3" spans="1:22" x14ac:dyDescent="0.3">
      <c r="A3" t="s">
        <v>730</v>
      </c>
      <c r="B3" t="s">
        <v>68</v>
      </c>
      <c r="C3">
        <v>131</v>
      </c>
      <c r="D3" t="s">
        <v>14</v>
      </c>
      <c r="E3" t="s">
        <v>45</v>
      </c>
      <c r="F3" s="3" t="s">
        <v>420</v>
      </c>
      <c r="G3">
        <v>20023</v>
      </c>
      <c r="H3" t="s">
        <v>18</v>
      </c>
      <c r="I3" t="s">
        <v>18</v>
      </c>
      <c r="J3" t="s">
        <v>757</v>
      </c>
      <c r="K3" t="s">
        <v>95</v>
      </c>
      <c r="L3" t="s">
        <v>95</v>
      </c>
      <c r="M3" t="s">
        <v>95</v>
      </c>
      <c r="N3" t="s">
        <v>95</v>
      </c>
      <c r="O3">
        <v>577</v>
      </c>
      <c r="P3" s="7">
        <v>11364</v>
      </c>
      <c r="Q3" s="10">
        <v>0.82</v>
      </c>
      <c r="R3">
        <v>7.0000000000000007E-2</v>
      </c>
      <c r="S3">
        <v>1.19</v>
      </c>
      <c r="T3" s="5">
        <f>O3/730</f>
        <v>0.79041095890410962</v>
      </c>
      <c r="U3" t="s">
        <v>16</v>
      </c>
      <c r="V3" t="s">
        <v>16</v>
      </c>
    </row>
    <row r="4" spans="1:22" x14ac:dyDescent="0.3">
      <c r="A4" t="s">
        <v>730</v>
      </c>
      <c r="B4" t="s">
        <v>68</v>
      </c>
      <c r="C4">
        <v>131</v>
      </c>
      <c r="D4" t="s">
        <v>14</v>
      </c>
      <c r="E4" t="s">
        <v>45</v>
      </c>
      <c r="F4" s="3" t="s">
        <v>835</v>
      </c>
      <c r="G4">
        <v>20023</v>
      </c>
      <c r="H4" t="s">
        <v>18</v>
      </c>
      <c r="I4" t="s">
        <v>18</v>
      </c>
      <c r="J4" t="s">
        <v>836</v>
      </c>
      <c r="K4" t="s">
        <v>454</v>
      </c>
      <c r="L4" t="s">
        <v>95</v>
      </c>
      <c r="M4" t="s">
        <v>95</v>
      </c>
      <c r="N4" t="s">
        <v>95</v>
      </c>
      <c r="O4">
        <v>98</v>
      </c>
      <c r="P4" s="7">
        <v>8631</v>
      </c>
      <c r="Q4" s="10">
        <v>0.8</v>
      </c>
      <c r="R4">
        <v>0.12</v>
      </c>
      <c r="S4">
        <v>1.88</v>
      </c>
      <c r="T4" s="5">
        <f>O4/730</f>
        <v>0.13424657534246576</v>
      </c>
      <c r="U4" t="s">
        <v>16</v>
      </c>
      <c r="V4" t="s">
        <v>16</v>
      </c>
    </row>
    <row r="5" spans="1:22" x14ac:dyDescent="0.3">
      <c r="A5" t="s">
        <v>730</v>
      </c>
      <c r="B5" t="s">
        <v>68</v>
      </c>
      <c r="C5">
        <v>131</v>
      </c>
      <c r="D5" t="s">
        <v>14</v>
      </c>
      <c r="E5" t="s">
        <v>45</v>
      </c>
      <c r="F5" s="3" t="s">
        <v>818</v>
      </c>
      <c r="G5">
        <v>20023</v>
      </c>
      <c r="H5" t="s">
        <v>18</v>
      </c>
      <c r="I5" t="s">
        <v>18</v>
      </c>
      <c r="J5" t="s">
        <v>95</v>
      </c>
      <c r="K5" t="s">
        <v>95</v>
      </c>
      <c r="L5" t="s">
        <v>344</v>
      </c>
      <c r="M5" t="s">
        <v>95</v>
      </c>
      <c r="N5" t="s">
        <v>819</v>
      </c>
      <c r="O5">
        <v>40</v>
      </c>
      <c r="P5" s="7">
        <v>2440</v>
      </c>
      <c r="Q5" s="10">
        <v>0.78</v>
      </c>
      <c r="R5">
        <v>0.1</v>
      </c>
      <c r="S5">
        <v>1.61</v>
      </c>
      <c r="T5" s="5">
        <f>O5/730</f>
        <v>5.4794520547945202E-2</v>
      </c>
      <c r="U5" t="s">
        <v>16</v>
      </c>
      <c r="V5" t="s">
        <v>16</v>
      </c>
    </row>
    <row r="6" spans="1:22" x14ac:dyDescent="0.3">
      <c r="A6" t="s">
        <v>730</v>
      </c>
      <c r="B6" t="s">
        <v>68</v>
      </c>
      <c r="C6">
        <v>131</v>
      </c>
      <c r="D6" t="s">
        <v>14</v>
      </c>
      <c r="E6" t="s">
        <v>45</v>
      </c>
      <c r="F6" s="3" t="s">
        <v>849</v>
      </c>
      <c r="G6">
        <v>20023</v>
      </c>
      <c r="H6" t="s">
        <v>18</v>
      </c>
      <c r="I6" t="s">
        <v>18</v>
      </c>
      <c r="J6" t="s">
        <v>847</v>
      </c>
      <c r="K6" t="s">
        <v>95</v>
      </c>
      <c r="L6" t="s">
        <v>850</v>
      </c>
      <c r="M6" t="s">
        <v>95</v>
      </c>
      <c r="N6" t="s">
        <v>95</v>
      </c>
      <c r="O6">
        <v>124</v>
      </c>
      <c r="P6" s="7">
        <v>9007</v>
      </c>
      <c r="Q6" s="10">
        <v>0.75</v>
      </c>
      <c r="R6">
        <v>0.09</v>
      </c>
      <c r="S6">
        <v>1.72</v>
      </c>
      <c r="T6" s="5">
        <f>O6/730</f>
        <v>0.16986301369863013</v>
      </c>
      <c r="U6" t="s">
        <v>16</v>
      </c>
      <c r="V6" t="s">
        <v>16</v>
      </c>
    </row>
    <row r="7" spans="1:22" x14ac:dyDescent="0.3">
      <c r="A7" t="s">
        <v>730</v>
      </c>
      <c r="B7" t="s">
        <v>68</v>
      </c>
      <c r="C7">
        <v>131</v>
      </c>
      <c r="D7" t="s">
        <v>14</v>
      </c>
      <c r="E7" t="s">
        <v>45</v>
      </c>
      <c r="F7" s="3" t="s">
        <v>403</v>
      </c>
      <c r="G7">
        <v>20023</v>
      </c>
      <c r="H7" t="s">
        <v>18</v>
      </c>
      <c r="I7" t="s">
        <v>18</v>
      </c>
      <c r="J7" t="s">
        <v>751</v>
      </c>
      <c r="K7" t="s">
        <v>95</v>
      </c>
      <c r="L7" t="s">
        <v>95</v>
      </c>
      <c r="M7" t="s">
        <v>95</v>
      </c>
      <c r="N7" t="s">
        <v>95</v>
      </c>
      <c r="O7">
        <v>258</v>
      </c>
      <c r="P7" s="7">
        <v>6548</v>
      </c>
      <c r="Q7" s="10">
        <v>0.72</v>
      </c>
      <c r="R7">
        <v>0.06</v>
      </c>
      <c r="S7">
        <v>1.25</v>
      </c>
      <c r="T7" s="5">
        <f>O7/730</f>
        <v>0.35342465753424657</v>
      </c>
      <c r="U7" t="s">
        <v>16</v>
      </c>
      <c r="V7" t="s">
        <v>16</v>
      </c>
    </row>
    <row r="8" spans="1:22" x14ac:dyDescent="0.3">
      <c r="A8" t="s">
        <v>730</v>
      </c>
      <c r="B8" t="s">
        <v>68</v>
      </c>
      <c r="C8">
        <v>131</v>
      </c>
      <c r="D8" t="s">
        <v>14</v>
      </c>
      <c r="E8" t="s">
        <v>45</v>
      </c>
      <c r="F8" s="3" t="s">
        <v>157</v>
      </c>
      <c r="G8">
        <v>20023</v>
      </c>
      <c r="H8" t="s">
        <v>18</v>
      </c>
      <c r="I8" t="s">
        <v>18</v>
      </c>
      <c r="J8" t="s">
        <v>344</v>
      </c>
      <c r="K8" t="s">
        <v>809</v>
      </c>
      <c r="L8" t="s">
        <v>344</v>
      </c>
      <c r="M8" t="s">
        <v>344</v>
      </c>
      <c r="N8" t="s">
        <v>95</v>
      </c>
      <c r="O8">
        <v>166</v>
      </c>
      <c r="P8" s="7">
        <v>6571</v>
      </c>
      <c r="Q8" s="10">
        <v>0.7</v>
      </c>
      <c r="R8">
        <v>7.0000000000000007E-2</v>
      </c>
      <c r="S8">
        <v>1.39</v>
      </c>
      <c r="T8" s="5">
        <f>O8/730</f>
        <v>0.22739726027397261</v>
      </c>
      <c r="U8" t="s">
        <v>16</v>
      </c>
      <c r="V8" t="s">
        <v>16</v>
      </c>
    </row>
    <row r="9" spans="1:22" x14ac:dyDescent="0.3">
      <c r="A9" t="s">
        <v>730</v>
      </c>
      <c r="B9" t="s">
        <v>68</v>
      </c>
      <c r="C9">
        <v>131</v>
      </c>
      <c r="D9" t="s">
        <v>14</v>
      </c>
      <c r="E9" t="s">
        <v>45</v>
      </c>
      <c r="F9" s="3" t="s">
        <v>822</v>
      </c>
      <c r="G9">
        <v>20023</v>
      </c>
      <c r="H9" t="s">
        <v>18</v>
      </c>
      <c r="I9" t="s">
        <v>18</v>
      </c>
      <c r="J9" t="s">
        <v>95</v>
      </c>
      <c r="K9" t="s">
        <v>823</v>
      </c>
      <c r="L9" t="s">
        <v>344</v>
      </c>
      <c r="M9" t="s">
        <v>95</v>
      </c>
      <c r="N9" t="s">
        <v>95</v>
      </c>
      <c r="O9">
        <v>103</v>
      </c>
      <c r="P9" s="7">
        <v>7449</v>
      </c>
      <c r="Q9" s="10">
        <v>0.7</v>
      </c>
      <c r="R9">
        <v>0.05</v>
      </c>
      <c r="S9">
        <v>1.72</v>
      </c>
      <c r="T9" s="5">
        <f>O9/730</f>
        <v>0.14109589041095891</v>
      </c>
      <c r="U9" t="s">
        <v>16</v>
      </c>
      <c r="V9" t="s">
        <v>16</v>
      </c>
    </row>
    <row r="10" spans="1:22" x14ac:dyDescent="0.3">
      <c r="A10" t="s">
        <v>730</v>
      </c>
      <c r="B10" t="s">
        <v>68</v>
      </c>
      <c r="C10">
        <v>131</v>
      </c>
      <c r="D10" t="s">
        <v>14</v>
      </c>
      <c r="E10" t="s">
        <v>45</v>
      </c>
      <c r="F10" s="3" t="s">
        <v>761</v>
      </c>
      <c r="G10">
        <v>20023</v>
      </c>
      <c r="H10" t="s">
        <v>18</v>
      </c>
      <c r="I10" t="s">
        <v>18</v>
      </c>
      <c r="J10" t="s">
        <v>762</v>
      </c>
      <c r="K10" t="s">
        <v>95</v>
      </c>
      <c r="L10" t="s">
        <v>95</v>
      </c>
      <c r="M10" t="s">
        <v>763</v>
      </c>
      <c r="N10" t="s">
        <v>95</v>
      </c>
      <c r="O10">
        <v>275</v>
      </c>
      <c r="P10" s="7">
        <v>9952</v>
      </c>
      <c r="Q10" s="10">
        <v>0.69</v>
      </c>
      <c r="R10">
        <v>7.0000000000000007E-2</v>
      </c>
      <c r="S10">
        <v>1.36</v>
      </c>
      <c r="T10" s="5">
        <f>O10/730</f>
        <v>0.37671232876712329</v>
      </c>
      <c r="U10" t="s">
        <v>16</v>
      </c>
      <c r="V10" t="s">
        <v>16</v>
      </c>
    </row>
    <row r="11" spans="1:22" x14ac:dyDescent="0.3">
      <c r="A11" t="s">
        <v>730</v>
      </c>
      <c r="B11" t="s">
        <v>68</v>
      </c>
      <c r="C11">
        <v>131</v>
      </c>
      <c r="D11" t="s">
        <v>14</v>
      </c>
      <c r="E11" t="s">
        <v>45</v>
      </c>
      <c r="F11" s="3" t="s">
        <v>406</v>
      </c>
      <c r="G11">
        <v>20023</v>
      </c>
      <c r="H11" t="s">
        <v>18</v>
      </c>
      <c r="I11" t="s">
        <v>18</v>
      </c>
      <c r="J11" t="s">
        <v>95</v>
      </c>
      <c r="K11" t="s">
        <v>95</v>
      </c>
      <c r="L11" t="s">
        <v>95</v>
      </c>
      <c r="M11" t="s">
        <v>752</v>
      </c>
      <c r="N11" t="s">
        <v>95</v>
      </c>
      <c r="O11">
        <v>199</v>
      </c>
      <c r="P11" s="7">
        <v>4200</v>
      </c>
      <c r="Q11" s="10">
        <v>0.68</v>
      </c>
      <c r="R11">
        <v>0.1</v>
      </c>
      <c r="S11">
        <v>1.21</v>
      </c>
      <c r="T11" s="5">
        <f>O11/730</f>
        <v>0.27260273972602739</v>
      </c>
      <c r="U11" t="s">
        <v>16</v>
      </c>
      <c r="V11" t="s">
        <v>16</v>
      </c>
    </row>
    <row r="12" spans="1:22" x14ac:dyDescent="0.3">
      <c r="A12" t="s">
        <v>730</v>
      </c>
      <c r="B12" t="s">
        <v>68</v>
      </c>
      <c r="C12">
        <v>131</v>
      </c>
      <c r="D12" t="s">
        <v>14</v>
      </c>
      <c r="E12" t="s">
        <v>45</v>
      </c>
      <c r="F12" s="3" t="s">
        <v>416</v>
      </c>
      <c r="G12">
        <v>20023</v>
      </c>
      <c r="H12" t="s">
        <v>18</v>
      </c>
      <c r="I12" t="s">
        <v>18</v>
      </c>
      <c r="J12" t="s">
        <v>756</v>
      </c>
      <c r="K12" t="s">
        <v>95</v>
      </c>
      <c r="L12" t="s">
        <v>95</v>
      </c>
      <c r="M12" t="s">
        <v>95</v>
      </c>
      <c r="N12" t="s">
        <v>95</v>
      </c>
      <c r="O12">
        <v>825</v>
      </c>
      <c r="P12" s="7">
        <v>19316</v>
      </c>
      <c r="Q12" s="10">
        <v>0.67</v>
      </c>
      <c r="R12">
        <v>0.08</v>
      </c>
      <c r="S12">
        <v>1.23</v>
      </c>
      <c r="T12" s="5">
        <f>O12/730</f>
        <v>1.1301369863013699</v>
      </c>
      <c r="U12" t="s">
        <v>16</v>
      </c>
      <c r="V12" t="s">
        <v>16</v>
      </c>
    </row>
    <row r="13" spans="1:22" x14ac:dyDescent="0.3">
      <c r="A13" t="s">
        <v>730</v>
      </c>
      <c r="B13" t="s">
        <v>68</v>
      </c>
      <c r="C13">
        <v>131</v>
      </c>
      <c r="D13" t="s">
        <v>14</v>
      </c>
      <c r="E13" t="s">
        <v>45</v>
      </c>
      <c r="F13" s="3" t="s">
        <v>764</v>
      </c>
      <c r="G13">
        <v>20023</v>
      </c>
      <c r="H13" t="s">
        <v>18</v>
      </c>
      <c r="I13" t="s">
        <v>18</v>
      </c>
      <c r="J13" t="s">
        <v>95</v>
      </c>
      <c r="K13" t="s">
        <v>765</v>
      </c>
      <c r="L13" t="s">
        <v>95</v>
      </c>
      <c r="M13" t="s">
        <v>763</v>
      </c>
      <c r="N13" t="s">
        <v>95</v>
      </c>
      <c r="O13">
        <v>217</v>
      </c>
      <c r="P13" s="7">
        <v>12669</v>
      </c>
      <c r="Q13" s="10">
        <v>0.66</v>
      </c>
      <c r="R13">
        <v>0.08</v>
      </c>
      <c r="S13">
        <v>1.58</v>
      </c>
      <c r="T13" s="5">
        <f>O13/730</f>
        <v>0.29726027397260274</v>
      </c>
      <c r="U13" t="s">
        <v>16</v>
      </c>
      <c r="V13" t="s">
        <v>16</v>
      </c>
    </row>
    <row r="14" spans="1:22" x14ac:dyDescent="0.3">
      <c r="A14" t="s">
        <v>730</v>
      </c>
      <c r="B14" t="s">
        <v>68</v>
      </c>
      <c r="C14">
        <v>131</v>
      </c>
      <c r="D14" t="s">
        <v>14</v>
      </c>
      <c r="E14" t="s">
        <v>45</v>
      </c>
      <c r="F14" s="3" t="s">
        <v>145</v>
      </c>
      <c r="G14">
        <v>20023</v>
      </c>
      <c r="H14" t="s">
        <v>18</v>
      </c>
      <c r="I14" t="s">
        <v>18</v>
      </c>
      <c r="J14" t="s">
        <v>95</v>
      </c>
      <c r="K14" t="s">
        <v>792</v>
      </c>
      <c r="L14" t="s">
        <v>95</v>
      </c>
      <c r="M14" t="s">
        <v>344</v>
      </c>
      <c r="N14" t="s">
        <v>260</v>
      </c>
      <c r="O14">
        <v>325</v>
      </c>
      <c r="P14" s="7">
        <v>13769</v>
      </c>
      <c r="Q14" s="10">
        <v>0.62</v>
      </c>
      <c r="R14">
        <v>0.08</v>
      </c>
      <c r="S14">
        <v>1.42</v>
      </c>
      <c r="T14" s="5">
        <f>O14/730</f>
        <v>0.4452054794520548</v>
      </c>
      <c r="U14" t="s">
        <v>16</v>
      </c>
      <c r="V14" t="s">
        <v>16</v>
      </c>
    </row>
    <row r="15" spans="1:22" x14ac:dyDescent="0.3">
      <c r="A15" t="s">
        <v>730</v>
      </c>
      <c r="B15" t="s">
        <v>68</v>
      </c>
      <c r="C15">
        <v>131</v>
      </c>
      <c r="D15" t="s">
        <v>14</v>
      </c>
      <c r="E15" t="s">
        <v>45</v>
      </c>
      <c r="F15" s="3" t="s">
        <v>830</v>
      </c>
      <c r="G15">
        <v>20023</v>
      </c>
      <c r="H15" t="s">
        <v>18</v>
      </c>
      <c r="I15" t="s">
        <v>18</v>
      </c>
      <c r="J15" t="s">
        <v>95</v>
      </c>
      <c r="K15" t="s">
        <v>95</v>
      </c>
      <c r="L15" t="s">
        <v>95</v>
      </c>
      <c r="M15" t="s">
        <v>831</v>
      </c>
      <c r="N15" t="s">
        <v>95</v>
      </c>
      <c r="O15">
        <v>162</v>
      </c>
      <c r="P15" s="7">
        <v>8696</v>
      </c>
      <c r="Q15" s="10">
        <v>0.62</v>
      </c>
      <c r="R15">
        <v>0.05</v>
      </c>
      <c r="S15">
        <v>1.53</v>
      </c>
      <c r="T15" s="5">
        <f>O15/730</f>
        <v>0.22191780821917809</v>
      </c>
      <c r="U15" t="s">
        <v>16</v>
      </c>
      <c r="V15" t="s">
        <v>16</v>
      </c>
    </row>
    <row r="16" spans="1:22" x14ac:dyDescent="0.3">
      <c r="A16" t="s">
        <v>730</v>
      </c>
      <c r="B16" t="s">
        <v>68</v>
      </c>
      <c r="C16">
        <v>131</v>
      </c>
      <c r="D16" t="s">
        <v>14</v>
      </c>
      <c r="E16" t="s">
        <v>45</v>
      </c>
      <c r="F16" s="3" t="s">
        <v>812</v>
      </c>
      <c r="G16">
        <v>20023</v>
      </c>
      <c r="H16" t="s">
        <v>18</v>
      </c>
      <c r="I16" t="s">
        <v>18</v>
      </c>
      <c r="J16" t="s">
        <v>813</v>
      </c>
      <c r="K16" t="s">
        <v>95</v>
      </c>
      <c r="L16" t="s">
        <v>344</v>
      </c>
      <c r="M16" t="s">
        <v>95</v>
      </c>
      <c r="N16" t="s">
        <v>95</v>
      </c>
      <c r="O16">
        <v>255</v>
      </c>
      <c r="P16" s="7">
        <v>9830</v>
      </c>
      <c r="Q16" s="10">
        <v>0.61</v>
      </c>
      <c r="R16">
        <v>0.06</v>
      </c>
      <c r="S16">
        <v>1.38</v>
      </c>
      <c r="T16" s="5">
        <f>O16/730</f>
        <v>0.34931506849315069</v>
      </c>
      <c r="U16" t="s">
        <v>16</v>
      </c>
      <c r="V16" t="s">
        <v>16</v>
      </c>
    </row>
    <row r="17" spans="1:22" x14ac:dyDescent="0.3">
      <c r="A17" t="s">
        <v>730</v>
      </c>
      <c r="B17" t="s">
        <v>68</v>
      </c>
      <c r="C17">
        <v>131</v>
      </c>
      <c r="D17" t="s">
        <v>14</v>
      </c>
      <c r="E17" t="s">
        <v>45</v>
      </c>
      <c r="F17" s="3" t="s">
        <v>828</v>
      </c>
      <c r="G17">
        <v>20023</v>
      </c>
      <c r="H17" t="s">
        <v>18</v>
      </c>
      <c r="I17" t="s">
        <v>18</v>
      </c>
      <c r="J17" t="s">
        <v>95</v>
      </c>
      <c r="K17" t="s">
        <v>95</v>
      </c>
      <c r="L17" t="s">
        <v>95</v>
      </c>
      <c r="M17" t="s">
        <v>829</v>
      </c>
      <c r="N17" t="s">
        <v>95</v>
      </c>
      <c r="O17">
        <v>76</v>
      </c>
      <c r="P17" s="7">
        <v>5916</v>
      </c>
      <c r="Q17" s="10">
        <v>0.61</v>
      </c>
      <c r="R17">
        <v>7.0000000000000007E-2</v>
      </c>
      <c r="S17">
        <v>1.77</v>
      </c>
      <c r="T17" s="5">
        <f>O17/730</f>
        <v>0.10410958904109589</v>
      </c>
      <c r="U17" t="s">
        <v>16</v>
      </c>
      <c r="V17" t="s">
        <v>16</v>
      </c>
    </row>
    <row r="18" spans="1:22" x14ac:dyDescent="0.3">
      <c r="A18" t="s">
        <v>730</v>
      </c>
      <c r="B18" t="s">
        <v>68</v>
      </c>
      <c r="C18">
        <v>131</v>
      </c>
      <c r="D18" t="s">
        <v>14</v>
      </c>
      <c r="E18" t="s">
        <v>45</v>
      </c>
      <c r="F18" s="3" t="s">
        <v>824</v>
      </c>
      <c r="G18">
        <v>20023</v>
      </c>
      <c r="H18" t="s">
        <v>18</v>
      </c>
      <c r="I18" t="s">
        <v>18</v>
      </c>
      <c r="J18" t="s">
        <v>95</v>
      </c>
      <c r="K18" t="s">
        <v>95</v>
      </c>
      <c r="L18" t="s">
        <v>344</v>
      </c>
      <c r="M18" t="s">
        <v>95</v>
      </c>
      <c r="N18" t="s">
        <v>825</v>
      </c>
      <c r="O18">
        <v>331</v>
      </c>
      <c r="P18" s="7">
        <v>8675</v>
      </c>
      <c r="Q18" s="10">
        <v>0.6</v>
      </c>
      <c r="R18">
        <v>0.09</v>
      </c>
      <c r="S18">
        <v>1.26</v>
      </c>
      <c r="T18" s="5">
        <f>O18/730</f>
        <v>0.4534246575342466</v>
      </c>
      <c r="U18" t="s">
        <v>16</v>
      </c>
      <c r="V18" t="s">
        <v>16</v>
      </c>
    </row>
    <row r="19" spans="1:22" x14ac:dyDescent="0.3">
      <c r="A19" t="s">
        <v>730</v>
      </c>
      <c r="B19" t="s">
        <v>68</v>
      </c>
      <c r="C19">
        <v>131</v>
      </c>
      <c r="D19" t="s">
        <v>14</v>
      </c>
      <c r="E19" t="s">
        <v>45</v>
      </c>
      <c r="F19" s="3" t="s">
        <v>130</v>
      </c>
      <c r="G19">
        <v>20023</v>
      </c>
      <c r="H19" t="s">
        <v>18</v>
      </c>
      <c r="I19" t="s">
        <v>18</v>
      </c>
      <c r="J19" t="s">
        <v>783</v>
      </c>
      <c r="K19" t="s">
        <v>734</v>
      </c>
      <c r="L19" t="s">
        <v>729</v>
      </c>
      <c r="M19" t="s">
        <v>770</v>
      </c>
      <c r="N19" t="s">
        <v>729</v>
      </c>
      <c r="O19">
        <v>256</v>
      </c>
      <c r="P19" s="7">
        <v>16688</v>
      </c>
      <c r="Q19" s="10">
        <v>0.57999999999999996</v>
      </c>
      <c r="R19">
        <v>7.0000000000000007E-2</v>
      </c>
      <c r="S19">
        <v>1.65</v>
      </c>
      <c r="T19" s="5">
        <f>O19/730</f>
        <v>0.35068493150684932</v>
      </c>
      <c r="U19" t="s">
        <v>16</v>
      </c>
      <c r="V19" t="s">
        <v>16</v>
      </c>
    </row>
    <row r="20" spans="1:22" x14ac:dyDescent="0.3">
      <c r="A20" t="s">
        <v>730</v>
      </c>
      <c r="B20" t="s">
        <v>68</v>
      </c>
      <c r="C20">
        <v>131</v>
      </c>
      <c r="D20" t="s">
        <v>14</v>
      </c>
      <c r="E20" t="s">
        <v>45</v>
      </c>
      <c r="F20" s="3" t="s">
        <v>814</v>
      </c>
      <c r="G20">
        <v>20023</v>
      </c>
      <c r="H20" t="s">
        <v>18</v>
      </c>
      <c r="I20" t="s">
        <v>18</v>
      </c>
      <c r="J20" t="s">
        <v>815</v>
      </c>
      <c r="K20" t="s">
        <v>95</v>
      </c>
      <c r="L20" t="s">
        <v>344</v>
      </c>
      <c r="M20" t="s">
        <v>95</v>
      </c>
      <c r="N20" t="s">
        <v>95</v>
      </c>
      <c r="O20">
        <v>66</v>
      </c>
      <c r="P20" s="7">
        <v>5308</v>
      </c>
      <c r="Q20" s="10">
        <v>0.54</v>
      </c>
      <c r="R20">
        <v>0.09</v>
      </c>
      <c r="S20">
        <v>1.8</v>
      </c>
      <c r="T20" s="5">
        <f>O20/730</f>
        <v>9.0410958904109592E-2</v>
      </c>
      <c r="U20" t="s">
        <v>16</v>
      </c>
      <c r="V20" t="s">
        <v>16</v>
      </c>
    </row>
    <row r="21" spans="1:22" x14ac:dyDescent="0.3">
      <c r="A21" t="s">
        <v>730</v>
      </c>
      <c r="B21" t="s">
        <v>68</v>
      </c>
      <c r="C21">
        <v>131</v>
      </c>
      <c r="D21" t="s">
        <v>14</v>
      </c>
      <c r="E21" t="s">
        <v>45</v>
      </c>
      <c r="F21" s="3" t="s">
        <v>846</v>
      </c>
      <c r="G21">
        <v>20023</v>
      </c>
      <c r="H21" t="s">
        <v>18</v>
      </c>
      <c r="I21" t="s">
        <v>18</v>
      </c>
      <c r="J21" t="s">
        <v>847</v>
      </c>
      <c r="K21" t="s">
        <v>848</v>
      </c>
      <c r="L21" t="s">
        <v>95</v>
      </c>
      <c r="M21" t="s">
        <v>95</v>
      </c>
      <c r="N21" t="s">
        <v>95</v>
      </c>
      <c r="O21">
        <v>100</v>
      </c>
      <c r="P21" s="7">
        <v>7618</v>
      </c>
      <c r="Q21" s="10">
        <v>0.54</v>
      </c>
      <c r="R21">
        <v>7.0000000000000007E-2</v>
      </c>
      <c r="S21">
        <v>1.76</v>
      </c>
      <c r="T21" s="5">
        <f>O21/730</f>
        <v>0.13698630136986301</v>
      </c>
      <c r="U21" t="s">
        <v>16</v>
      </c>
      <c r="V21" t="s">
        <v>16</v>
      </c>
    </row>
    <row r="22" spans="1:22" x14ac:dyDescent="0.3">
      <c r="A22" t="s">
        <v>730</v>
      </c>
      <c r="B22" t="s">
        <v>68</v>
      </c>
      <c r="C22">
        <v>131</v>
      </c>
      <c r="D22" t="s">
        <v>14</v>
      </c>
      <c r="E22" t="s">
        <v>45</v>
      </c>
      <c r="F22" s="3" t="s">
        <v>147</v>
      </c>
      <c r="G22">
        <v>20023</v>
      </c>
      <c r="H22" t="s">
        <v>18</v>
      </c>
      <c r="I22" t="s">
        <v>18</v>
      </c>
      <c r="J22" t="s">
        <v>800</v>
      </c>
      <c r="K22" t="s">
        <v>792</v>
      </c>
      <c r="L22" t="s">
        <v>799</v>
      </c>
      <c r="M22" t="s">
        <v>344</v>
      </c>
      <c r="N22" t="s">
        <v>95</v>
      </c>
      <c r="O22">
        <v>428</v>
      </c>
      <c r="P22" s="7">
        <v>8032</v>
      </c>
      <c r="Q22" s="10">
        <v>0.53</v>
      </c>
      <c r="R22">
        <v>0.06</v>
      </c>
      <c r="S22">
        <v>1.18</v>
      </c>
      <c r="T22" s="5">
        <f>O22/730</f>
        <v>0.58630136986301373</v>
      </c>
      <c r="U22" t="s">
        <v>16</v>
      </c>
      <c r="V22" t="s">
        <v>16</v>
      </c>
    </row>
    <row r="23" spans="1:22" x14ac:dyDescent="0.3">
      <c r="A23" t="s">
        <v>730</v>
      </c>
      <c r="B23" t="s">
        <v>68</v>
      </c>
      <c r="C23">
        <v>131</v>
      </c>
      <c r="D23" t="s">
        <v>14</v>
      </c>
      <c r="E23" t="s">
        <v>45</v>
      </c>
      <c r="F23" s="3" t="s">
        <v>842</v>
      </c>
      <c r="G23">
        <v>20023</v>
      </c>
      <c r="H23" t="s">
        <v>18</v>
      </c>
      <c r="I23" t="s">
        <v>18</v>
      </c>
      <c r="J23" t="s">
        <v>840</v>
      </c>
      <c r="K23" t="s">
        <v>454</v>
      </c>
      <c r="L23" t="s">
        <v>95</v>
      </c>
      <c r="M23" t="s">
        <v>95</v>
      </c>
      <c r="N23" t="s">
        <v>843</v>
      </c>
      <c r="O23">
        <v>164</v>
      </c>
      <c r="P23" s="7">
        <v>8246</v>
      </c>
      <c r="Q23" s="10">
        <v>0.52</v>
      </c>
      <c r="R23">
        <v>0.06</v>
      </c>
      <c r="S23">
        <v>1.5</v>
      </c>
      <c r="T23" s="5">
        <f>O23/730</f>
        <v>0.22465753424657534</v>
      </c>
      <c r="U23" t="s">
        <v>16</v>
      </c>
      <c r="V23" t="s">
        <v>16</v>
      </c>
    </row>
    <row r="24" spans="1:22" x14ac:dyDescent="0.3">
      <c r="A24" t="s">
        <v>730</v>
      </c>
      <c r="B24" t="s">
        <v>68</v>
      </c>
      <c r="C24">
        <v>131</v>
      </c>
      <c r="D24" t="s">
        <v>14</v>
      </c>
      <c r="E24" t="s">
        <v>45</v>
      </c>
      <c r="F24" s="3" t="s">
        <v>844</v>
      </c>
      <c r="G24">
        <v>20023</v>
      </c>
      <c r="H24" t="s">
        <v>18</v>
      </c>
      <c r="I24" t="s">
        <v>18</v>
      </c>
      <c r="J24" t="s">
        <v>845</v>
      </c>
      <c r="K24" t="s">
        <v>454</v>
      </c>
      <c r="L24" t="s">
        <v>95</v>
      </c>
      <c r="M24" t="s">
        <v>95</v>
      </c>
      <c r="N24" t="s">
        <v>95</v>
      </c>
      <c r="O24">
        <v>74</v>
      </c>
      <c r="P24" s="7">
        <v>17665</v>
      </c>
      <c r="Q24" s="10">
        <v>0.52</v>
      </c>
      <c r="R24">
        <v>0.09</v>
      </c>
      <c r="S24">
        <v>3.38</v>
      </c>
      <c r="T24" s="5">
        <f>O24/730</f>
        <v>0.10136986301369863</v>
      </c>
      <c r="U24" t="s">
        <v>16</v>
      </c>
      <c r="V24" t="s">
        <v>16</v>
      </c>
    </row>
    <row r="25" spans="1:22" x14ac:dyDescent="0.3">
      <c r="A25" t="s">
        <v>730</v>
      </c>
      <c r="B25" t="s">
        <v>68</v>
      </c>
      <c r="C25">
        <v>131</v>
      </c>
      <c r="D25" t="s">
        <v>14</v>
      </c>
      <c r="E25" t="s">
        <v>45</v>
      </c>
      <c r="F25" s="3" t="s">
        <v>111</v>
      </c>
      <c r="G25">
        <v>20023</v>
      </c>
      <c r="H25" t="s">
        <v>18</v>
      </c>
      <c r="I25" t="s">
        <v>18</v>
      </c>
      <c r="J25" t="s">
        <v>95</v>
      </c>
      <c r="K25" t="s">
        <v>771</v>
      </c>
      <c r="L25" t="s">
        <v>344</v>
      </c>
      <c r="M25" t="s">
        <v>770</v>
      </c>
      <c r="N25" t="s">
        <v>95</v>
      </c>
      <c r="O25">
        <v>471</v>
      </c>
      <c r="P25" s="7">
        <v>14335</v>
      </c>
      <c r="Q25" s="10">
        <v>0.51</v>
      </c>
      <c r="R25">
        <v>7.0000000000000007E-2</v>
      </c>
      <c r="S25">
        <v>1.3</v>
      </c>
      <c r="T25" s="5">
        <f>O25/730</f>
        <v>0.64520547945205475</v>
      </c>
      <c r="U25" t="s">
        <v>16</v>
      </c>
      <c r="V25" t="s">
        <v>16</v>
      </c>
    </row>
    <row r="26" spans="1:22" x14ac:dyDescent="0.3">
      <c r="Q26" s="10"/>
    </row>
    <row r="27" spans="1:22" x14ac:dyDescent="0.3">
      <c r="Q27" s="10"/>
    </row>
    <row r="28" spans="1:22" x14ac:dyDescent="0.3">
      <c r="Q28" s="10"/>
    </row>
    <row r="29" spans="1:22" x14ac:dyDescent="0.3">
      <c r="Q29" s="10"/>
    </row>
    <row r="30" spans="1:22" x14ac:dyDescent="0.3">
      <c r="Q30" s="10"/>
    </row>
    <row r="31" spans="1:22" x14ac:dyDescent="0.3">
      <c r="Q31" s="10"/>
    </row>
    <row r="32" spans="1:22" x14ac:dyDescent="0.3">
      <c r="Q32" s="10"/>
    </row>
    <row r="33" spans="17:17" x14ac:dyDescent="0.3">
      <c r="Q33" s="10"/>
    </row>
    <row r="34" spans="17:17" x14ac:dyDescent="0.3">
      <c r="Q34" s="10"/>
    </row>
    <row r="35" spans="17:17" x14ac:dyDescent="0.3">
      <c r="Q35" s="10"/>
    </row>
    <row r="36" spans="17:17" x14ac:dyDescent="0.3">
      <c r="Q36" s="10"/>
    </row>
    <row r="37" spans="17:17" x14ac:dyDescent="0.3">
      <c r="Q37" s="10"/>
    </row>
    <row r="38" spans="17:17" x14ac:dyDescent="0.3">
      <c r="Q38" s="10"/>
    </row>
    <row r="39" spans="17:17" x14ac:dyDescent="0.3">
      <c r="Q39" s="10"/>
    </row>
    <row r="40" spans="17:17" x14ac:dyDescent="0.3">
      <c r="Q40" s="10"/>
    </row>
    <row r="41" spans="17:17" x14ac:dyDescent="0.3">
      <c r="Q41" s="10"/>
    </row>
    <row r="42" spans="17:17" x14ac:dyDescent="0.3">
      <c r="Q42" s="10"/>
    </row>
    <row r="43" spans="17:17" x14ac:dyDescent="0.3">
      <c r="Q43" s="10"/>
    </row>
    <row r="44" spans="17:17" x14ac:dyDescent="0.3">
      <c r="Q44" s="10"/>
    </row>
    <row r="45" spans="17:17" x14ac:dyDescent="0.3">
      <c r="Q45" s="10"/>
    </row>
    <row r="46" spans="17:17" x14ac:dyDescent="0.3">
      <c r="Q46" s="10"/>
    </row>
    <row r="47" spans="17:17" x14ac:dyDescent="0.3">
      <c r="Q47" s="10"/>
    </row>
    <row r="48" spans="17:17" x14ac:dyDescent="0.3">
      <c r="Q48" s="10"/>
    </row>
    <row r="49" spans="17:17" x14ac:dyDescent="0.3">
      <c r="Q49" s="10"/>
    </row>
    <row r="50" spans="17:17" x14ac:dyDescent="0.3">
      <c r="Q50" s="10"/>
    </row>
    <row r="51" spans="17:17" x14ac:dyDescent="0.3">
      <c r="Q51" s="10"/>
    </row>
    <row r="52" spans="17:17" x14ac:dyDescent="0.3">
      <c r="Q52" s="10"/>
    </row>
    <row r="53" spans="17:17" x14ac:dyDescent="0.3">
      <c r="Q53" s="10"/>
    </row>
    <row r="54" spans="17:17" x14ac:dyDescent="0.3">
      <c r="Q54" s="10"/>
    </row>
    <row r="55" spans="17:17" x14ac:dyDescent="0.3">
      <c r="Q55" s="10"/>
    </row>
    <row r="56" spans="17:17" x14ac:dyDescent="0.3">
      <c r="Q56" s="10"/>
    </row>
    <row r="57" spans="17:17" x14ac:dyDescent="0.3">
      <c r="Q57" s="10"/>
    </row>
    <row r="58" spans="17:17" x14ac:dyDescent="0.3">
      <c r="Q58" s="10"/>
    </row>
    <row r="59" spans="17:17" x14ac:dyDescent="0.3">
      <c r="Q59" s="10"/>
    </row>
    <row r="60" spans="17:17" x14ac:dyDescent="0.3">
      <c r="Q60" s="10"/>
    </row>
    <row r="61" spans="17:17" x14ac:dyDescent="0.3">
      <c r="Q61" s="10"/>
    </row>
    <row r="62" spans="17:17" x14ac:dyDescent="0.3">
      <c r="Q62" s="10"/>
    </row>
    <row r="63" spans="17:17" x14ac:dyDescent="0.3">
      <c r="Q63" s="10"/>
    </row>
    <row r="64" spans="17:17" x14ac:dyDescent="0.3">
      <c r="Q64" s="10"/>
    </row>
    <row r="65" spans="17:17" x14ac:dyDescent="0.3">
      <c r="Q65" s="10"/>
    </row>
    <row r="66" spans="17:17" x14ac:dyDescent="0.3">
      <c r="Q66" s="10"/>
    </row>
    <row r="67" spans="17:17" x14ac:dyDescent="0.3">
      <c r="Q67" s="10"/>
    </row>
    <row r="68" spans="17:17" x14ac:dyDescent="0.3">
      <c r="Q68" s="10"/>
    </row>
    <row r="69" spans="17:17" x14ac:dyDescent="0.3">
      <c r="Q69" s="10"/>
    </row>
    <row r="70" spans="17:17" x14ac:dyDescent="0.3">
      <c r="Q70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1"/>
  <sheetViews>
    <sheetView zoomScale="90" zoomScaleNormal="90" workbookViewId="0">
      <pane ySplit="1" topLeftCell="A20" activePane="bottomLeft" state="frozen"/>
      <selection pane="bottomLeft" activeCell="D16" sqref="D16"/>
    </sheetView>
  </sheetViews>
  <sheetFormatPr defaultRowHeight="16.5" x14ac:dyDescent="0.3"/>
  <cols>
    <col min="1" max="2" width="4.875" customWidth="1"/>
    <col min="3" max="3" width="4.75" customWidth="1"/>
    <col min="4" max="4" width="7.375" customWidth="1"/>
    <col min="5" max="5" width="7.5" customWidth="1"/>
    <col min="6" max="6" width="9" style="3"/>
    <col min="7" max="7" width="6.625" customWidth="1"/>
    <col min="8" max="8" width="5" customWidth="1"/>
    <col min="9" max="9" width="6.625" customWidth="1"/>
    <col min="11" max="11" width="10.375" customWidth="1"/>
    <col min="12" max="13" width="10.125" customWidth="1"/>
    <col min="14" max="14" width="10.5" customWidth="1"/>
    <col min="15" max="15" width="7" customWidth="1"/>
    <col min="16" max="17" width="9.125" style="7" customWidth="1"/>
    <col min="18" max="18" width="6.625" customWidth="1"/>
    <col min="19" max="19" width="7.125" customWidth="1"/>
    <col min="20" max="20" width="7.5" style="5" customWidth="1"/>
    <col min="21" max="21" width="3.5" customWidth="1"/>
    <col min="22" max="22" width="2.75" customWidth="1"/>
  </cols>
  <sheetData>
    <row r="1" spans="1:22" s="1" customFormat="1" ht="29.25" customHeight="1" x14ac:dyDescent="0.3">
      <c r="A1" s="1" t="s">
        <v>0</v>
      </c>
      <c r="B1" s="1" t="s">
        <v>23</v>
      </c>
      <c r="C1" s="1" t="s">
        <v>25</v>
      </c>
      <c r="D1" s="1" t="s">
        <v>1</v>
      </c>
      <c r="E1" s="1" t="s">
        <v>2</v>
      </c>
      <c r="F1" s="8" t="s">
        <v>3</v>
      </c>
      <c r="G1" s="1" t="s">
        <v>4</v>
      </c>
      <c r="H1" s="1" t="s">
        <v>5</v>
      </c>
      <c r="I1" s="9" t="s">
        <v>6</v>
      </c>
      <c r="J1" s="1" t="s">
        <v>10</v>
      </c>
      <c r="K1" s="1" t="s">
        <v>21</v>
      </c>
      <c r="L1" s="1" t="s">
        <v>22</v>
      </c>
      <c r="M1" s="1" t="s">
        <v>11</v>
      </c>
      <c r="N1" s="1" t="s">
        <v>12</v>
      </c>
      <c r="O1" s="1" t="s">
        <v>7</v>
      </c>
      <c r="P1" s="6" t="s">
        <v>39</v>
      </c>
      <c r="Q1" s="6" t="s">
        <v>731</v>
      </c>
      <c r="R1" s="1" t="s">
        <v>8</v>
      </c>
      <c r="S1" s="1" t="s">
        <v>19</v>
      </c>
      <c r="T1" s="4" t="s">
        <v>20</v>
      </c>
      <c r="U1" s="1" t="s">
        <v>9</v>
      </c>
      <c r="V1" s="1" t="s">
        <v>13</v>
      </c>
    </row>
    <row r="2" spans="1:22" x14ac:dyDescent="0.3">
      <c r="A2" t="s">
        <v>17</v>
      </c>
      <c r="B2" t="s">
        <v>24</v>
      </c>
      <c r="C2">
        <v>131</v>
      </c>
      <c r="D2" t="s">
        <v>14</v>
      </c>
      <c r="E2" t="s">
        <v>15</v>
      </c>
      <c r="F2" s="3">
        <v>123</v>
      </c>
      <c r="G2">
        <v>99100</v>
      </c>
      <c r="H2" t="s">
        <v>18</v>
      </c>
      <c r="I2" t="s">
        <v>18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>
        <v>20</v>
      </c>
      <c r="P2" s="7">
        <v>0</v>
      </c>
      <c r="Q2" s="7">
        <v>0</v>
      </c>
      <c r="R2">
        <v>0.05</v>
      </c>
      <c r="S2">
        <v>0</v>
      </c>
      <c r="T2" s="5">
        <v>0</v>
      </c>
      <c r="U2" t="s">
        <v>16</v>
      </c>
      <c r="V2" t="s">
        <v>16</v>
      </c>
    </row>
    <row r="3" spans="1:22" x14ac:dyDescent="0.3">
      <c r="A3" t="s">
        <v>730</v>
      </c>
      <c r="B3" t="s">
        <v>68</v>
      </c>
      <c r="C3">
        <v>131</v>
      </c>
      <c r="D3" t="s">
        <v>14</v>
      </c>
      <c r="E3" t="s">
        <v>45</v>
      </c>
      <c r="F3" s="3" t="s">
        <v>733</v>
      </c>
      <c r="G3">
        <v>20023</v>
      </c>
      <c r="H3" t="s">
        <v>18</v>
      </c>
      <c r="I3" t="s">
        <v>18</v>
      </c>
      <c r="J3" t="s">
        <v>16</v>
      </c>
      <c r="K3" t="s">
        <v>734</v>
      </c>
      <c r="L3" t="s">
        <v>16</v>
      </c>
      <c r="M3" t="s">
        <v>95</v>
      </c>
      <c r="N3" t="s">
        <v>452</v>
      </c>
      <c r="O3">
        <v>1013</v>
      </c>
      <c r="P3" s="7">
        <v>26722</v>
      </c>
      <c r="Q3" s="10">
        <v>0.27</v>
      </c>
      <c r="R3">
        <v>0.11</v>
      </c>
      <c r="S3">
        <v>1.26</v>
      </c>
      <c r="T3" s="5">
        <f>O3/730</f>
        <v>1.3876712328767122</v>
      </c>
      <c r="U3" t="s">
        <v>16</v>
      </c>
      <c r="V3" t="s">
        <v>16</v>
      </c>
    </row>
    <row r="4" spans="1:22" x14ac:dyDescent="0.3">
      <c r="A4" t="s">
        <v>730</v>
      </c>
      <c r="B4" t="s">
        <v>68</v>
      </c>
      <c r="C4">
        <v>131</v>
      </c>
      <c r="D4" t="s">
        <v>14</v>
      </c>
      <c r="E4" t="s">
        <v>45</v>
      </c>
      <c r="F4" s="3" t="s">
        <v>50</v>
      </c>
      <c r="G4">
        <v>20023</v>
      </c>
      <c r="H4" t="s">
        <v>18</v>
      </c>
      <c r="I4" t="s">
        <v>18</v>
      </c>
      <c r="J4" t="s">
        <v>16</v>
      </c>
      <c r="K4" t="s">
        <v>732</v>
      </c>
      <c r="L4" t="s">
        <v>16</v>
      </c>
      <c r="M4" t="s">
        <v>95</v>
      </c>
      <c r="N4" t="s">
        <v>95</v>
      </c>
      <c r="O4">
        <v>805</v>
      </c>
      <c r="P4" s="7">
        <v>13777</v>
      </c>
      <c r="Q4" s="10">
        <v>0.39</v>
      </c>
      <c r="R4">
        <v>0.09</v>
      </c>
      <c r="S4">
        <v>1.17</v>
      </c>
      <c r="T4" s="5">
        <f>O4/730</f>
        <v>1.1027397260273972</v>
      </c>
      <c r="U4" t="s">
        <v>16</v>
      </c>
      <c r="V4" t="s">
        <v>16</v>
      </c>
    </row>
    <row r="5" spans="1:22" x14ac:dyDescent="0.3">
      <c r="A5" t="s">
        <v>730</v>
      </c>
      <c r="B5" t="s">
        <v>68</v>
      </c>
      <c r="C5">
        <v>131</v>
      </c>
      <c r="D5" t="s">
        <v>14</v>
      </c>
      <c r="E5" t="s">
        <v>45</v>
      </c>
      <c r="F5" s="3" t="s">
        <v>735</v>
      </c>
      <c r="G5">
        <v>20023</v>
      </c>
      <c r="H5" t="s">
        <v>18</v>
      </c>
      <c r="I5" t="s">
        <v>18</v>
      </c>
      <c r="J5" t="s">
        <v>16</v>
      </c>
      <c r="K5" t="s">
        <v>95</v>
      </c>
      <c r="L5" t="s">
        <v>736</v>
      </c>
      <c r="M5" t="s">
        <v>95</v>
      </c>
      <c r="N5" t="s">
        <v>95</v>
      </c>
      <c r="O5">
        <v>335</v>
      </c>
      <c r="P5" s="7">
        <v>11539</v>
      </c>
      <c r="Q5" s="10">
        <v>0.42</v>
      </c>
      <c r="R5">
        <v>0.08</v>
      </c>
      <c r="S5">
        <v>1.34</v>
      </c>
      <c r="T5" s="5">
        <f>O5/730</f>
        <v>0.4589041095890411</v>
      </c>
      <c r="U5" t="s">
        <v>16</v>
      </c>
      <c r="V5" t="s">
        <v>16</v>
      </c>
    </row>
    <row r="6" spans="1:22" x14ac:dyDescent="0.3">
      <c r="A6" t="s">
        <v>730</v>
      </c>
      <c r="B6" t="s">
        <v>68</v>
      </c>
      <c r="C6">
        <v>131</v>
      </c>
      <c r="D6" t="s">
        <v>14</v>
      </c>
      <c r="E6" t="s">
        <v>45</v>
      </c>
      <c r="F6" s="3" t="s">
        <v>64</v>
      </c>
      <c r="G6">
        <v>20023</v>
      </c>
      <c r="H6" t="s">
        <v>18</v>
      </c>
      <c r="I6" t="s">
        <v>18</v>
      </c>
      <c r="J6" t="s">
        <v>737</v>
      </c>
      <c r="K6" t="s">
        <v>95</v>
      </c>
      <c r="L6" t="s">
        <v>95</v>
      </c>
      <c r="M6" t="s">
        <v>95</v>
      </c>
      <c r="N6" t="s">
        <v>95</v>
      </c>
      <c r="O6">
        <v>438</v>
      </c>
      <c r="P6" s="7">
        <v>9158</v>
      </c>
      <c r="Q6" s="10">
        <v>0.21</v>
      </c>
      <c r="R6">
        <v>0.12</v>
      </c>
      <c r="S6">
        <v>1.2</v>
      </c>
      <c r="T6" s="5">
        <f>O6/730</f>
        <v>0.6</v>
      </c>
      <c r="U6" t="s">
        <v>16</v>
      </c>
      <c r="V6" t="s">
        <v>16</v>
      </c>
    </row>
    <row r="7" spans="1:22" x14ac:dyDescent="0.3">
      <c r="A7" t="s">
        <v>730</v>
      </c>
      <c r="B7" t="s">
        <v>68</v>
      </c>
      <c r="C7">
        <v>131</v>
      </c>
      <c r="D7" t="s">
        <v>14</v>
      </c>
      <c r="E7" t="s">
        <v>45</v>
      </c>
      <c r="F7" s="3" t="s">
        <v>738</v>
      </c>
      <c r="G7">
        <v>20023</v>
      </c>
      <c r="H7" t="s">
        <v>18</v>
      </c>
      <c r="I7" t="s">
        <v>18</v>
      </c>
      <c r="J7" t="s">
        <v>95</v>
      </c>
      <c r="K7" t="s">
        <v>95</v>
      </c>
      <c r="L7" t="s">
        <v>739</v>
      </c>
      <c r="M7" t="s">
        <v>95</v>
      </c>
      <c r="N7" t="s">
        <v>95</v>
      </c>
      <c r="O7">
        <v>344</v>
      </c>
      <c r="P7" s="7">
        <v>13538</v>
      </c>
      <c r="Q7" s="10">
        <v>0.23</v>
      </c>
      <c r="R7">
        <v>7.0000000000000007E-2</v>
      </c>
      <c r="S7">
        <v>1.39</v>
      </c>
      <c r="T7" s="5">
        <f>O7/730</f>
        <v>0.47123287671232877</v>
      </c>
      <c r="U7" t="s">
        <v>16</v>
      </c>
      <c r="V7" t="s">
        <v>16</v>
      </c>
    </row>
    <row r="8" spans="1:22" x14ac:dyDescent="0.3">
      <c r="A8" t="s">
        <v>730</v>
      </c>
      <c r="B8" t="s">
        <v>68</v>
      </c>
      <c r="C8">
        <v>131</v>
      </c>
      <c r="D8" t="s">
        <v>14</v>
      </c>
      <c r="E8" t="s">
        <v>45</v>
      </c>
      <c r="F8" s="3" t="s">
        <v>65</v>
      </c>
      <c r="G8">
        <v>20023</v>
      </c>
      <c r="H8" t="s">
        <v>18</v>
      </c>
      <c r="I8" t="s">
        <v>18</v>
      </c>
      <c r="J8" t="s">
        <v>95</v>
      </c>
      <c r="K8" t="s">
        <v>95</v>
      </c>
      <c r="L8" t="s">
        <v>454</v>
      </c>
      <c r="M8" t="s">
        <v>95</v>
      </c>
      <c r="N8" t="s">
        <v>740</v>
      </c>
      <c r="O8">
        <v>216</v>
      </c>
      <c r="P8" s="7">
        <v>7599</v>
      </c>
      <c r="Q8" s="10">
        <v>0.23</v>
      </c>
      <c r="R8">
        <v>0.11</v>
      </c>
      <c r="S8">
        <v>1.34</v>
      </c>
      <c r="T8" s="5">
        <f>O8/730</f>
        <v>0.29589041095890412</v>
      </c>
      <c r="U8" t="s">
        <v>16</v>
      </c>
      <c r="V8" t="s">
        <v>16</v>
      </c>
    </row>
    <row r="9" spans="1:22" x14ac:dyDescent="0.3">
      <c r="A9" t="s">
        <v>730</v>
      </c>
      <c r="B9" t="s">
        <v>68</v>
      </c>
      <c r="C9">
        <v>131</v>
      </c>
      <c r="D9" t="s">
        <v>14</v>
      </c>
      <c r="E9" t="s">
        <v>45</v>
      </c>
      <c r="F9" s="3" t="s">
        <v>371</v>
      </c>
      <c r="G9">
        <v>20023</v>
      </c>
      <c r="H9" t="s">
        <v>18</v>
      </c>
      <c r="I9" t="s">
        <v>18</v>
      </c>
      <c r="J9" t="s">
        <v>95</v>
      </c>
      <c r="K9" t="s">
        <v>95</v>
      </c>
      <c r="L9" t="s">
        <v>454</v>
      </c>
      <c r="M9" t="s">
        <v>741</v>
      </c>
      <c r="N9" t="s">
        <v>729</v>
      </c>
      <c r="O9">
        <v>424</v>
      </c>
      <c r="P9" s="7">
        <v>11523</v>
      </c>
      <c r="Q9" s="10">
        <v>0.2</v>
      </c>
      <c r="R9">
        <v>7.0000000000000007E-2</v>
      </c>
      <c r="S9">
        <v>1.27</v>
      </c>
      <c r="T9" s="5">
        <f>O9/730</f>
        <v>0.58082191780821912</v>
      </c>
      <c r="U9" t="s">
        <v>16</v>
      </c>
      <c r="V9" t="s">
        <v>16</v>
      </c>
    </row>
    <row r="10" spans="1:22" x14ac:dyDescent="0.3">
      <c r="A10" t="s">
        <v>730</v>
      </c>
      <c r="B10" t="s">
        <v>68</v>
      </c>
      <c r="C10">
        <v>131</v>
      </c>
      <c r="D10" t="s">
        <v>14</v>
      </c>
      <c r="E10" t="s">
        <v>45</v>
      </c>
      <c r="F10" s="3" t="s">
        <v>742</v>
      </c>
      <c r="G10">
        <v>20023</v>
      </c>
      <c r="H10" t="s">
        <v>18</v>
      </c>
      <c r="I10" t="s">
        <v>18</v>
      </c>
      <c r="J10" t="s">
        <v>95</v>
      </c>
      <c r="K10" t="s">
        <v>95</v>
      </c>
      <c r="L10" t="s">
        <v>454</v>
      </c>
      <c r="M10" t="s">
        <v>95</v>
      </c>
      <c r="N10" t="s">
        <v>743</v>
      </c>
      <c r="O10">
        <v>526</v>
      </c>
      <c r="P10" s="7">
        <v>10602</v>
      </c>
      <c r="Q10" s="10">
        <v>0.35</v>
      </c>
      <c r="R10">
        <v>0.06</v>
      </c>
      <c r="S10">
        <v>1.2</v>
      </c>
      <c r="T10" s="5">
        <f>O10/730</f>
        <v>0.72054794520547949</v>
      </c>
      <c r="U10" t="s">
        <v>16</v>
      </c>
      <c r="V10" t="s">
        <v>16</v>
      </c>
    </row>
    <row r="11" spans="1:22" x14ac:dyDescent="0.3">
      <c r="A11" t="s">
        <v>730</v>
      </c>
      <c r="B11" t="s">
        <v>68</v>
      </c>
      <c r="C11">
        <v>131</v>
      </c>
      <c r="D11" t="s">
        <v>14</v>
      </c>
      <c r="E11" t="s">
        <v>45</v>
      </c>
      <c r="F11" s="3" t="s">
        <v>744</v>
      </c>
      <c r="G11">
        <v>20023</v>
      </c>
      <c r="H11" t="s">
        <v>18</v>
      </c>
      <c r="I11" t="s">
        <v>18</v>
      </c>
      <c r="J11" t="s">
        <v>745</v>
      </c>
      <c r="K11" t="s">
        <v>95</v>
      </c>
      <c r="L11" t="s">
        <v>454</v>
      </c>
      <c r="M11" t="s">
        <v>95</v>
      </c>
      <c r="N11" t="s">
        <v>95</v>
      </c>
      <c r="O11">
        <v>494</v>
      </c>
      <c r="P11" s="7">
        <v>12490</v>
      </c>
      <c r="Q11" s="10">
        <v>0.4</v>
      </c>
      <c r="R11">
        <v>0.09</v>
      </c>
      <c r="S11">
        <v>1.25</v>
      </c>
      <c r="T11" s="5">
        <f>O11/730</f>
        <v>0.67671232876712328</v>
      </c>
      <c r="U11" t="s">
        <v>16</v>
      </c>
      <c r="V11" t="s">
        <v>16</v>
      </c>
    </row>
    <row r="12" spans="1:22" x14ac:dyDescent="0.3">
      <c r="A12" t="s">
        <v>730</v>
      </c>
      <c r="B12" t="s">
        <v>68</v>
      </c>
      <c r="C12">
        <v>131</v>
      </c>
      <c r="D12" t="s">
        <v>14</v>
      </c>
      <c r="E12" t="s">
        <v>45</v>
      </c>
      <c r="F12" s="3" t="s">
        <v>746</v>
      </c>
      <c r="G12">
        <v>20023</v>
      </c>
      <c r="H12" t="s">
        <v>18</v>
      </c>
      <c r="I12" t="s">
        <v>18</v>
      </c>
      <c r="J12" t="s">
        <v>95</v>
      </c>
      <c r="K12" t="s">
        <v>95</v>
      </c>
      <c r="L12" t="s">
        <v>747</v>
      </c>
      <c r="M12" t="s">
        <v>95</v>
      </c>
      <c r="N12" t="s">
        <v>95</v>
      </c>
      <c r="O12">
        <v>210</v>
      </c>
      <c r="P12" s="7">
        <v>6179</v>
      </c>
      <c r="Q12" s="10">
        <v>0.22</v>
      </c>
      <c r="R12">
        <v>0.08</v>
      </c>
      <c r="S12">
        <v>1.29</v>
      </c>
      <c r="T12" s="5">
        <f>O12/730</f>
        <v>0.28767123287671231</v>
      </c>
      <c r="U12" t="s">
        <v>16</v>
      </c>
      <c r="V12" t="s">
        <v>16</v>
      </c>
    </row>
    <row r="13" spans="1:22" x14ac:dyDescent="0.3">
      <c r="A13" t="s">
        <v>730</v>
      </c>
      <c r="B13" t="s">
        <v>68</v>
      </c>
      <c r="C13">
        <v>131</v>
      </c>
      <c r="D13" t="s">
        <v>14</v>
      </c>
      <c r="E13" t="s">
        <v>45</v>
      </c>
      <c r="F13" s="3" t="s">
        <v>748</v>
      </c>
      <c r="G13">
        <v>20023</v>
      </c>
      <c r="H13" t="s">
        <v>18</v>
      </c>
      <c r="I13" t="s">
        <v>18</v>
      </c>
      <c r="J13" t="s">
        <v>749</v>
      </c>
      <c r="K13" t="s">
        <v>95</v>
      </c>
      <c r="L13" t="s">
        <v>95</v>
      </c>
      <c r="M13" t="s">
        <v>95</v>
      </c>
      <c r="N13" t="s">
        <v>95</v>
      </c>
      <c r="O13">
        <v>136</v>
      </c>
      <c r="P13" s="7">
        <v>3502</v>
      </c>
      <c r="Q13" s="10">
        <v>0.46</v>
      </c>
      <c r="R13">
        <v>0.08</v>
      </c>
      <c r="S13">
        <v>1.25</v>
      </c>
      <c r="T13" s="5">
        <f>O13/730</f>
        <v>0.18630136986301371</v>
      </c>
      <c r="U13" t="s">
        <v>16</v>
      </c>
      <c r="V13" t="s">
        <v>16</v>
      </c>
    </row>
    <row r="14" spans="1:22" x14ac:dyDescent="0.3">
      <c r="A14" t="s">
        <v>730</v>
      </c>
      <c r="B14" t="s">
        <v>68</v>
      </c>
      <c r="C14">
        <v>131</v>
      </c>
      <c r="D14" t="s">
        <v>14</v>
      </c>
      <c r="E14" t="s">
        <v>45</v>
      </c>
      <c r="F14" s="3" t="s">
        <v>400</v>
      </c>
      <c r="G14">
        <v>20023</v>
      </c>
      <c r="H14" t="s">
        <v>18</v>
      </c>
      <c r="I14" t="s">
        <v>18</v>
      </c>
      <c r="J14" t="s">
        <v>95</v>
      </c>
      <c r="K14" t="s">
        <v>95</v>
      </c>
      <c r="L14" t="s">
        <v>750</v>
      </c>
      <c r="M14" t="s">
        <v>95</v>
      </c>
      <c r="N14" t="s">
        <v>95</v>
      </c>
      <c r="O14">
        <v>244</v>
      </c>
      <c r="P14" s="7">
        <v>9974</v>
      </c>
      <c r="Q14" s="10">
        <v>0.5</v>
      </c>
      <c r="R14">
        <v>0.08</v>
      </c>
      <c r="S14">
        <v>1.4</v>
      </c>
      <c r="T14" s="5">
        <f>O14/730</f>
        <v>0.33424657534246577</v>
      </c>
      <c r="U14" t="s">
        <v>16</v>
      </c>
      <c r="V14" t="s">
        <v>16</v>
      </c>
    </row>
    <row r="15" spans="1:22" x14ac:dyDescent="0.3">
      <c r="A15" t="s">
        <v>730</v>
      </c>
      <c r="B15" t="s">
        <v>68</v>
      </c>
      <c r="C15">
        <v>131</v>
      </c>
      <c r="D15" t="s">
        <v>14</v>
      </c>
      <c r="E15" t="s">
        <v>45</v>
      </c>
      <c r="F15" s="3" t="s">
        <v>403</v>
      </c>
      <c r="G15">
        <v>20023</v>
      </c>
      <c r="H15" t="s">
        <v>18</v>
      </c>
      <c r="I15" t="s">
        <v>18</v>
      </c>
      <c r="J15" t="s">
        <v>751</v>
      </c>
      <c r="K15" t="s">
        <v>95</v>
      </c>
      <c r="L15" t="s">
        <v>95</v>
      </c>
      <c r="M15" t="s">
        <v>95</v>
      </c>
      <c r="N15" t="s">
        <v>95</v>
      </c>
      <c r="O15">
        <v>258</v>
      </c>
      <c r="P15" s="7">
        <v>6548</v>
      </c>
      <c r="Q15" s="10">
        <v>0.72</v>
      </c>
      <c r="R15">
        <v>0.06</v>
      </c>
      <c r="S15">
        <v>1.25</v>
      </c>
      <c r="T15" s="5">
        <f>O15/730</f>
        <v>0.35342465753424657</v>
      </c>
      <c r="U15" t="s">
        <v>16</v>
      </c>
      <c r="V15" t="s">
        <v>16</v>
      </c>
    </row>
    <row r="16" spans="1:22" x14ac:dyDescent="0.3">
      <c r="A16" t="s">
        <v>730</v>
      </c>
      <c r="B16" t="s">
        <v>68</v>
      </c>
      <c r="C16">
        <v>131</v>
      </c>
      <c r="D16" t="s">
        <v>14</v>
      </c>
      <c r="E16" t="s">
        <v>45</v>
      </c>
      <c r="F16" s="3" t="s">
        <v>406</v>
      </c>
      <c r="G16">
        <v>20023</v>
      </c>
      <c r="H16" t="s">
        <v>18</v>
      </c>
      <c r="I16" t="s">
        <v>18</v>
      </c>
      <c r="J16" t="s">
        <v>95</v>
      </c>
      <c r="K16" t="s">
        <v>95</v>
      </c>
      <c r="L16" t="s">
        <v>95</v>
      </c>
      <c r="M16" t="s">
        <v>752</v>
      </c>
      <c r="N16" t="s">
        <v>95</v>
      </c>
      <c r="O16">
        <v>199</v>
      </c>
      <c r="P16" s="7">
        <v>4200</v>
      </c>
      <c r="Q16" s="10">
        <v>0.68</v>
      </c>
      <c r="R16">
        <v>0.1</v>
      </c>
      <c r="S16">
        <v>1.21</v>
      </c>
      <c r="T16" s="5">
        <f>O16/730</f>
        <v>0.27260273972602739</v>
      </c>
      <c r="U16" t="s">
        <v>16</v>
      </c>
      <c r="V16" t="s">
        <v>16</v>
      </c>
    </row>
    <row r="17" spans="1:22" x14ac:dyDescent="0.3">
      <c r="A17" t="s">
        <v>730</v>
      </c>
      <c r="B17" t="s">
        <v>68</v>
      </c>
      <c r="C17">
        <v>131</v>
      </c>
      <c r="D17" t="s">
        <v>14</v>
      </c>
      <c r="E17" t="s">
        <v>45</v>
      </c>
      <c r="F17" s="3" t="s">
        <v>753</v>
      </c>
      <c r="G17">
        <v>20023</v>
      </c>
      <c r="H17" t="s">
        <v>18</v>
      </c>
      <c r="I17" t="s">
        <v>18</v>
      </c>
      <c r="J17" t="s">
        <v>95</v>
      </c>
      <c r="K17" t="s">
        <v>754</v>
      </c>
      <c r="L17" t="s">
        <v>95</v>
      </c>
      <c r="M17" t="s">
        <v>95</v>
      </c>
      <c r="N17" t="s">
        <v>95</v>
      </c>
      <c r="O17">
        <v>336</v>
      </c>
      <c r="P17" s="7">
        <v>6156</v>
      </c>
      <c r="Q17" s="10">
        <v>0.25</v>
      </c>
      <c r="R17">
        <v>0.03</v>
      </c>
      <c r="S17">
        <v>1.18</v>
      </c>
      <c r="T17" s="5">
        <f>O17/730</f>
        <v>0.46027397260273972</v>
      </c>
      <c r="U17" t="s">
        <v>16</v>
      </c>
      <c r="V17" t="s">
        <v>16</v>
      </c>
    </row>
    <row r="18" spans="1:22" x14ac:dyDescent="0.3">
      <c r="A18" t="s">
        <v>730</v>
      </c>
      <c r="B18" t="s">
        <v>68</v>
      </c>
      <c r="C18">
        <v>131</v>
      </c>
      <c r="D18" t="s">
        <v>14</v>
      </c>
      <c r="E18" t="s">
        <v>45</v>
      </c>
      <c r="F18" s="3" t="s">
        <v>87</v>
      </c>
      <c r="G18">
        <v>20023</v>
      </c>
      <c r="H18" t="s">
        <v>18</v>
      </c>
      <c r="I18" t="s">
        <v>18</v>
      </c>
      <c r="J18" t="s">
        <v>95</v>
      </c>
      <c r="K18" t="s">
        <v>95</v>
      </c>
      <c r="L18" t="s">
        <v>95</v>
      </c>
      <c r="M18" t="s">
        <v>95</v>
      </c>
      <c r="N18" t="s">
        <v>755</v>
      </c>
      <c r="O18">
        <v>341</v>
      </c>
      <c r="P18" s="7">
        <v>8786</v>
      </c>
      <c r="Q18" s="10">
        <v>0.35</v>
      </c>
      <c r="R18">
        <v>0.05</v>
      </c>
      <c r="S18">
        <v>1.25</v>
      </c>
      <c r="T18" s="5">
        <f>O18/730</f>
        <v>0.4671232876712329</v>
      </c>
      <c r="U18" t="s">
        <v>16</v>
      </c>
      <c r="V18" t="s">
        <v>16</v>
      </c>
    </row>
    <row r="19" spans="1:22" x14ac:dyDescent="0.3">
      <c r="A19" t="s">
        <v>730</v>
      </c>
      <c r="B19" t="s">
        <v>68</v>
      </c>
      <c r="C19">
        <v>131</v>
      </c>
      <c r="D19" t="s">
        <v>14</v>
      </c>
      <c r="E19" t="s">
        <v>45</v>
      </c>
      <c r="F19" s="3" t="s">
        <v>416</v>
      </c>
      <c r="G19">
        <v>20023</v>
      </c>
      <c r="H19" t="s">
        <v>18</v>
      </c>
      <c r="I19" t="s">
        <v>18</v>
      </c>
      <c r="J19" t="s">
        <v>756</v>
      </c>
      <c r="K19" t="s">
        <v>95</v>
      </c>
      <c r="L19" t="s">
        <v>95</v>
      </c>
      <c r="M19" t="s">
        <v>95</v>
      </c>
      <c r="N19" t="s">
        <v>95</v>
      </c>
      <c r="O19">
        <v>825</v>
      </c>
      <c r="P19" s="7">
        <v>19316</v>
      </c>
      <c r="Q19" s="10">
        <v>0.67</v>
      </c>
      <c r="R19">
        <v>0.08</v>
      </c>
      <c r="S19">
        <v>1.23</v>
      </c>
      <c r="T19" s="5">
        <f>O19/730</f>
        <v>1.1301369863013699</v>
      </c>
      <c r="U19" t="s">
        <v>16</v>
      </c>
      <c r="V19" t="s">
        <v>16</v>
      </c>
    </row>
    <row r="20" spans="1:22" x14ac:dyDescent="0.3">
      <c r="A20" t="s">
        <v>730</v>
      </c>
      <c r="B20" t="s">
        <v>68</v>
      </c>
      <c r="C20">
        <v>131</v>
      </c>
      <c r="D20" t="s">
        <v>14</v>
      </c>
      <c r="E20" t="s">
        <v>45</v>
      </c>
      <c r="F20" s="3" t="s">
        <v>420</v>
      </c>
      <c r="G20">
        <v>20023</v>
      </c>
      <c r="H20" t="s">
        <v>18</v>
      </c>
      <c r="I20" t="s">
        <v>18</v>
      </c>
      <c r="J20" t="s">
        <v>757</v>
      </c>
      <c r="K20" t="s">
        <v>95</v>
      </c>
      <c r="L20" t="s">
        <v>95</v>
      </c>
      <c r="M20" t="s">
        <v>95</v>
      </c>
      <c r="N20" t="s">
        <v>95</v>
      </c>
      <c r="O20">
        <v>577</v>
      </c>
      <c r="P20" s="7">
        <v>11364</v>
      </c>
      <c r="Q20" s="10">
        <v>0.82</v>
      </c>
      <c r="R20">
        <v>7.0000000000000007E-2</v>
      </c>
      <c r="S20">
        <v>1.19</v>
      </c>
      <c r="T20" s="5">
        <f>O20/730</f>
        <v>0.79041095890410962</v>
      </c>
      <c r="U20" t="s">
        <v>16</v>
      </c>
      <c r="V20" t="s">
        <v>16</v>
      </c>
    </row>
    <row r="21" spans="1:22" x14ac:dyDescent="0.3">
      <c r="A21" t="s">
        <v>730</v>
      </c>
      <c r="B21" t="s">
        <v>68</v>
      </c>
      <c r="C21">
        <v>131</v>
      </c>
      <c r="D21" t="s">
        <v>14</v>
      </c>
      <c r="E21" t="s">
        <v>45</v>
      </c>
      <c r="F21" s="3" t="s">
        <v>427</v>
      </c>
      <c r="G21">
        <v>20023</v>
      </c>
      <c r="H21" t="s">
        <v>18</v>
      </c>
      <c r="I21" t="s">
        <v>18</v>
      </c>
      <c r="J21" t="s">
        <v>734</v>
      </c>
      <c r="K21" t="s">
        <v>95</v>
      </c>
      <c r="L21" t="s">
        <v>95</v>
      </c>
      <c r="M21" t="s">
        <v>95</v>
      </c>
      <c r="N21" t="s">
        <v>758</v>
      </c>
      <c r="O21">
        <v>88</v>
      </c>
      <c r="P21" s="7">
        <v>7599</v>
      </c>
      <c r="Q21" s="10">
        <v>0.2</v>
      </c>
      <c r="R21">
        <v>0.04</v>
      </c>
      <c r="S21">
        <v>1.86</v>
      </c>
      <c r="T21" s="5">
        <f>O21/730</f>
        <v>0.12054794520547946</v>
      </c>
      <c r="U21" t="s">
        <v>16</v>
      </c>
      <c r="V21" t="s">
        <v>16</v>
      </c>
    </row>
    <row r="22" spans="1:22" x14ac:dyDescent="0.3">
      <c r="A22" t="s">
        <v>730</v>
      </c>
      <c r="B22" t="s">
        <v>68</v>
      </c>
      <c r="C22">
        <v>131</v>
      </c>
      <c r="D22" t="s">
        <v>14</v>
      </c>
      <c r="E22" t="s">
        <v>45</v>
      </c>
      <c r="F22" s="3" t="s">
        <v>759</v>
      </c>
      <c r="G22">
        <v>20023</v>
      </c>
      <c r="H22" t="s">
        <v>18</v>
      </c>
      <c r="I22" t="s">
        <v>18</v>
      </c>
      <c r="J22" t="s">
        <v>734</v>
      </c>
      <c r="K22" t="s">
        <v>95</v>
      </c>
      <c r="L22" t="s">
        <v>95</v>
      </c>
      <c r="M22" t="s">
        <v>760</v>
      </c>
      <c r="N22" t="s">
        <v>95</v>
      </c>
      <c r="O22">
        <v>287</v>
      </c>
      <c r="P22" s="7">
        <v>10035</v>
      </c>
      <c r="Q22" s="10">
        <v>0.32</v>
      </c>
      <c r="R22">
        <v>0.06</v>
      </c>
      <c r="S22">
        <v>1.34</v>
      </c>
      <c r="T22" s="5">
        <f>O22/730</f>
        <v>0.39315068493150684</v>
      </c>
      <c r="U22" t="s">
        <v>16</v>
      </c>
      <c r="V22" t="s">
        <v>16</v>
      </c>
    </row>
    <row r="23" spans="1:22" x14ac:dyDescent="0.3">
      <c r="A23" t="s">
        <v>730</v>
      </c>
      <c r="B23" t="s">
        <v>68</v>
      </c>
      <c r="C23">
        <v>131</v>
      </c>
      <c r="D23" t="s">
        <v>14</v>
      </c>
      <c r="E23" t="s">
        <v>45</v>
      </c>
      <c r="F23" s="3" t="s">
        <v>761</v>
      </c>
      <c r="G23">
        <v>20023</v>
      </c>
      <c r="H23" t="s">
        <v>18</v>
      </c>
      <c r="I23" t="s">
        <v>18</v>
      </c>
      <c r="J23" t="s">
        <v>762</v>
      </c>
      <c r="K23" t="s">
        <v>95</v>
      </c>
      <c r="L23" t="s">
        <v>95</v>
      </c>
      <c r="M23" t="s">
        <v>763</v>
      </c>
      <c r="N23" t="s">
        <v>95</v>
      </c>
      <c r="O23">
        <v>275</v>
      </c>
      <c r="P23" s="7">
        <v>9952</v>
      </c>
      <c r="Q23" s="10">
        <v>0.69</v>
      </c>
      <c r="R23">
        <v>7.0000000000000007E-2</v>
      </c>
      <c r="S23">
        <v>1.36</v>
      </c>
      <c r="T23" s="5">
        <f>O23/730</f>
        <v>0.37671232876712329</v>
      </c>
      <c r="U23" t="s">
        <v>16</v>
      </c>
      <c r="V23" t="s">
        <v>16</v>
      </c>
    </row>
    <row r="24" spans="1:22" x14ac:dyDescent="0.3">
      <c r="A24" t="s">
        <v>730</v>
      </c>
      <c r="B24" t="s">
        <v>68</v>
      </c>
      <c r="C24">
        <v>131</v>
      </c>
      <c r="D24" t="s">
        <v>14</v>
      </c>
      <c r="E24" t="s">
        <v>45</v>
      </c>
      <c r="F24" s="3" t="s">
        <v>764</v>
      </c>
      <c r="G24">
        <v>20023</v>
      </c>
      <c r="H24" t="s">
        <v>18</v>
      </c>
      <c r="I24" t="s">
        <v>18</v>
      </c>
      <c r="J24" t="s">
        <v>95</v>
      </c>
      <c r="K24" t="s">
        <v>765</v>
      </c>
      <c r="L24" t="s">
        <v>95</v>
      </c>
      <c r="M24" t="s">
        <v>763</v>
      </c>
      <c r="N24" t="s">
        <v>95</v>
      </c>
      <c r="O24">
        <v>217</v>
      </c>
      <c r="P24" s="7">
        <v>12669</v>
      </c>
      <c r="Q24" s="10">
        <v>0.66</v>
      </c>
      <c r="R24">
        <v>0.08</v>
      </c>
      <c r="S24">
        <v>1.58</v>
      </c>
      <c r="T24" s="5">
        <f>O24/730</f>
        <v>0.29726027397260274</v>
      </c>
      <c r="U24" t="s">
        <v>16</v>
      </c>
      <c r="V24" t="s">
        <v>16</v>
      </c>
    </row>
    <row r="25" spans="1:22" x14ac:dyDescent="0.3">
      <c r="A25" t="s">
        <v>730</v>
      </c>
      <c r="B25" t="s">
        <v>68</v>
      </c>
      <c r="C25">
        <v>131</v>
      </c>
      <c r="D25" t="s">
        <v>14</v>
      </c>
      <c r="E25" t="s">
        <v>45</v>
      </c>
      <c r="F25" s="3" t="s">
        <v>766</v>
      </c>
      <c r="G25">
        <v>20023</v>
      </c>
      <c r="H25" t="s">
        <v>18</v>
      </c>
      <c r="I25" t="s">
        <v>18</v>
      </c>
      <c r="J25" t="s">
        <v>95</v>
      </c>
      <c r="K25" t="s">
        <v>454</v>
      </c>
      <c r="L25" t="s">
        <v>767</v>
      </c>
      <c r="M25" t="s">
        <v>763</v>
      </c>
      <c r="N25" t="s">
        <v>95</v>
      </c>
      <c r="O25">
        <v>403</v>
      </c>
      <c r="P25" s="7">
        <v>15512</v>
      </c>
      <c r="Q25" s="10">
        <v>0.3</v>
      </c>
      <c r="R25">
        <v>0.06</v>
      </c>
      <c r="S25">
        <v>1.38</v>
      </c>
      <c r="T25" s="5">
        <f>O25/730</f>
        <v>0.55205479452054795</v>
      </c>
      <c r="U25" t="s">
        <v>16</v>
      </c>
      <c r="V25" t="s">
        <v>16</v>
      </c>
    </row>
    <row r="26" spans="1:22" x14ac:dyDescent="0.3">
      <c r="A26" t="s">
        <v>730</v>
      </c>
      <c r="B26" t="s">
        <v>68</v>
      </c>
      <c r="C26">
        <v>131</v>
      </c>
      <c r="D26" t="s">
        <v>14</v>
      </c>
      <c r="E26" t="s">
        <v>45</v>
      </c>
      <c r="F26" s="3" t="s">
        <v>768</v>
      </c>
      <c r="G26">
        <v>20023</v>
      </c>
      <c r="H26" t="s">
        <v>18</v>
      </c>
      <c r="I26" t="s">
        <v>18</v>
      </c>
      <c r="J26" t="s">
        <v>95</v>
      </c>
      <c r="K26" t="s">
        <v>454</v>
      </c>
      <c r="L26" t="s">
        <v>344</v>
      </c>
      <c r="M26" t="s">
        <v>769</v>
      </c>
      <c r="N26" t="s">
        <v>95</v>
      </c>
      <c r="O26">
        <v>296</v>
      </c>
      <c r="P26" s="7">
        <v>7351</v>
      </c>
      <c r="Q26" s="10">
        <v>0.31</v>
      </c>
      <c r="R26">
        <v>0.06</v>
      </c>
      <c r="S26">
        <v>1.24</v>
      </c>
      <c r="T26" s="5">
        <f>O26/730</f>
        <v>0.40547945205479452</v>
      </c>
      <c r="U26" t="s">
        <v>16</v>
      </c>
      <c r="V26" t="s">
        <v>16</v>
      </c>
    </row>
    <row r="27" spans="1:22" x14ac:dyDescent="0.3">
      <c r="A27" t="s">
        <v>730</v>
      </c>
      <c r="B27" t="s">
        <v>68</v>
      </c>
      <c r="C27">
        <v>131</v>
      </c>
      <c r="D27" t="s">
        <v>14</v>
      </c>
      <c r="E27" t="s">
        <v>45</v>
      </c>
      <c r="F27" s="3" t="s">
        <v>111</v>
      </c>
      <c r="G27">
        <v>20023</v>
      </c>
      <c r="H27" t="s">
        <v>18</v>
      </c>
      <c r="I27" t="s">
        <v>18</v>
      </c>
      <c r="J27" t="s">
        <v>95</v>
      </c>
      <c r="K27" t="s">
        <v>771</v>
      </c>
      <c r="L27" t="s">
        <v>344</v>
      </c>
      <c r="M27" t="s">
        <v>770</v>
      </c>
      <c r="N27" t="s">
        <v>95</v>
      </c>
      <c r="O27">
        <v>471</v>
      </c>
      <c r="P27" s="7">
        <v>14335</v>
      </c>
      <c r="Q27" s="10">
        <v>0.51</v>
      </c>
      <c r="R27">
        <v>7.0000000000000007E-2</v>
      </c>
      <c r="S27">
        <v>1.3</v>
      </c>
      <c r="T27" s="5">
        <f>O27/730</f>
        <v>0.64520547945205475</v>
      </c>
      <c r="U27" t="s">
        <v>16</v>
      </c>
      <c r="V27" t="s">
        <v>16</v>
      </c>
    </row>
    <row r="28" spans="1:22" x14ac:dyDescent="0.3">
      <c r="A28" t="s">
        <v>730</v>
      </c>
      <c r="B28" t="s">
        <v>68</v>
      </c>
      <c r="C28">
        <v>131</v>
      </c>
      <c r="D28" t="s">
        <v>14</v>
      </c>
      <c r="E28" t="s">
        <v>45</v>
      </c>
      <c r="F28" s="3" t="s">
        <v>111</v>
      </c>
      <c r="G28">
        <v>20023</v>
      </c>
      <c r="H28" t="s">
        <v>18</v>
      </c>
      <c r="I28" t="s">
        <v>18</v>
      </c>
      <c r="J28" t="s">
        <v>95</v>
      </c>
      <c r="K28" t="s">
        <v>95</v>
      </c>
      <c r="L28" t="s">
        <v>772</v>
      </c>
      <c r="M28" t="s">
        <v>770</v>
      </c>
      <c r="N28" t="s">
        <v>95</v>
      </c>
      <c r="O28">
        <v>236</v>
      </c>
      <c r="P28" s="7">
        <v>6457</v>
      </c>
      <c r="Q28" s="10">
        <v>0.34</v>
      </c>
      <c r="R28">
        <v>7.0000000000000007E-2</v>
      </c>
      <c r="S28">
        <v>1.27</v>
      </c>
      <c r="T28" s="5">
        <f>O28/730</f>
        <v>0.32328767123287672</v>
      </c>
      <c r="U28" t="s">
        <v>16</v>
      </c>
      <c r="V28" t="s">
        <v>16</v>
      </c>
    </row>
    <row r="29" spans="1:22" x14ac:dyDescent="0.3">
      <c r="A29" t="s">
        <v>730</v>
      </c>
      <c r="B29" t="s">
        <v>68</v>
      </c>
      <c r="C29">
        <v>131</v>
      </c>
      <c r="D29" t="s">
        <v>14</v>
      </c>
      <c r="E29" t="s">
        <v>45</v>
      </c>
      <c r="F29" s="3" t="s">
        <v>773</v>
      </c>
      <c r="G29">
        <v>20023</v>
      </c>
      <c r="H29" t="s">
        <v>18</v>
      </c>
      <c r="I29" t="s">
        <v>18</v>
      </c>
      <c r="J29" t="s">
        <v>95</v>
      </c>
      <c r="K29" t="s">
        <v>95</v>
      </c>
      <c r="L29" t="s">
        <v>729</v>
      </c>
      <c r="M29" t="s">
        <v>770</v>
      </c>
      <c r="N29" t="s">
        <v>774</v>
      </c>
      <c r="O29">
        <v>262</v>
      </c>
      <c r="P29" s="7">
        <v>3560</v>
      </c>
      <c r="Q29" s="10">
        <v>0.33</v>
      </c>
      <c r="R29">
        <v>0.12</v>
      </c>
      <c r="S29">
        <v>1.1299999999999999</v>
      </c>
      <c r="T29" s="5">
        <f>O29/730</f>
        <v>0.35890410958904112</v>
      </c>
      <c r="U29" t="s">
        <v>16</v>
      </c>
      <c r="V29" t="s">
        <v>16</v>
      </c>
    </row>
    <row r="30" spans="1:22" x14ac:dyDescent="0.3">
      <c r="A30" t="s">
        <v>730</v>
      </c>
      <c r="B30" t="s">
        <v>68</v>
      </c>
      <c r="C30">
        <v>131</v>
      </c>
      <c r="D30" t="s">
        <v>14</v>
      </c>
      <c r="E30" t="s">
        <v>45</v>
      </c>
      <c r="F30" s="3" t="s">
        <v>775</v>
      </c>
      <c r="G30">
        <v>20023</v>
      </c>
      <c r="H30" t="s">
        <v>18</v>
      </c>
      <c r="I30" t="s">
        <v>18</v>
      </c>
      <c r="J30" t="s">
        <v>95</v>
      </c>
      <c r="K30" t="s">
        <v>95</v>
      </c>
      <c r="L30" t="s">
        <v>729</v>
      </c>
      <c r="M30" t="s">
        <v>770</v>
      </c>
      <c r="N30" t="s">
        <v>776</v>
      </c>
      <c r="O30">
        <v>162</v>
      </c>
      <c r="P30" s="7">
        <v>5257</v>
      </c>
      <c r="Q30" s="10">
        <v>0.42</v>
      </c>
      <c r="R30">
        <v>0.08</v>
      </c>
      <c r="S30">
        <v>1.32</v>
      </c>
      <c r="T30" s="5">
        <f>O30/730</f>
        <v>0.22191780821917809</v>
      </c>
      <c r="U30" t="s">
        <v>16</v>
      </c>
      <c r="V30" t="s">
        <v>16</v>
      </c>
    </row>
    <row r="31" spans="1:22" x14ac:dyDescent="0.3">
      <c r="A31" t="s">
        <v>730</v>
      </c>
      <c r="B31" t="s">
        <v>68</v>
      </c>
      <c r="C31">
        <v>131</v>
      </c>
      <c r="D31" t="s">
        <v>14</v>
      </c>
      <c r="E31" t="s">
        <v>45</v>
      </c>
      <c r="F31" s="3" t="s">
        <v>777</v>
      </c>
      <c r="G31">
        <v>20023</v>
      </c>
      <c r="H31" t="s">
        <v>18</v>
      </c>
      <c r="I31" t="s">
        <v>18</v>
      </c>
      <c r="J31" t="s">
        <v>95</v>
      </c>
      <c r="K31" t="s">
        <v>778</v>
      </c>
      <c r="L31" t="s">
        <v>729</v>
      </c>
      <c r="M31" t="s">
        <v>770</v>
      </c>
      <c r="N31" t="s">
        <v>95</v>
      </c>
      <c r="O31">
        <v>187</v>
      </c>
      <c r="P31" s="7">
        <v>4826</v>
      </c>
      <c r="Q31" s="10">
        <v>0.31</v>
      </c>
      <c r="R31">
        <v>0.04</v>
      </c>
      <c r="S31">
        <v>1.26</v>
      </c>
      <c r="T31" s="5">
        <f>O31/730</f>
        <v>0.25616438356164384</v>
      </c>
      <c r="U31" t="s">
        <v>16</v>
      </c>
      <c r="V31" t="s">
        <v>16</v>
      </c>
    </row>
    <row r="32" spans="1:22" x14ac:dyDescent="0.3">
      <c r="A32" t="s">
        <v>730</v>
      </c>
      <c r="B32" t="s">
        <v>68</v>
      </c>
      <c r="C32">
        <v>131</v>
      </c>
      <c r="D32" t="s">
        <v>14</v>
      </c>
      <c r="E32" t="s">
        <v>45</v>
      </c>
      <c r="F32" s="3" t="s">
        <v>779</v>
      </c>
      <c r="G32">
        <v>20023</v>
      </c>
      <c r="H32" t="s">
        <v>18</v>
      </c>
      <c r="I32" t="s">
        <v>18</v>
      </c>
      <c r="J32" t="s">
        <v>95</v>
      </c>
      <c r="K32" t="s">
        <v>780</v>
      </c>
      <c r="L32" t="s">
        <v>729</v>
      </c>
      <c r="M32" t="s">
        <v>770</v>
      </c>
      <c r="N32" t="s">
        <v>95</v>
      </c>
      <c r="O32">
        <v>170</v>
      </c>
      <c r="P32" s="7">
        <v>6837</v>
      </c>
      <c r="Q32" s="10">
        <v>0.37</v>
      </c>
      <c r="R32">
        <v>0.05</v>
      </c>
      <c r="S32">
        <v>1.4</v>
      </c>
      <c r="T32" s="5">
        <f>O32/730</f>
        <v>0.23287671232876711</v>
      </c>
      <c r="U32" t="s">
        <v>16</v>
      </c>
      <c r="V32" t="s">
        <v>16</v>
      </c>
    </row>
    <row r="33" spans="1:22" x14ac:dyDescent="0.3">
      <c r="A33" t="s">
        <v>730</v>
      </c>
      <c r="B33" t="s">
        <v>68</v>
      </c>
      <c r="C33">
        <v>131</v>
      </c>
      <c r="D33" t="s">
        <v>14</v>
      </c>
      <c r="E33" t="s">
        <v>45</v>
      </c>
      <c r="F33" s="3" t="s">
        <v>781</v>
      </c>
      <c r="G33">
        <v>20023</v>
      </c>
      <c r="H33" t="s">
        <v>18</v>
      </c>
      <c r="I33" t="s">
        <v>18</v>
      </c>
      <c r="J33" t="s">
        <v>95</v>
      </c>
      <c r="K33" t="s">
        <v>734</v>
      </c>
      <c r="L33" t="s">
        <v>729</v>
      </c>
      <c r="M33" t="s">
        <v>770</v>
      </c>
      <c r="N33" t="s">
        <v>782</v>
      </c>
      <c r="O33">
        <v>208</v>
      </c>
      <c r="P33" s="7">
        <v>9257</v>
      </c>
      <c r="Q33" s="10">
        <v>0.25</v>
      </c>
      <c r="R33">
        <v>0.05</v>
      </c>
      <c r="S33">
        <v>1.44</v>
      </c>
      <c r="T33" s="5">
        <f>O33/730</f>
        <v>0.28493150684931506</v>
      </c>
      <c r="U33" t="s">
        <v>16</v>
      </c>
      <c r="V33" t="s">
        <v>16</v>
      </c>
    </row>
    <row r="34" spans="1:22" x14ac:dyDescent="0.3">
      <c r="A34" t="s">
        <v>730</v>
      </c>
      <c r="B34" t="s">
        <v>68</v>
      </c>
      <c r="C34">
        <v>131</v>
      </c>
      <c r="D34" t="s">
        <v>14</v>
      </c>
      <c r="E34" t="s">
        <v>45</v>
      </c>
      <c r="F34" s="3" t="s">
        <v>130</v>
      </c>
      <c r="G34">
        <v>20023</v>
      </c>
      <c r="H34" t="s">
        <v>18</v>
      </c>
      <c r="I34" t="s">
        <v>18</v>
      </c>
      <c r="J34" t="s">
        <v>783</v>
      </c>
      <c r="K34" t="s">
        <v>734</v>
      </c>
      <c r="L34" t="s">
        <v>729</v>
      </c>
      <c r="M34" t="s">
        <v>770</v>
      </c>
      <c r="N34" t="s">
        <v>729</v>
      </c>
      <c r="O34">
        <v>256</v>
      </c>
      <c r="P34" s="7">
        <v>16688</v>
      </c>
      <c r="Q34" s="10">
        <v>0.57999999999999996</v>
      </c>
      <c r="R34">
        <v>7.0000000000000007E-2</v>
      </c>
      <c r="S34">
        <v>1.65</v>
      </c>
      <c r="T34" s="5">
        <f>O34/730</f>
        <v>0.35068493150684932</v>
      </c>
      <c r="U34" t="s">
        <v>16</v>
      </c>
      <c r="V34" t="s">
        <v>16</v>
      </c>
    </row>
    <row r="35" spans="1:22" x14ac:dyDescent="0.3">
      <c r="A35" t="s">
        <v>730</v>
      </c>
      <c r="B35" t="s">
        <v>68</v>
      </c>
      <c r="C35">
        <v>131</v>
      </c>
      <c r="D35" t="s">
        <v>14</v>
      </c>
      <c r="E35" t="s">
        <v>45</v>
      </c>
      <c r="F35" s="3" t="s">
        <v>784</v>
      </c>
      <c r="G35">
        <v>20023</v>
      </c>
      <c r="H35" t="s">
        <v>18</v>
      </c>
      <c r="I35" t="s">
        <v>18</v>
      </c>
      <c r="J35" t="s">
        <v>95</v>
      </c>
      <c r="K35" t="s">
        <v>734</v>
      </c>
      <c r="L35" t="s">
        <v>729</v>
      </c>
      <c r="M35" t="s">
        <v>785</v>
      </c>
      <c r="N35" t="s">
        <v>729</v>
      </c>
      <c r="O35">
        <v>100</v>
      </c>
      <c r="P35" s="7">
        <v>4016</v>
      </c>
      <c r="Q35" s="10">
        <v>0.28000000000000003</v>
      </c>
      <c r="R35">
        <v>0.05</v>
      </c>
      <c r="S35">
        <v>1.4</v>
      </c>
      <c r="T35" s="5">
        <f>O35/730</f>
        <v>0.13698630136986301</v>
      </c>
      <c r="U35" t="s">
        <v>16</v>
      </c>
      <c r="V35" t="s">
        <v>16</v>
      </c>
    </row>
    <row r="36" spans="1:22" x14ac:dyDescent="0.3">
      <c r="A36" t="s">
        <v>730</v>
      </c>
      <c r="B36" t="s">
        <v>68</v>
      </c>
      <c r="C36">
        <v>131</v>
      </c>
      <c r="D36" t="s">
        <v>14</v>
      </c>
      <c r="E36" t="s">
        <v>45</v>
      </c>
      <c r="F36" s="3" t="s">
        <v>786</v>
      </c>
      <c r="G36">
        <v>20023</v>
      </c>
      <c r="H36" t="s">
        <v>18</v>
      </c>
      <c r="I36" t="s">
        <v>18</v>
      </c>
      <c r="J36" t="s">
        <v>95</v>
      </c>
      <c r="K36" t="s">
        <v>734</v>
      </c>
      <c r="L36" t="s">
        <v>729</v>
      </c>
      <c r="M36" t="s">
        <v>95</v>
      </c>
      <c r="N36" t="s">
        <v>787</v>
      </c>
      <c r="O36">
        <v>399</v>
      </c>
      <c r="P36" s="7">
        <v>11011</v>
      </c>
      <c r="Q36" s="10">
        <v>0.33</v>
      </c>
      <c r="R36">
        <v>0.05</v>
      </c>
      <c r="S36">
        <v>1.27</v>
      </c>
      <c r="T36" s="5">
        <f>O36/730</f>
        <v>0.54657534246575346</v>
      </c>
      <c r="U36" t="s">
        <v>16</v>
      </c>
      <c r="V36" t="s">
        <v>16</v>
      </c>
    </row>
    <row r="37" spans="1:22" x14ac:dyDescent="0.3">
      <c r="A37" t="s">
        <v>730</v>
      </c>
      <c r="B37" t="s">
        <v>68</v>
      </c>
      <c r="C37">
        <v>131</v>
      </c>
      <c r="D37" t="s">
        <v>14</v>
      </c>
      <c r="E37" t="s">
        <v>45</v>
      </c>
      <c r="F37" s="3" t="s">
        <v>141</v>
      </c>
      <c r="G37">
        <v>20023</v>
      </c>
      <c r="H37" t="s">
        <v>18</v>
      </c>
      <c r="I37" t="s">
        <v>18</v>
      </c>
      <c r="J37" t="s">
        <v>95</v>
      </c>
      <c r="K37" t="s">
        <v>788</v>
      </c>
      <c r="L37" t="s">
        <v>729</v>
      </c>
      <c r="M37" t="s">
        <v>95</v>
      </c>
      <c r="N37" t="s">
        <v>789</v>
      </c>
      <c r="O37">
        <v>296</v>
      </c>
      <c r="P37" s="7">
        <v>11836</v>
      </c>
      <c r="Q37" s="10">
        <v>0.22</v>
      </c>
      <c r="R37">
        <v>0.05</v>
      </c>
      <c r="S37">
        <v>1.39</v>
      </c>
      <c r="T37" s="5">
        <f>O37/730</f>
        <v>0.40547945205479452</v>
      </c>
      <c r="U37" t="s">
        <v>16</v>
      </c>
      <c r="V37" t="s">
        <v>16</v>
      </c>
    </row>
    <row r="38" spans="1:22" x14ac:dyDescent="0.3">
      <c r="A38" t="s">
        <v>730</v>
      </c>
      <c r="B38" t="s">
        <v>68</v>
      </c>
      <c r="C38">
        <v>131</v>
      </c>
      <c r="D38" t="s">
        <v>14</v>
      </c>
      <c r="E38" t="s">
        <v>45</v>
      </c>
      <c r="F38" s="3" t="s">
        <v>143</v>
      </c>
      <c r="G38">
        <v>20023</v>
      </c>
      <c r="H38" t="s">
        <v>18</v>
      </c>
      <c r="I38" t="s">
        <v>18</v>
      </c>
      <c r="J38" t="s">
        <v>95</v>
      </c>
      <c r="K38" t="s">
        <v>790</v>
      </c>
      <c r="L38" t="s">
        <v>729</v>
      </c>
      <c r="M38" t="s">
        <v>95</v>
      </c>
      <c r="N38" t="s">
        <v>789</v>
      </c>
      <c r="O38">
        <v>142</v>
      </c>
      <c r="P38" s="7">
        <v>5525</v>
      </c>
      <c r="Q38" s="10">
        <v>0.25</v>
      </c>
      <c r="R38">
        <v>0.08</v>
      </c>
      <c r="S38">
        <v>1.38</v>
      </c>
      <c r="T38" s="5">
        <f>O38/730</f>
        <v>0.19452054794520549</v>
      </c>
      <c r="U38" t="s">
        <v>16</v>
      </c>
      <c r="V38" t="s">
        <v>16</v>
      </c>
    </row>
    <row r="39" spans="1:22" x14ac:dyDescent="0.3">
      <c r="A39" t="s">
        <v>730</v>
      </c>
      <c r="B39" t="s">
        <v>68</v>
      </c>
      <c r="C39">
        <v>131</v>
      </c>
      <c r="D39" t="s">
        <v>14</v>
      </c>
      <c r="E39" t="s">
        <v>45</v>
      </c>
      <c r="F39" s="3" t="s">
        <v>791</v>
      </c>
      <c r="G39">
        <v>20023</v>
      </c>
      <c r="H39" t="s">
        <v>18</v>
      </c>
      <c r="I39" t="s">
        <v>18</v>
      </c>
      <c r="J39" t="s">
        <v>95</v>
      </c>
      <c r="K39" t="s">
        <v>792</v>
      </c>
      <c r="L39" t="s">
        <v>793</v>
      </c>
      <c r="M39" t="s">
        <v>95</v>
      </c>
      <c r="N39" t="s">
        <v>789</v>
      </c>
      <c r="O39">
        <v>165</v>
      </c>
      <c r="P39" s="7">
        <v>6902</v>
      </c>
      <c r="Q39" s="10">
        <v>0.43</v>
      </c>
      <c r="R39">
        <v>7.0000000000000007E-2</v>
      </c>
      <c r="S39">
        <v>1.41</v>
      </c>
      <c r="T39" s="5">
        <f>O39/730</f>
        <v>0.22602739726027396</v>
      </c>
      <c r="U39" t="s">
        <v>16</v>
      </c>
      <c r="V39" t="s">
        <v>16</v>
      </c>
    </row>
    <row r="40" spans="1:22" x14ac:dyDescent="0.3">
      <c r="A40" t="s">
        <v>730</v>
      </c>
      <c r="B40" t="s">
        <v>68</v>
      </c>
      <c r="C40">
        <v>131</v>
      </c>
      <c r="D40" t="s">
        <v>14</v>
      </c>
      <c r="E40" t="s">
        <v>45</v>
      </c>
      <c r="F40" s="3" t="s">
        <v>794</v>
      </c>
      <c r="G40">
        <v>20023</v>
      </c>
      <c r="H40" t="s">
        <v>18</v>
      </c>
      <c r="I40" t="s">
        <v>18</v>
      </c>
      <c r="J40" t="s">
        <v>95</v>
      </c>
      <c r="K40" t="s">
        <v>792</v>
      </c>
      <c r="L40" t="s">
        <v>95</v>
      </c>
      <c r="M40" t="s">
        <v>795</v>
      </c>
      <c r="N40" t="s">
        <v>789</v>
      </c>
      <c r="O40">
        <v>397</v>
      </c>
      <c r="P40" s="7">
        <v>7166</v>
      </c>
      <c r="Q40" s="10">
        <v>0.48</v>
      </c>
      <c r="R40">
        <v>0.11</v>
      </c>
      <c r="S40">
        <v>1.18</v>
      </c>
      <c r="T40" s="5">
        <f>O40/730</f>
        <v>0.54383561643835621</v>
      </c>
      <c r="U40" t="s">
        <v>16</v>
      </c>
      <c r="V40" t="s">
        <v>16</v>
      </c>
    </row>
    <row r="41" spans="1:22" x14ac:dyDescent="0.3">
      <c r="A41" t="s">
        <v>730</v>
      </c>
      <c r="B41" t="s">
        <v>68</v>
      </c>
      <c r="C41">
        <v>131</v>
      </c>
      <c r="D41" t="s">
        <v>14</v>
      </c>
      <c r="E41" t="s">
        <v>45</v>
      </c>
      <c r="F41" s="3" t="s">
        <v>145</v>
      </c>
      <c r="G41">
        <v>20023</v>
      </c>
      <c r="H41" t="s">
        <v>18</v>
      </c>
      <c r="I41" t="s">
        <v>18</v>
      </c>
      <c r="J41" t="s">
        <v>95</v>
      </c>
      <c r="K41" t="s">
        <v>792</v>
      </c>
      <c r="L41" t="s">
        <v>95</v>
      </c>
      <c r="M41" t="s">
        <v>344</v>
      </c>
      <c r="N41" t="s">
        <v>260</v>
      </c>
      <c r="O41">
        <v>325</v>
      </c>
      <c r="P41" s="7">
        <v>13769</v>
      </c>
      <c r="Q41" s="10">
        <v>0.62</v>
      </c>
      <c r="R41">
        <v>0.08</v>
      </c>
      <c r="S41">
        <v>1.42</v>
      </c>
      <c r="T41" s="5">
        <f>O41/730</f>
        <v>0.4452054794520548</v>
      </c>
      <c r="U41" t="s">
        <v>16</v>
      </c>
      <c r="V41" t="s">
        <v>16</v>
      </c>
    </row>
    <row r="42" spans="1:22" x14ac:dyDescent="0.3">
      <c r="A42" t="s">
        <v>730</v>
      </c>
      <c r="B42" t="s">
        <v>68</v>
      </c>
      <c r="C42">
        <v>131</v>
      </c>
      <c r="D42" t="s">
        <v>14</v>
      </c>
      <c r="E42" t="s">
        <v>45</v>
      </c>
      <c r="F42" s="3" t="s">
        <v>510</v>
      </c>
      <c r="G42">
        <v>20023</v>
      </c>
      <c r="H42" t="s">
        <v>18</v>
      </c>
      <c r="I42" t="s">
        <v>18</v>
      </c>
      <c r="J42" t="s">
        <v>95</v>
      </c>
      <c r="K42" t="s">
        <v>792</v>
      </c>
      <c r="L42" t="s">
        <v>95</v>
      </c>
      <c r="M42" t="s">
        <v>344</v>
      </c>
      <c r="N42" t="s">
        <v>796</v>
      </c>
      <c r="O42">
        <v>74</v>
      </c>
      <c r="P42" s="7">
        <v>7457</v>
      </c>
      <c r="Q42" s="10">
        <v>0.26</v>
      </c>
      <c r="R42">
        <v>0.08</v>
      </c>
      <c r="S42">
        <v>2</v>
      </c>
      <c r="T42" s="5">
        <f>O42/730</f>
        <v>0.10136986301369863</v>
      </c>
      <c r="U42" t="s">
        <v>16</v>
      </c>
      <c r="V42" t="s">
        <v>16</v>
      </c>
    </row>
    <row r="43" spans="1:22" x14ac:dyDescent="0.3">
      <c r="A43" t="s">
        <v>730</v>
      </c>
      <c r="B43" t="s">
        <v>68</v>
      </c>
      <c r="C43">
        <v>131</v>
      </c>
      <c r="D43" t="s">
        <v>14</v>
      </c>
      <c r="E43" t="s">
        <v>45</v>
      </c>
      <c r="F43" s="3" t="s">
        <v>797</v>
      </c>
      <c r="G43">
        <v>20023</v>
      </c>
      <c r="H43" t="s">
        <v>18</v>
      </c>
      <c r="I43" t="s">
        <v>18</v>
      </c>
      <c r="J43" t="s">
        <v>95</v>
      </c>
      <c r="K43" t="s">
        <v>792</v>
      </c>
      <c r="L43" t="s">
        <v>798</v>
      </c>
      <c r="M43" t="s">
        <v>344</v>
      </c>
      <c r="N43" t="s">
        <v>95</v>
      </c>
      <c r="O43">
        <v>110</v>
      </c>
      <c r="P43" s="7">
        <v>1666</v>
      </c>
      <c r="Q43" s="10">
        <v>0.28999999999999998</v>
      </c>
      <c r="R43">
        <v>0.06</v>
      </c>
      <c r="S43">
        <v>1.1499999999999999</v>
      </c>
      <c r="T43" s="5">
        <f>O43/730</f>
        <v>0.15068493150684931</v>
      </c>
      <c r="U43" t="s">
        <v>16</v>
      </c>
      <c r="V43" t="s">
        <v>16</v>
      </c>
    </row>
    <row r="44" spans="1:22" x14ac:dyDescent="0.3">
      <c r="A44" t="s">
        <v>730</v>
      </c>
      <c r="B44" t="s">
        <v>68</v>
      </c>
      <c r="C44">
        <v>131</v>
      </c>
      <c r="D44" t="s">
        <v>14</v>
      </c>
      <c r="E44" t="s">
        <v>45</v>
      </c>
      <c r="F44" s="3" t="s">
        <v>147</v>
      </c>
      <c r="G44">
        <v>20023</v>
      </c>
      <c r="H44" t="s">
        <v>18</v>
      </c>
      <c r="I44" t="s">
        <v>18</v>
      </c>
      <c r="J44" t="s">
        <v>800</v>
      </c>
      <c r="K44" t="s">
        <v>792</v>
      </c>
      <c r="L44" t="s">
        <v>799</v>
      </c>
      <c r="M44" t="s">
        <v>344</v>
      </c>
      <c r="N44" t="s">
        <v>95</v>
      </c>
      <c r="O44">
        <v>428</v>
      </c>
      <c r="P44" s="7">
        <v>8032</v>
      </c>
      <c r="Q44" s="10">
        <v>0.53</v>
      </c>
      <c r="R44">
        <v>0.06</v>
      </c>
      <c r="S44">
        <v>1.18</v>
      </c>
      <c r="T44" s="5">
        <f>O44/730</f>
        <v>0.58630136986301373</v>
      </c>
      <c r="U44" t="s">
        <v>16</v>
      </c>
      <c r="V44" t="s">
        <v>16</v>
      </c>
    </row>
    <row r="45" spans="1:22" x14ac:dyDescent="0.3">
      <c r="A45" t="s">
        <v>730</v>
      </c>
      <c r="B45" t="s">
        <v>68</v>
      </c>
      <c r="C45">
        <v>131</v>
      </c>
      <c r="D45" t="s">
        <v>14</v>
      </c>
      <c r="E45" t="s">
        <v>45</v>
      </c>
      <c r="F45" s="3" t="s">
        <v>801</v>
      </c>
      <c r="G45">
        <v>20023</v>
      </c>
      <c r="H45" t="s">
        <v>18</v>
      </c>
      <c r="I45" t="s">
        <v>18</v>
      </c>
      <c r="J45" t="s">
        <v>802</v>
      </c>
      <c r="K45" t="s">
        <v>792</v>
      </c>
      <c r="L45" t="s">
        <v>799</v>
      </c>
      <c r="M45" t="s">
        <v>344</v>
      </c>
      <c r="N45" t="s">
        <v>95</v>
      </c>
      <c r="O45">
        <v>209</v>
      </c>
      <c r="P45" s="7">
        <v>8114</v>
      </c>
      <c r="Q45" s="10">
        <v>0.32</v>
      </c>
      <c r="R45">
        <v>0.06</v>
      </c>
      <c r="S45">
        <v>1.38</v>
      </c>
      <c r="T45" s="5">
        <f>O45/730</f>
        <v>0.28630136986301369</v>
      </c>
      <c r="U45" t="s">
        <v>16</v>
      </c>
      <c r="V45" t="s">
        <v>16</v>
      </c>
    </row>
    <row r="46" spans="1:22" x14ac:dyDescent="0.3">
      <c r="A46" t="s">
        <v>730</v>
      </c>
      <c r="B46" t="s">
        <v>68</v>
      </c>
      <c r="C46">
        <v>131</v>
      </c>
      <c r="D46" t="s">
        <v>14</v>
      </c>
      <c r="E46" t="s">
        <v>45</v>
      </c>
      <c r="F46" s="3" t="s">
        <v>151</v>
      </c>
      <c r="G46">
        <v>20023</v>
      </c>
      <c r="H46" t="s">
        <v>18</v>
      </c>
      <c r="I46" t="s">
        <v>18</v>
      </c>
      <c r="J46" t="s">
        <v>344</v>
      </c>
      <c r="K46" t="s">
        <v>792</v>
      </c>
      <c r="L46" t="s">
        <v>803</v>
      </c>
      <c r="M46" t="s">
        <v>344</v>
      </c>
      <c r="N46" t="s">
        <v>95</v>
      </c>
      <c r="O46">
        <v>111</v>
      </c>
      <c r="P46" s="7">
        <v>3677</v>
      </c>
      <c r="Q46" s="10">
        <v>0.25</v>
      </c>
      <c r="R46">
        <v>0.08</v>
      </c>
      <c r="S46">
        <v>1.33</v>
      </c>
      <c r="T46" s="5">
        <f>O46/730</f>
        <v>0.15205479452054796</v>
      </c>
      <c r="U46" t="s">
        <v>16</v>
      </c>
      <c r="V46" t="s">
        <v>16</v>
      </c>
    </row>
    <row r="47" spans="1:22" x14ac:dyDescent="0.3">
      <c r="A47" t="s">
        <v>730</v>
      </c>
      <c r="B47" t="s">
        <v>68</v>
      </c>
      <c r="C47">
        <v>131</v>
      </c>
      <c r="D47" t="s">
        <v>14</v>
      </c>
      <c r="E47" t="s">
        <v>45</v>
      </c>
      <c r="F47" s="3" t="s">
        <v>804</v>
      </c>
      <c r="G47">
        <v>20023</v>
      </c>
      <c r="H47" t="s">
        <v>18</v>
      </c>
      <c r="I47" t="s">
        <v>18</v>
      </c>
      <c r="J47" t="s">
        <v>344</v>
      </c>
      <c r="K47" t="s">
        <v>805</v>
      </c>
      <c r="L47" t="s">
        <v>344</v>
      </c>
      <c r="M47" t="s">
        <v>344</v>
      </c>
      <c r="N47" t="s">
        <v>95</v>
      </c>
      <c r="O47">
        <v>52</v>
      </c>
      <c r="P47" s="7">
        <v>6418</v>
      </c>
      <c r="Q47" s="10">
        <v>0.35</v>
      </c>
      <c r="R47">
        <v>7.0000000000000007E-2</v>
      </c>
      <c r="S47">
        <v>2.23</v>
      </c>
      <c r="T47" s="5">
        <f>O47/730</f>
        <v>7.1232876712328766E-2</v>
      </c>
      <c r="U47" t="s">
        <v>16</v>
      </c>
      <c r="V47" t="s">
        <v>16</v>
      </c>
    </row>
    <row r="48" spans="1:22" x14ac:dyDescent="0.3">
      <c r="A48" t="s">
        <v>730</v>
      </c>
      <c r="B48" t="s">
        <v>68</v>
      </c>
      <c r="C48">
        <v>131</v>
      </c>
      <c r="D48" t="s">
        <v>14</v>
      </c>
      <c r="E48" t="s">
        <v>45</v>
      </c>
      <c r="F48" s="3" t="s">
        <v>806</v>
      </c>
      <c r="G48">
        <v>20023</v>
      </c>
      <c r="H48" t="s">
        <v>18</v>
      </c>
      <c r="I48" t="s">
        <v>18</v>
      </c>
      <c r="J48" t="s">
        <v>344</v>
      </c>
      <c r="K48" t="s">
        <v>807</v>
      </c>
      <c r="L48" t="s">
        <v>344</v>
      </c>
      <c r="M48" t="s">
        <v>344</v>
      </c>
      <c r="N48" t="s">
        <v>95</v>
      </c>
      <c r="O48">
        <v>52</v>
      </c>
      <c r="P48" s="7">
        <v>4446</v>
      </c>
      <c r="Q48" s="10">
        <v>0.42</v>
      </c>
      <c r="R48">
        <v>0.09</v>
      </c>
      <c r="S48">
        <v>1.85</v>
      </c>
      <c r="T48" s="5">
        <f>O48/730</f>
        <v>7.1232876712328766E-2</v>
      </c>
      <c r="U48" t="s">
        <v>16</v>
      </c>
      <c r="V48" t="s">
        <v>16</v>
      </c>
    </row>
    <row r="49" spans="1:22" x14ac:dyDescent="0.3">
      <c r="A49" t="s">
        <v>730</v>
      </c>
      <c r="B49" t="s">
        <v>68</v>
      </c>
      <c r="C49">
        <v>131</v>
      </c>
      <c r="D49" t="s">
        <v>14</v>
      </c>
      <c r="E49" t="s">
        <v>45</v>
      </c>
      <c r="F49" s="3" t="s">
        <v>155</v>
      </c>
      <c r="G49">
        <v>20023</v>
      </c>
      <c r="H49" t="s">
        <v>18</v>
      </c>
      <c r="I49" t="s">
        <v>18</v>
      </c>
      <c r="J49" t="s">
        <v>344</v>
      </c>
      <c r="K49" t="s">
        <v>808</v>
      </c>
      <c r="L49" t="s">
        <v>344</v>
      </c>
      <c r="M49" t="s">
        <v>344</v>
      </c>
      <c r="N49" t="s">
        <v>283</v>
      </c>
      <c r="O49">
        <v>118</v>
      </c>
      <c r="P49" s="7">
        <v>2538</v>
      </c>
      <c r="Q49" s="10">
        <v>0.32</v>
      </c>
      <c r="R49">
        <v>0.05</v>
      </c>
      <c r="S49">
        <v>1.21</v>
      </c>
      <c r="T49" s="5">
        <f>O49/730</f>
        <v>0.16164383561643836</v>
      </c>
      <c r="U49" t="s">
        <v>16</v>
      </c>
      <c r="V49" t="s">
        <v>16</v>
      </c>
    </row>
    <row r="50" spans="1:22" x14ac:dyDescent="0.3">
      <c r="A50" t="s">
        <v>730</v>
      </c>
      <c r="B50" t="s">
        <v>68</v>
      </c>
      <c r="C50">
        <v>131</v>
      </c>
      <c r="D50" t="s">
        <v>14</v>
      </c>
      <c r="E50" t="s">
        <v>45</v>
      </c>
      <c r="F50" s="3" t="s">
        <v>157</v>
      </c>
      <c r="G50">
        <v>20023</v>
      </c>
      <c r="H50" t="s">
        <v>18</v>
      </c>
      <c r="I50" t="s">
        <v>18</v>
      </c>
      <c r="J50" t="s">
        <v>344</v>
      </c>
      <c r="K50" t="s">
        <v>809</v>
      </c>
      <c r="L50" t="s">
        <v>344</v>
      </c>
      <c r="M50" t="s">
        <v>344</v>
      </c>
      <c r="N50" t="s">
        <v>95</v>
      </c>
      <c r="O50">
        <v>166</v>
      </c>
      <c r="P50" s="7">
        <v>6571</v>
      </c>
      <c r="Q50" s="10">
        <v>0.7</v>
      </c>
      <c r="R50">
        <v>7.0000000000000007E-2</v>
      </c>
      <c r="S50">
        <v>1.39</v>
      </c>
      <c r="T50" s="5">
        <f>O50/730</f>
        <v>0.22739726027397261</v>
      </c>
      <c r="U50" t="s">
        <v>16</v>
      </c>
      <c r="V50" t="s">
        <v>16</v>
      </c>
    </row>
    <row r="51" spans="1:22" x14ac:dyDescent="0.3">
      <c r="A51" t="s">
        <v>730</v>
      </c>
      <c r="B51" t="s">
        <v>68</v>
      </c>
      <c r="C51">
        <v>131</v>
      </c>
      <c r="D51" t="s">
        <v>14</v>
      </c>
      <c r="E51" t="s">
        <v>45</v>
      </c>
      <c r="F51" s="3" t="s">
        <v>810</v>
      </c>
      <c r="G51">
        <v>20023</v>
      </c>
      <c r="H51" t="s">
        <v>18</v>
      </c>
      <c r="I51" t="s">
        <v>18</v>
      </c>
      <c r="J51" t="s">
        <v>344</v>
      </c>
      <c r="K51" t="s">
        <v>95</v>
      </c>
      <c r="L51" t="s">
        <v>344</v>
      </c>
      <c r="M51" t="s">
        <v>811</v>
      </c>
      <c r="N51" t="s">
        <v>95</v>
      </c>
      <c r="O51">
        <v>67</v>
      </c>
      <c r="P51" s="7">
        <v>4547</v>
      </c>
      <c r="Q51" s="10">
        <v>0.3</v>
      </c>
      <c r="R51">
        <v>7.0000000000000007E-2</v>
      </c>
      <c r="S51">
        <v>1.67</v>
      </c>
      <c r="T51" s="5">
        <f>O51/730</f>
        <v>9.1780821917808217E-2</v>
      </c>
      <c r="U51" t="s">
        <v>16</v>
      </c>
      <c r="V51" t="s">
        <v>16</v>
      </c>
    </row>
    <row r="52" spans="1:22" x14ac:dyDescent="0.3">
      <c r="A52" t="s">
        <v>730</v>
      </c>
      <c r="B52" t="s">
        <v>68</v>
      </c>
      <c r="C52">
        <v>131</v>
      </c>
      <c r="D52" t="s">
        <v>14</v>
      </c>
      <c r="E52" t="s">
        <v>45</v>
      </c>
      <c r="F52" s="3" t="s">
        <v>812</v>
      </c>
      <c r="G52">
        <v>20023</v>
      </c>
      <c r="H52" t="s">
        <v>18</v>
      </c>
      <c r="I52" t="s">
        <v>18</v>
      </c>
      <c r="J52" t="s">
        <v>813</v>
      </c>
      <c r="K52" t="s">
        <v>95</v>
      </c>
      <c r="L52" t="s">
        <v>344</v>
      </c>
      <c r="M52" t="s">
        <v>95</v>
      </c>
      <c r="N52" t="s">
        <v>95</v>
      </c>
      <c r="O52">
        <v>255</v>
      </c>
      <c r="P52" s="7">
        <v>9830</v>
      </c>
      <c r="Q52" s="10">
        <v>0.61</v>
      </c>
      <c r="R52">
        <v>0.06</v>
      </c>
      <c r="S52">
        <v>1.38</v>
      </c>
      <c r="T52" s="5">
        <f>O52/730</f>
        <v>0.34931506849315069</v>
      </c>
      <c r="U52" t="s">
        <v>16</v>
      </c>
      <c r="V52" t="s">
        <v>16</v>
      </c>
    </row>
    <row r="53" spans="1:22" x14ac:dyDescent="0.3">
      <c r="A53" t="s">
        <v>730</v>
      </c>
      <c r="B53" t="s">
        <v>68</v>
      </c>
      <c r="C53">
        <v>131</v>
      </c>
      <c r="D53" t="s">
        <v>14</v>
      </c>
      <c r="E53" t="s">
        <v>45</v>
      </c>
      <c r="F53" s="3" t="s">
        <v>814</v>
      </c>
      <c r="G53">
        <v>20023</v>
      </c>
      <c r="H53" t="s">
        <v>18</v>
      </c>
      <c r="I53" t="s">
        <v>18</v>
      </c>
      <c r="J53" t="s">
        <v>815</v>
      </c>
      <c r="K53" t="s">
        <v>95</v>
      </c>
      <c r="L53" t="s">
        <v>344</v>
      </c>
      <c r="M53" t="s">
        <v>95</v>
      </c>
      <c r="N53" t="s">
        <v>95</v>
      </c>
      <c r="O53">
        <v>66</v>
      </c>
      <c r="P53" s="7">
        <v>5308</v>
      </c>
      <c r="Q53" s="10">
        <v>0.54</v>
      </c>
      <c r="R53">
        <v>0.09</v>
      </c>
      <c r="S53">
        <v>1.8</v>
      </c>
      <c r="T53" s="5">
        <f>O53/730</f>
        <v>9.0410958904109592E-2</v>
      </c>
      <c r="U53" t="s">
        <v>16</v>
      </c>
      <c r="V53" t="s">
        <v>16</v>
      </c>
    </row>
    <row r="54" spans="1:22" x14ac:dyDescent="0.3">
      <c r="A54" t="s">
        <v>730</v>
      </c>
      <c r="B54" t="s">
        <v>68</v>
      </c>
      <c r="C54">
        <v>131</v>
      </c>
      <c r="D54" t="s">
        <v>14</v>
      </c>
      <c r="E54" t="s">
        <v>45</v>
      </c>
      <c r="F54" s="3" t="s">
        <v>816</v>
      </c>
      <c r="G54">
        <v>20023</v>
      </c>
      <c r="H54" t="s">
        <v>18</v>
      </c>
      <c r="I54" t="s">
        <v>18</v>
      </c>
      <c r="J54" t="s">
        <v>95</v>
      </c>
      <c r="K54" t="s">
        <v>95</v>
      </c>
      <c r="L54" t="s">
        <v>344</v>
      </c>
      <c r="M54" t="s">
        <v>95</v>
      </c>
      <c r="N54" t="s">
        <v>817</v>
      </c>
      <c r="O54">
        <v>95</v>
      </c>
      <c r="P54" s="7">
        <v>5298</v>
      </c>
      <c r="Q54" s="10">
        <v>0.84</v>
      </c>
      <c r="R54">
        <v>0.09</v>
      </c>
      <c r="S54">
        <v>1.54</v>
      </c>
      <c r="T54" s="5">
        <f>O54/730</f>
        <v>0.13013698630136986</v>
      </c>
      <c r="U54" t="s">
        <v>16</v>
      </c>
      <c r="V54" t="s">
        <v>16</v>
      </c>
    </row>
    <row r="55" spans="1:22" x14ac:dyDescent="0.3">
      <c r="A55" t="s">
        <v>730</v>
      </c>
      <c r="B55" t="s">
        <v>68</v>
      </c>
      <c r="C55">
        <v>131</v>
      </c>
      <c r="D55" t="s">
        <v>14</v>
      </c>
      <c r="E55" t="s">
        <v>45</v>
      </c>
      <c r="F55" s="3" t="s">
        <v>818</v>
      </c>
      <c r="G55">
        <v>20023</v>
      </c>
      <c r="H55" t="s">
        <v>18</v>
      </c>
      <c r="I55" t="s">
        <v>18</v>
      </c>
      <c r="J55" t="s">
        <v>95</v>
      </c>
      <c r="K55" t="s">
        <v>95</v>
      </c>
      <c r="L55" t="s">
        <v>344</v>
      </c>
      <c r="M55" t="s">
        <v>95</v>
      </c>
      <c r="N55" t="s">
        <v>819</v>
      </c>
      <c r="O55">
        <v>40</v>
      </c>
      <c r="P55" s="7">
        <v>2440</v>
      </c>
      <c r="Q55" s="10">
        <v>0.78</v>
      </c>
      <c r="R55">
        <v>0.1</v>
      </c>
      <c r="S55">
        <v>1.61</v>
      </c>
      <c r="T55" s="5">
        <f>O55/730</f>
        <v>5.4794520547945202E-2</v>
      </c>
      <c r="U55" t="s">
        <v>16</v>
      </c>
      <c r="V55" t="s">
        <v>16</v>
      </c>
    </row>
    <row r="56" spans="1:22" x14ac:dyDescent="0.3">
      <c r="A56" t="s">
        <v>730</v>
      </c>
      <c r="B56" t="s">
        <v>68</v>
      </c>
      <c r="C56">
        <v>131</v>
      </c>
      <c r="D56" t="s">
        <v>14</v>
      </c>
      <c r="E56" t="s">
        <v>45</v>
      </c>
      <c r="F56" s="3" t="s">
        <v>820</v>
      </c>
      <c r="G56">
        <v>20023</v>
      </c>
      <c r="H56" t="s">
        <v>18</v>
      </c>
      <c r="I56" t="s">
        <v>18</v>
      </c>
      <c r="J56" t="s">
        <v>95</v>
      </c>
      <c r="K56" t="s">
        <v>95</v>
      </c>
      <c r="L56" t="s">
        <v>344</v>
      </c>
      <c r="M56" t="s">
        <v>821</v>
      </c>
      <c r="N56" t="s">
        <v>95</v>
      </c>
      <c r="O56">
        <v>92</v>
      </c>
      <c r="P56" s="7">
        <v>5568</v>
      </c>
      <c r="Q56" s="10">
        <v>0.43</v>
      </c>
      <c r="R56">
        <v>7.0000000000000007E-2</v>
      </c>
      <c r="S56">
        <v>1.6</v>
      </c>
      <c r="T56" s="5">
        <f>O56/730</f>
        <v>0.12602739726027398</v>
      </c>
      <c r="U56" t="s">
        <v>16</v>
      </c>
      <c r="V56" t="s">
        <v>16</v>
      </c>
    </row>
    <row r="57" spans="1:22" x14ac:dyDescent="0.3">
      <c r="A57" t="s">
        <v>730</v>
      </c>
      <c r="B57" t="s">
        <v>68</v>
      </c>
      <c r="C57">
        <v>131</v>
      </c>
      <c r="D57" t="s">
        <v>14</v>
      </c>
      <c r="E57" t="s">
        <v>45</v>
      </c>
      <c r="F57" s="3" t="s">
        <v>822</v>
      </c>
      <c r="G57">
        <v>20023</v>
      </c>
      <c r="H57" t="s">
        <v>18</v>
      </c>
      <c r="I57" t="s">
        <v>18</v>
      </c>
      <c r="J57" t="s">
        <v>95</v>
      </c>
      <c r="K57" t="s">
        <v>823</v>
      </c>
      <c r="L57" t="s">
        <v>344</v>
      </c>
      <c r="M57" t="s">
        <v>95</v>
      </c>
      <c r="N57" t="s">
        <v>95</v>
      </c>
      <c r="O57">
        <v>103</v>
      </c>
      <c r="P57" s="7">
        <v>7449</v>
      </c>
      <c r="Q57" s="10">
        <v>0.7</v>
      </c>
      <c r="R57">
        <v>0.05</v>
      </c>
      <c r="S57">
        <v>1.72</v>
      </c>
      <c r="T57" s="5">
        <f>O57/730</f>
        <v>0.14109589041095891</v>
      </c>
      <c r="U57" t="s">
        <v>16</v>
      </c>
      <c r="V57" t="s">
        <v>16</v>
      </c>
    </row>
    <row r="58" spans="1:22" x14ac:dyDescent="0.3">
      <c r="A58" t="s">
        <v>730</v>
      </c>
      <c r="B58" t="s">
        <v>68</v>
      </c>
      <c r="C58">
        <v>131</v>
      </c>
      <c r="D58" t="s">
        <v>14</v>
      </c>
      <c r="E58" t="s">
        <v>45</v>
      </c>
      <c r="F58" s="3" t="s">
        <v>824</v>
      </c>
      <c r="G58">
        <v>20023</v>
      </c>
      <c r="H58" t="s">
        <v>18</v>
      </c>
      <c r="I58" t="s">
        <v>18</v>
      </c>
      <c r="J58" t="s">
        <v>95</v>
      </c>
      <c r="K58" t="s">
        <v>95</v>
      </c>
      <c r="L58" t="s">
        <v>344</v>
      </c>
      <c r="M58" t="s">
        <v>95</v>
      </c>
      <c r="N58" t="s">
        <v>825</v>
      </c>
      <c r="O58">
        <v>331</v>
      </c>
      <c r="P58" s="7">
        <v>8675</v>
      </c>
      <c r="Q58" s="10">
        <v>0.6</v>
      </c>
      <c r="R58">
        <v>0.09</v>
      </c>
      <c r="S58">
        <v>1.26</v>
      </c>
      <c r="T58" s="5">
        <f>O58/730</f>
        <v>0.4534246575342466</v>
      </c>
      <c r="U58" t="s">
        <v>16</v>
      </c>
      <c r="V58" t="s">
        <v>16</v>
      </c>
    </row>
    <row r="59" spans="1:22" x14ac:dyDescent="0.3">
      <c r="A59" t="s">
        <v>730</v>
      </c>
      <c r="B59" t="s">
        <v>68</v>
      </c>
      <c r="C59">
        <v>131</v>
      </c>
      <c r="D59" t="s">
        <v>14</v>
      </c>
      <c r="E59" t="s">
        <v>45</v>
      </c>
      <c r="F59" s="3" t="s">
        <v>168</v>
      </c>
      <c r="G59">
        <v>20023</v>
      </c>
      <c r="H59" t="s">
        <v>18</v>
      </c>
      <c r="I59" t="s">
        <v>18</v>
      </c>
      <c r="J59" t="s">
        <v>95</v>
      </c>
      <c r="K59" t="s">
        <v>95</v>
      </c>
      <c r="L59" t="s">
        <v>826</v>
      </c>
      <c r="M59" t="s">
        <v>95</v>
      </c>
      <c r="N59" t="s">
        <v>95</v>
      </c>
      <c r="O59">
        <v>140</v>
      </c>
      <c r="P59" s="7">
        <v>7236</v>
      </c>
      <c r="Q59" s="10">
        <v>0.34</v>
      </c>
      <c r="R59">
        <v>7.0000000000000007E-2</v>
      </c>
      <c r="S59">
        <v>1.51</v>
      </c>
      <c r="T59" s="5">
        <f>O59/730</f>
        <v>0.19178082191780821</v>
      </c>
      <c r="U59" t="s">
        <v>16</v>
      </c>
      <c r="V59" t="s">
        <v>16</v>
      </c>
    </row>
    <row r="60" spans="1:22" x14ac:dyDescent="0.3">
      <c r="A60" t="s">
        <v>730</v>
      </c>
      <c r="B60" t="s">
        <v>68</v>
      </c>
      <c r="C60">
        <v>131</v>
      </c>
      <c r="D60" t="s">
        <v>14</v>
      </c>
      <c r="E60" t="s">
        <v>45</v>
      </c>
      <c r="F60" s="3" t="s">
        <v>169</v>
      </c>
      <c r="G60">
        <v>20023</v>
      </c>
      <c r="H60" t="s">
        <v>18</v>
      </c>
      <c r="I60" t="s">
        <v>18</v>
      </c>
      <c r="J60" t="s">
        <v>95</v>
      </c>
      <c r="K60" t="s">
        <v>95</v>
      </c>
      <c r="L60" t="s">
        <v>95</v>
      </c>
      <c r="M60" t="s">
        <v>827</v>
      </c>
      <c r="N60" t="s">
        <v>95</v>
      </c>
      <c r="O60">
        <v>299</v>
      </c>
      <c r="P60" s="7">
        <v>9171</v>
      </c>
      <c r="Q60" s="10">
        <v>0.34</v>
      </c>
      <c r="R60">
        <v>0.06</v>
      </c>
      <c r="S60">
        <v>1.3</v>
      </c>
      <c r="T60" s="5">
        <f>O60/730</f>
        <v>0.40958904109589039</v>
      </c>
      <c r="U60" t="s">
        <v>16</v>
      </c>
      <c r="V60" t="s">
        <v>16</v>
      </c>
    </row>
    <row r="61" spans="1:22" x14ac:dyDescent="0.3">
      <c r="A61" t="s">
        <v>730</v>
      </c>
      <c r="B61" t="s">
        <v>68</v>
      </c>
      <c r="C61">
        <v>131</v>
      </c>
      <c r="D61" t="s">
        <v>14</v>
      </c>
      <c r="E61" t="s">
        <v>45</v>
      </c>
      <c r="F61" s="3" t="s">
        <v>828</v>
      </c>
      <c r="G61">
        <v>20023</v>
      </c>
      <c r="H61" t="s">
        <v>18</v>
      </c>
      <c r="I61" t="s">
        <v>18</v>
      </c>
      <c r="J61" t="s">
        <v>95</v>
      </c>
      <c r="K61" t="s">
        <v>95</v>
      </c>
      <c r="L61" t="s">
        <v>95</v>
      </c>
      <c r="M61" t="s">
        <v>829</v>
      </c>
      <c r="N61" t="s">
        <v>95</v>
      </c>
      <c r="O61">
        <v>76</v>
      </c>
      <c r="P61" s="7">
        <v>5916</v>
      </c>
      <c r="Q61" s="10">
        <v>0.61</v>
      </c>
      <c r="R61">
        <v>7.0000000000000007E-2</v>
      </c>
      <c r="S61">
        <v>1.77</v>
      </c>
      <c r="T61" s="5">
        <f>O61/730</f>
        <v>0.10410958904109589</v>
      </c>
      <c r="U61" t="s">
        <v>16</v>
      </c>
      <c r="V61" t="s">
        <v>16</v>
      </c>
    </row>
    <row r="62" spans="1:22" x14ac:dyDescent="0.3">
      <c r="A62" t="s">
        <v>730</v>
      </c>
      <c r="B62" t="s">
        <v>68</v>
      </c>
      <c r="C62">
        <v>131</v>
      </c>
      <c r="D62" t="s">
        <v>14</v>
      </c>
      <c r="E62" t="s">
        <v>45</v>
      </c>
      <c r="F62" s="3" t="s">
        <v>830</v>
      </c>
      <c r="G62">
        <v>20023</v>
      </c>
      <c r="H62" t="s">
        <v>18</v>
      </c>
      <c r="I62" t="s">
        <v>18</v>
      </c>
      <c r="J62" t="s">
        <v>95</v>
      </c>
      <c r="K62" t="s">
        <v>95</v>
      </c>
      <c r="L62" t="s">
        <v>95</v>
      </c>
      <c r="M62" t="s">
        <v>831</v>
      </c>
      <c r="N62" t="s">
        <v>95</v>
      </c>
      <c r="O62">
        <v>162</v>
      </c>
      <c r="P62" s="7">
        <v>8696</v>
      </c>
      <c r="Q62" s="10">
        <v>0.62</v>
      </c>
      <c r="R62">
        <v>0.05</v>
      </c>
      <c r="S62">
        <v>1.53</v>
      </c>
      <c r="T62" s="5">
        <f>O62/730</f>
        <v>0.22191780821917809</v>
      </c>
      <c r="U62" t="s">
        <v>16</v>
      </c>
      <c r="V62" t="s">
        <v>16</v>
      </c>
    </row>
    <row r="63" spans="1:22" x14ac:dyDescent="0.3">
      <c r="A63" t="s">
        <v>730</v>
      </c>
      <c r="B63" t="s">
        <v>68</v>
      </c>
      <c r="C63">
        <v>131</v>
      </c>
      <c r="D63" t="s">
        <v>14</v>
      </c>
      <c r="E63" t="s">
        <v>45</v>
      </c>
      <c r="F63" s="3" t="s">
        <v>178</v>
      </c>
      <c r="G63">
        <v>20023</v>
      </c>
      <c r="H63" t="s">
        <v>18</v>
      </c>
      <c r="I63" t="s">
        <v>18</v>
      </c>
      <c r="J63" t="s">
        <v>95</v>
      </c>
      <c r="K63" t="s">
        <v>95</v>
      </c>
      <c r="L63" t="s">
        <v>95</v>
      </c>
      <c r="M63" t="s">
        <v>95</v>
      </c>
      <c r="N63" t="s">
        <v>832</v>
      </c>
      <c r="O63">
        <v>84</v>
      </c>
      <c r="P63" s="7">
        <v>4727</v>
      </c>
      <c r="Q63" s="10">
        <v>0.39</v>
      </c>
      <c r="R63">
        <v>7.0000000000000007E-2</v>
      </c>
      <c r="S63">
        <v>1.56</v>
      </c>
      <c r="T63" s="5">
        <f>O63/730</f>
        <v>0.11506849315068493</v>
      </c>
      <c r="U63" t="s">
        <v>16</v>
      </c>
      <c r="V63" t="s">
        <v>16</v>
      </c>
    </row>
    <row r="64" spans="1:22" x14ac:dyDescent="0.3">
      <c r="A64" t="s">
        <v>730</v>
      </c>
      <c r="B64" t="s">
        <v>68</v>
      </c>
      <c r="C64">
        <v>131</v>
      </c>
      <c r="D64" t="s">
        <v>14</v>
      </c>
      <c r="E64" t="s">
        <v>45</v>
      </c>
      <c r="F64" s="3" t="s">
        <v>833</v>
      </c>
      <c r="G64">
        <v>20023</v>
      </c>
      <c r="H64" t="s">
        <v>18</v>
      </c>
      <c r="I64" t="s">
        <v>18</v>
      </c>
      <c r="J64" t="s">
        <v>95</v>
      </c>
      <c r="K64" t="s">
        <v>834</v>
      </c>
      <c r="L64" t="s">
        <v>95</v>
      </c>
      <c r="M64" t="s">
        <v>95</v>
      </c>
      <c r="N64" t="s">
        <v>95</v>
      </c>
      <c r="O64">
        <v>111</v>
      </c>
      <c r="P64" s="7">
        <v>12897</v>
      </c>
      <c r="Q64" s="10">
        <v>0.31</v>
      </c>
      <c r="R64">
        <v>0.06</v>
      </c>
      <c r="S64">
        <v>2.16</v>
      </c>
      <c r="T64" s="5">
        <f>O64/730</f>
        <v>0.15205479452054796</v>
      </c>
      <c r="U64" t="s">
        <v>16</v>
      </c>
      <c r="V64" t="s">
        <v>16</v>
      </c>
    </row>
    <row r="65" spans="1:22" x14ac:dyDescent="0.3">
      <c r="A65" t="s">
        <v>730</v>
      </c>
      <c r="B65" t="s">
        <v>68</v>
      </c>
      <c r="C65">
        <v>131</v>
      </c>
      <c r="D65" t="s">
        <v>14</v>
      </c>
      <c r="E65" t="s">
        <v>45</v>
      </c>
      <c r="F65" s="3" t="s">
        <v>835</v>
      </c>
      <c r="G65">
        <v>20023</v>
      </c>
      <c r="H65" t="s">
        <v>18</v>
      </c>
      <c r="I65" t="s">
        <v>18</v>
      </c>
      <c r="J65" t="s">
        <v>836</v>
      </c>
      <c r="K65" t="s">
        <v>454</v>
      </c>
      <c r="L65" t="s">
        <v>95</v>
      </c>
      <c r="M65" t="s">
        <v>95</v>
      </c>
      <c r="N65" t="s">
        <v>95</v>
      </c>
      <c r="O65">
        <v>98</v>
      </c>
      <c r="P65" s="7">
        <v>8631</v>
      </c>
      <c r="Q65" s="10">
        <v>0.8</v>
      </c>
      <c r="R65">
        <v>0.12</v>
      </c>
      <c r="S65">
        <v>1.88</v>
      </c>
      <c r="T65" s="5">
        <f>O65/730</f>
        <v>0.13424657534246576</v>
      </c>
      <c r="U65" t="s">
        <v>16</v>
      </c>
      <c r="V65" t="s">
        <v>16</v>
      </c>
    </row>
    <row r="66" spans="1:22" x14ac:dyDescent="0.3">
      <c r="A66" t="s">
        <v>730</v>
      </c>
      <c r="B66" t="s">
        <v>68</v>
      </c>
      <c r="C66">
        <v>131</v>
      </c>
      <c r="D66" t="s">
        <v>14</v>
      </c>
      <c r="E66" t="s">
        <v>45</v>
      </c>
      <c r="F66" s="3" t="s">
        <v>837</v>
      </c>
      <c r="G66">
        <v>20023</v>
      </c>
      <c r="H66" t="s">
        <v>18</v>
      </c>
      <c r="I66" t="s">
        <v>18</v>
      </c>
      <c r="J66" t="s">
        <v>838</v>
      </c>
      <c r="K66" t="s">
        <v>454</v>
      </c>
      <c r="L66" t="s">
        <v>95</v>
      </c>
      <c r="M66" t="s">
        <v>95</v>
      </c>
      <c r="N66" t="s">
        <v>95</v>
      </c>
      <c r="O66">
        <v>58</v>
      </c>
      <c r="P66" s="7">
        <v>9838</v>
      </c>
      <c r="Q66" s="10">
        <v>0.1</v>
      </c>
      <c r="R66">
        <v>0.13</v>
      </c>
      <c r="S66">
        <v>2.69</v>
      </c>
      <c r="T66" s="5">
        <f>O66/730</f>
        <v>7.9452054794520555E-2</v>
      </c>
      <c r="U66" t="s">
        <v>16</v>
      </c>
      <c r="V66" t="s">
        <v>16</v>
      </c>
    </row>
    <row r="67" spans="1:22" x14ac:dyDescent="0.3">
      <c r="A67" t="s">
        <v>730</v>
      </c>
      <c r="B67" t="s">
        <v>68</v>
      </c>
      <c r="C67">
        <v>131</v>
      </c>
      <c r="D67" t="s">
        <v>14</v>
      </c>
      <c r="E67" t="s">
        <v>45</v>
      </c>
      <c r="F67" s="3" t="s">
        <v>839</v>
      </c>
      <c r="G67">
        <v>20023</v>
      </c>
      <c r="H67" t="s">
        <v>18</v>
      </c>
      <c r="I67" t="s">
        <v>18</v>
      </c>
      <c r="J67" t="s">
        <v>840</v>
      </c>
      <c r="K67" t="s">
        <v>454</v>
      </c>
      <c r="L67" t="s">
        <v>95</v>
      </c>
      <c r="M67" t="s">
        <v>95</v>
      </c>
      <c r="N67" t="s">
        <v>841</v>
      </c>
      <c r="O67">
        <v>180</v>
      </c>
      <c r="P67" s="7">
        <v>12314</v>
      </c>
      <c r="Q67" s="10">
        <v>0.49</v>
      </c>
      <c r="R67">
        <v>0.05</v>
      </c>
      <c r="S67">
        <v>1.68</v>
      </c>
      <c r="T67" s="5">
        <f>O67/730</f>
        <v>0.24657534246575341</v>
      </c>
      <c r="U67" t="s">
        <v>16</v>
      </c>
      <c r="V67" t="s">
        <v>16</v>
      </c>
    </row>
    <row r="68" spans="1:22" x14ac:dyDescent="0.3">
      <c r="A68" t="s">
        <v>730</v>
      </c>
      <c r="B68" t="s">
        <v>68</v>
      </c>
      <c r="C68">
        <v>131</v>
      </c>
      <c r="D68" t="s">
        <v>14</v>
      </c>
      <c r="E68" t="s">
        <v>45</v>
      </c>
      <c r="F68" s="3" t="s">
        <v>842</v>
      </c>
      <c r="G68">
        <v>20023</v>
      </c>
      <c r="H68" t="s">
        <v>18</v>
      </c>
      <c r="I68" t="s">
        <v>18</v>
      </c>
      <c r="J68" t="s">
        <v>840</v>
      </c>
      <c r="K68" t="s">
        <v>454</v>
      </c>
      <c r="L68" t="s">
        <v>95</v>
      </c>
      <c r="M68" t="s">
        <v>95</v>
      </c>
      <c r="N68" t="s">
        <v>843</v>
      </c>
      <c r="O68">
        <v>164</v>
      </c>
      <c r="P68" s="7">
        <v>8246</v>
      </c>
      <c r="Q68" s="10">
        <v>0.52</v>
      </c>
      <c r="R68">
        <v>0.06</v>
      </c>
      <c r="S68">
        <v>1.5</v>
      </c>
      <c r="T68" s="5">
        <f>O68/730</f>
        <v>0.22465753424657534</v>
      </c>
      <c r="U68" t="s">
        <v>16</v>
      </c>
      <c r="V68" t="s">
        <v>16</v>
      </c>
    </row>
    <row r="69" spans="1:22" x14ac:dyDescent="0.3">
      <c r="A69" t="s">
        <v>730</v>
      </c>
      <c r="B69" t="s">
        <v>68</v>
      </c>
      <c r="C69">
        <v>131</v>
      </c>
      <c r="D69" t="s">
        <v>14</v>
      </c>
      <c r="E69" t="s">
        <v>45</v>
      </c>
      <c r="F69" s="3" t="s">
        <v>844</v>
      </c>
      <c r="G69">
        <v>20023</v>
      </c>
      <c r="H69" t="s">
        <v>18</v>
      </c>
      <c r="I69" t="s">
        <v>18</v>
      </c>
      <c r="J69" t="s">
        <v>845</v>
      </c>
      <c r="K69" t="s">
        <v>454</v>
      </c>
      <c r="L69" t="s">
        <v>95</v>
      </c>
      <c r="M69" t="s">
        <v>95</v>
      </c>
      <c r="N69" t="s">
        <v>95</v>
      </c>
      <c r="O69">
        <v>74</v>
      </c>
      <c r="P69" s="7">
        <v>17665</v>
      </c>
      <c r="Q69" s="10">
        <v>0.52</v>
      </c>
      <c r="R69">
        <v>0.09</v>
      </c>
      <c r="S69">
        <v>3.38</v>
      </c>
      <c r="T69" s="5">
        <f>O69/730</f>
        <v>0.10136986301369863</v>
      </c>
      <c r="U69" t="s">
        <v>16</v>
      </c>
      <c r="V69" t="s">
        <v>16</v>
      </c>
    </row>
    <row r="70" spans="1:22" x14ac:dyDescent="0.3">
      <c r="A70" t="s">
        <v>730</v>
      </c>
      <c r="B70" t="s">
        <v>68</v>
      </c>
      <c r="C70">
        <v>131</v>
      </c>
      <c r="D70" t="s">
        <v>14</v>
      </c>
      <c r="E70" t="s">
        <v>45</v>
      </c>
      <c r="F70" s="3" t="s">
        <v>846</v>
      </c>
      <c r="G70">
        <v>20023</v>
      </c>
      <c r="H70" t="s">
        <v>18</v>
      </c>
      <c r="I70" t="s">
        <v>18</v>
      </c>
      <c r="J70" t="s">
        <v>847</v>
      </c>
      <c r="K70" t="s">
        <v>848</v>
      </c>
      <c r="L70" t="s">
        <v>95</v>
      </c>
      <c r="M70" t="s">
        <v>95</v>
      </c>
      <c r="N70" t="s">
        <v>95</v>
      </c>
      <c r="O70">
        <v>100</v>
      </c>
      <c r="P70" s="7">
        <v>7618</v>
      </c>
      <c r="Q70" s="10">
        <v>0.54</v>
      </c>
      <c r="R70">
        <v>7.0000000000000007E-2</v>
      </c>
      <c r="S70">
        <v>1.76</v>
      </c>
      <c r="T70" s="5">
        <f>O70/730</f>
        <v>0.13698630136986301</v>
      </c>
      <c r="U70" t="s">
        <v>16</v>
      </c>
      <c r="V70" t="s">
        <v>16</v>
      </c>
    </row>
    <row r="71" spans="1:22" x14ac:dyDescent="0.3">
      <c r="A71" t="s">
        <v>730</v>
      </c>
      <c r="B71" t="s">
        <v>68</v>
      </c>
      <c r="C71">
        <v>131</v>
      </c>
      <c r="D71" t="s">
        <v>14</v>
      </c>
      <c r="E71" t="s">
        <v>45</v>
      </c>
      <c r="F71" s="3" t="s">
        <v>849</v>
      </c>
      <c r="G71">
        <v>20023</v>
      </c>
      <c r="H71" t="s">
        <v>18</v>
      </c>
      <c r="I71" t="s">
        <v>18</v>
      </c>
      <c r="J71" t="s">
        <v>847</v>
      </c>
      <c r="K71" t="s">
        <v>95</v>
      </c>
      <c r="L71" t="s">
        <v>850</v>
      </c>
      <c r="M71" t="s">
        <v>95</v>
      </c>
      <c r="N71" t="s">
        <v>95</v>
      </c>
      <c r="O71">
        <v>124</v>
      </c>
      <c r="P71" s="7">
        <v>9007</v>
      </c>
      <c r="Q71" s="10">
        <v>0.75</v>
      </c>
      <c r="R71">
        <v>0.09</v>
      </c>
      <c r="S71">
        <v>1.72</v>
      </c>
      <c r="T71" s="5">
        <f>O71/730</f>
        <v>0.16986301369863013</v>
      </c>
      <c r="U71" t="s">
        <v>16</v>
      </c>
      <c r="V71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1"/>
  <sheetViews>
    <sheetView zoomScale="90" zoomScaleNormal="90" workbookViewId="0">
      <pane ySplit="1" topLeftCell="A2" activePane="bottomLeft" state="frozen"/>
      <selection pane="bottomLeft" activeCell="H4" sqref="H4"/>
    </sheetView>
  </sheetViews>
  <sheetFormatPr defaultRowHeight="16.5" x14ac:dyDescent="0.3"/>
  <cols>
    <col min="1" max="2" width="4.875" customWidth="1"/>
    <col min="3" max="3" width="4.75" customWidth="1"/>
    <col min="4" max="4" width="7.375" customWidth="1"/>
    <col min="5" max="5" width="7.5" customWidth="1"/>
    <col min="6" max="6" width="9" style="3"/>
    <col min="7" max="7" width="6.625" customWidth="1"/>
    <col min="8" max="8" width="5" customWidth="1"/>
    <col min="9" max="9" width="6.625" customWidth="1"/>
    <col min="11" max="11" width="10.375" customWidth="1"/>
    <col min="12" max="13" width="10.125" customWidth="1"/>
    <col min="14" max="14" width="10.5" customWidth="1"/>
    <col min="15" max="15" width="7" customWidth="1"/>
    <col min="16" max="17" width="9.125" style="7" customWidth="1"/>
    <col min="18" max="18" width="6.625" customWidth="1"/>
    <col min="19" max="19" width="7.125" customWidth="1"/>
    <col min="20" max="20" width="7.5" style="5" customWidth="1"/>
    <col min="21" max="21" width="3.5" customWidth="1"/>
    <col min="22" max="22" width="2.75" customWidth="1"/>
  </cols>
  <sheetData>
    <row r="1" spans="1:22" s="1" customFormat="1" ht="29.25" customHeight="1" x14ac:dyDescent="0.3">
      <c r="A1" s="1" t="s">
        <v>0</v>
      </c>
      <c r="B1" s="1" t="s">
        <v>23</v>
      </c>
      <c r="C1" s="1" t="s">
        <v>25</v>
      </c>
      <c r="D1" s="1" t="s">
        <v>1</v>
      </c>
      <c r="E1" s="1" t="s">
        <v>2</v>
      </c>
      <c r="F1" s="8" t="s">
        <v>3</v>
      </c>
      <c r="G1" s="1" t="s">
        <v>4</v>
      </c>
      <c r="H1" s="1" t="s">
        <v>5</v>
      </c>
      <c r="I1" s="9" t="s">
        <v>6</v>
      </c>
      <c r="J1" s="1" t="s">
        <v>10</v>
      </c>
      <c r="K1" s="1" t="s">
        <v>21</v>
      </c>
      <c r="L1" s="1" t="s">
        <v>22</v>
      </c>
      <c r="M1" s="1" t="s">
        <v>11</v>
      </c>
      <c r="N1" s="1" t="s">
        <v>12</v>
      </c>
      <c r="O1" s="1" t="s">
        <v>7</v>
      </c>
      <c r="P1" s="6" t="s">
        <v>39</v>
      </c>
      <c r="Q1" s="6" t="s">
        <v>731</v>
      </c>
      <c r="R1" s="1" t="s">
        <v>8</v>
      </c>
      <c r="S1" s="1" t="s">
        <v>19</v>
      </c>
      <c r="T1" s="4" t="s">
        <v>20</v>
      </c>
      <c r="U1" s="1" t="s">
        <v>9</v>
      </c>
      <c r="V1" s="1" t="s">
        <v>13</v>
      </c>
    </row>
    <row r="2" spans="1:22" x14ac:dyDescent="0.3">
      <c r="A2" t="s">
        <v>17</v>
      </c>
      <c r="B2" t="s">
        <v>24</v>
      </c>
      <c r="C2">
        <v>131</v>
      </c>
      <c r="D2" t="s">
        <v>14</v>
      </c>
      <c r="E2" t="s">
        <v>15</v>
      </c>
      <c r="F2" s="3">
        <v>123</v>
      </c>
      <c r="G2">
        <v>99100</v>
      </c>
      <c r="H2" t="s">
        <v>18</v>
      </c>
      <c r="I2" t="s">
        <v>18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>
        <v>20</v>
      </c>
      <c r="P2" s="7">
        <v>0</v>
      </c>
      <c r="Q2" s="7">
        <v>0</v>
      </c>
      <c r="R2">
        <v>0.05</v>
      </c>
      <c r="S2">
        <v>0</v>
      </c>
      <c r="T2" s="5">
        <v>0</v>
      </c>
      <c r="U2" t="s">
        <v>16</v>
      </c>
      <c r="V2" t="s">
        <v>16</v>
      </c>
    </row>
    <row r="3" spans="1:22" x14ac:dyDescent="0.3">
      <c r="A3" t="s">
        <v>730</v>
      </c>
      <c r="B3" t="s">
        <v>68</v>
      </c>
      <c r="C3">
        <v>131</v>
      </c>
      <c r="D3" t="s">
        <v>14</v>
      </c>
      <c r="E3" t="s">
        <v>45</v>
      </c>
      <c r="F3" s="3" t="s">
        <v>733</v>
      </c>
      <c r="G3">
        <v>20023</v>
      </c>
      <c r="H3" t="s">
        <v>18</v>
      </c>
      <c r="I3" t="s">
        <v>18</v>
      </c>
      <c r="J3" t="s">
        <v>16</v>
      </c>
      <c r="K3" t="s">
        <v>734</v>
      </c>
      <c r="L3" t="s">
        <v>16</v>
      </c>
      <c r="M3" t="s">
        <v>95</v>
      </c>
      <c r="N3" t="s">
        <v>452</v>
      </c>
      <c r="O3">
        <v>1013</v>
      </c>
      <c r="P3" s="7">
        <v>26722</v>
      </c>
      <c r="Q3" s="10">
        <v>0.27</v>
      </c>
      <c r="R3">
        <v>0.11</v>
      </c>
      <c r="S3">
        <v>1.26</v>
      </c>
      <c r="T3" s="5">
        <f>O3/730</f>
        <v>1.3876712328767122</v>
      </c>
      <c r="U3" t="s">
        <v>16</v>
      </c>
      <c r="V3" t="s">
        <v>16</v>
      </c>
    </row>
    <row r="4" spans="1:22" x14ac:dyDescent="0.3">
      <c r="A4" t="s">
        <v>730</v>
      </c>
      <c r="B4" t="s">
        <v>68</v>
      </c>
      <c r="C4">
        <v>131</v>
      </c>
      <c r="D4" t="s">
        <v>14</v>
      </c>
      <c r="E4" t="s">
        <v>45</v>
      </c>
      <c r="F4" s="3" t="s">
        <v>50</v>
      </c>
      <c r="G4">
        <v>20023</v>
      </c>
      <c r="H4" t="s">
        <v>18</v>
      </c>
      <c r="I4" t="s">
        <v>18</v>
      </c>
      <c r="J4" t="s">
        <v>16</v>
      </c>
      <c r="K4" t="s">
        <v>732</v>
      </c>
      <c r="L4" t="s">
        <v>16</v>
      </c>
      <c r="M4" t="s">
        <v>95</v>
      </c>
      <c r="N4" t="s">
        <v>95</v>
      </c>
      <c r="O4">
        <v>805</v>
      </c>
      <c r="P4" s="7">
        <v>13777</v>
      </c>
      <c r="Q4" s="10">
        <v>0.39</v>
      </c>
      <c r="R4">
        <v>0.09</v>
      </c>
      <c r="S4">
        <v>1.17</v>
      </c>
      <c r="T4" s="5">
        <f>O4/730</f>
        <v>1.1027397260273972</v>
      </c>
      <c r="U4" t="s">
        <v>16</v>
      </c>
      <c r="V4" t="s">
        <v>16</v>
      </c>
    </row>
    <row r="5" spans="1:22" x14ac:dyDescent="0.3">
      <c r="A5" t="s">
        <v>730</v>
      </c>
      <c r="B5" t="s">
        <v>68</v>
      </c>
      <c r="C5">
        <v>131</v>
      </c>
      <c r="D5" t="s">
        <v>14</v>
      </c>
      <c r="E5" t="s">
        <v>45</v>
      </c>
      <c r="F5" s="3" t="s">
        <v>735</v>
      </c>
      <c r="G5">
        <v>20023</v>
      </c>
      <c r="H5" t="s">
        <v>18</v>
      </c>
      <c r="I5" t="s">
        <v>18</v>
      </c>
      <c r="J5" t="s">
        <v>16</v>
      </c>
      <c r="K5" t="s">
        <v>95</v>
      </c>
      <c r="L5" t="s">
        <v>736</v>
      </c>
      <c r="M5" t="s">
        <v>95</v>
      </c>
      <c r="N5" t="s">
        <v>95</v>
      </c>
      <c r="O5">
        <v>335</v>
      </c>
      <c r="P5" s="7">
        <v>11539</v>
      </c>
      <c r="Q5" s="10">
        <v>0.42</v>
      </c>
      <c r="R5">
        <v>0.08</v>
      </c>
      <c r="S5">
        <v>1.34</v>
      </c>
      <c r="T5" s="5">
        <f>O5/730</f>
        <v>0.4589041095890411</v>
      </c>
      <c r="U5" t="s">
        <v>16</v>
      </c>
      <c r="V5" t="s">
        <v>16</v>
      </c>
    </row>
    <row r="6" spans="1:22" x14ac:dyDescent="0.3">
      <c r="A6" t="s">
        <v>730</v>
      </c>
      <c r="B6" t="s">
        <v>68</v>
      </c>
      <c r="C6">
        <v>131</v>
      </c>
      <c r="D6" t="s">
        <v>14</v>
      </c>
      <c r="E6" t="s">
        <v>45</v>
      </c>
      <c r="F6" s="3" t="s">
        <v>64</v>
      </c>
      <c r="G6">
        <v>20023</v>
      </c>
      <c r="H6" t="s">
        <v>18</v>
      </c>
      <c r="I6" t="s">
        <v>18</v>
      </c>
      <c r="J6" t="s">
        <v>737</v>
      </c>
      <c r="K6" t="s">
        <v>95</v>
      </c>
      <c r="L6" t="s">
        <v>95</v>
      </c>
      <c r="M6" t="s">
        <v>95</v>
      </c>
      <c r="N6" t="s">
        <v>95</v>
      </c>
      <c r="O6">
        <v>438</v>
      </c>
      <c r="P6" s="7">
        <v>9158</v>
      </c>
      <c r="Q6" s="10">
        <v>0.21</v>
      </c>
      <c r="R6">
        <v>0.12</v>
      </c>
      <c r="S6">
        <v>1.2</v>
      </c>
      <c r="T6" s="5">
        <f>O6/730</f>
        <v>0.6</v>
      </c>
      <c r="U6" t="s">
        <v>16</v>
      </c>
      <c r="V6" t="s">
        <v>16</v>
      </c>
    </row>
    <row r="7" spans="1:22" x14ac:dyDescent="0.3">
      <c r="A7" t="s">
        <v>730</v>
      </c>
      <c r="B7" t="s">
        <v>68</v>
      </c>
      <c r="C7">
        <v>131</v>
      </c>
      <c r="D7" t="s">
        <v>14</v>
      </c>
      <c r="E7" t="s">
        <v>45</v>
      </c>
      <c r="F7" s="3" t="s">
        <v>738</v>
      </c>
      <c r="G7">
        <v>20023</v>
      </c>
      <c r="H7" t="s">
        <v>18</v>
      </c>
      <c r="I7" t="s">
        <v>18</v>
      </c>
      <c r="J7" t="s">
        <v>95</v>
      </c>
      <c r="K7" t="s">
        <v>95</v>
      </c>
      <c r="L7" t="s">
        <v>739</v>
      </c>
      <c r="M7" t="s">
        <v>95</v>
      </c>
      <c r="N7" t="s">
        <v>95</v>
      </c>
      <c r="O7">
        <v>344</v>
      </c>
      <c r="P7" s="7">
        <v>13538</v>
      </c>
      <c r="Q7" s="10">
        <v>0.23</v>
      </c>
      <c r="R7">
        <v>7.0000000000000007E-2</v>
      </c>
      <c r="S7">
        <v>1.39</v>
      </c>
      <c r="T7" s="5">
        <f>O7/730</f>
        <v>0.47123287671232877</v>
      </c>
      <c r="U7" t="s">
        <v>16</v>
      </c>
      <c r="V7" t="s">
        <v>16</v>
      </c>
    </row>
    <row r="8" spans="1:22" x14ac:dyDescent="0.3">
      <c r="A8" t="s">
        <v>730</v>
      </c>
      <c r="B8" t="s">
        <v>68</v>
      </c>
      <c r="C8">
        <v>131</v>
      </c>
      <c r="D8" t="s">
        <v>14</v>
      </c>
      <c r="E8" t="s">
        <v>45</v>
      </c>
      <c r="F8" s="3" t="s">
        <v>65</v>
      </c>
      <c r="G8">
        <v>20023</v>
      </c>
      <c r="H8" t="s">
        <v>18</v>
      </c>
      <c r="I8" t="s">
        <v>18</v>
      </c>
      <c r="J8" t="s">
        <v>95</v>
      </c>
      <c r="K8" t="s">
        <v>95</v>
      </c>
      <c r="L8" t="s">
        <v>454</v>
      </c>
      <c r="M8" t="s">
        <v>95</v>
      </c>
      <c r="N8" t="s">
        <v>740</v>
      </c>
      <c r="O8">
        <v>216</v>
      </c>
      <c r="P8" s="7">
        <v>7599</v>
      </c>
      <c r="Q8" s="10">
        <v>0.23</v>
      </c>
      <c r="R8">
        <v>0.11</v>
      </c>
      <c r="S8">
        <v>1.34</v>
      </c>
      <c r="T8" s="5">
        <f>O8/730</f>
        <v>0.29589041095890412</v>
      </c>
      <c r="U8" t="s">
        <v>16</v>
      </c>
      <c r="V8" t="s">
        <v>16</v>
      </c>
    </row>
    <row r="9" spans="1:22" x14ac:dyDescent="0.3">
      <c r="A9" t="s">
        <v>730</v>
      </c>
      <c r="B9" t="s">
        <v>68</v>
      </c>
      <c r="C9">
        <v>131</v>
      </c>
      <c r="D9" t="s">
        <v>14</v>
      </c>
      <c r="E9" t="s">
        <v>45</v>
      </c>
      <c r="F9" s="3" t="s">
        <v>371</v>
      </c>
      <c r="G9">
        <v>20023</v>
      </c>
      <c r="H9" t="s">
        <v>18</v>
      </c>
      <c r="I9" t="s">
        <v>18</v>
      </c>
      <c r="J9" t="s">
        <v>95</v>
      </c>
      <c r="K9" t="s">
        <v>95</v>
      </c>
      <c r="L9" t="s">
        <v>454</v>
      </c>
      <c r="M9" t="s">
        <v>741</v>
      </c>
      <c r="N9" t="s">
        <v>729</v>
      </c>
      <c r="O9">
        <v>424</v>
      </c>
      <c r="P9" s="7">
        <v>11523</v>
      </c>
      <c r="Q9" s="10">
        <v>0.2</v>
      </c>
      <c r="R9">
        <v>7.0000000000000007E-2</v>
      </c>
      <c r="S9">
        <v>1.27</v>
      </c>
      <c r="T9" s="5">
        <f>O9/730</f>
        <v>0.58082191780821912</v>
      </c>
      <c r="U9" t="s">
        <v>16</v>
      </c>
      <c r="V9" t="s">
        <v>16</v>
      </c>
    </row>
    <row r="10" spans="1:22" x14ac:dyDescent="0.3">
      <c r="A10" t="s">
        <v>730</v>
      </c>
      <c r="B10" t="s">
        <v>68</v>
      </c>
      <c r="C10">
        <v>131</v>
      </c>
      <c r="D10" t="s">
        <v>14</v>
      </c>
      <c r="E10" t="s">
        <v>45</v>
      </c>
      <c r="F10" s="3" t="s">
        <v>742</v>
      </c>
      <c r="G10">
        <v>20023</v>
      </c>
      <c r="H10" t="s">
        <v>18</v>
      </c>
      <c r="I10" t="s">
        <v>18</v>
      </c>
      <c r="J10" t="s">
        <v>95</v>
      </c>
      <c r="K10" t="s">
        <v>95</v>
      </c>
      <c r="L10" t="s">
        <v>454</v>
      </c>
      <c r="M10" t="s">
        <v>95</v>
      </c>
      <c r="N10" t="s">
        <v>743</v>
      </c>
      <c r="O10">
        <v>526</v>
      </c>
      <c r="P10" s="7">
        <v>10602</v>
      </c>
      <c r="Q10" s="10">
        <v>0.35</v>
      </c>
      <c r="R10">
        <v>0.06</v>
      </c>
      <c r="S10">
        <v>1.2</v>
      </c>
      <c r="T10" s="5">
        <f>O10/730</f>
        <v>0.72054794520547949</v>
      </c>
      <c r="U10" t="s">
        <v>16</v>
      </c>
      <c r="V10" t="s">
        <v>16</v>
      </c>
    </row>
    <row r="11" spans="1:22" x14ac:dyDescent="0.3">
      <c r="A11" t="s">
        <v>730</v>
      </c>
      <c r="B11" t="s">
        <v>68</v>
      </c>
      <c r="C11">
        <v>131</v>
      </c>
      <c r="D11" t="s">
        <v>14</v>
      </c>
      <c r="E11" t="s">
        <v>45</v>
      </c>
      <c r="F11" s="3" t="s">
        <v>744</v>
      </c>
      <c r="G11">
        <v>20023</v>
      </c>
      <c r="H11" t="s">
        <v>18</v>
      </c>
      <c r="I11" t="s">
        <v>18</v>
      </c>
      <c r="J11" t="s">
        <v>745</v>
      </c>
      <c r="K11" t="s">
        <v>95</v>
      </c>
      <c r="L11" t="s">
        <v>454</v>
      </c>
      <c r="M11" t="s">
        <v>95</v>
      </c>
      <c r="N11" t="s">
        <v>95</v>
      </c>
      <c r="O11">
        <v>494</v>
      </c>
      <c r="P11" s="7">
        <v>12490</v>
      </c>
      <c r="Q11" s="10">
        <v>0.4</v>
      </c>
      <c r="R11">
        <v>0.09</v>
      </c>
      <c r="S11">
        <v>1.25</v>
      </c>
      <c r="T11" s="5">
        <f>O11/730</f>
        <v>0.67671232876712328</v>
      </c>
      <c r="U11" t="s">
        <v>16</v>
      </c>
      <c r="V11" t="s">
        <v>16</v>
      </c>
    </row>
    <row r="12" spans="1:22" x14ac:dyDescent="0.3">
      <c r="A12" t="s">
        <v>730</v>
      </c>
      <c r="B12" t="s">
        <v>68</v>
      </c>
      <c r="C12">
        <v>131</v>
      </c>
      <c r="D12" t="s">
        <v>14</v>
      </c>
      <c r="E12" t="s">
        <v>45</v>
      </c>
      <c r="F12" s="3" t="s">
        <v>746</v>
      </c>
      <c r="G12">
        <v>20023</v>
      </c>
      <c r="H12" t="s">
        <v>18</v>
      </c>
      <c r="I12" t="s">
        <v>18</v>
      </c>
      <c r="J12" t="s">
        <v>95</v>
      </c>
      <c r="K12" t="s">
        <v>95</v>
      </c>
      <c r="L12" t="s">
        <v>747</v>
      </c>
      <c r="M12" t="s">
        <v>95</v>
      </c>
      <c r="N12" t="s">
        <v>95</v>
      </c>
      <c r="O12">
        <v>210</v>
      </c>
      <c r="P12" s="7">
        <v>6179</v>
      </c>
      <c r="Q12" s="10">
        <v>0.22</v>
      </c>
      <c r="R12">
        <v>0.08</v>
      </c>
      <c r="S12">
        <v>1.29</v>
      </c>
      <c r="T12" s="5">
        <f>O12/730</f>
        <v>0.28767123287671231</v>
      </c>
      <c r="U12" t="s">
        <v>16</v>
      </c>
      <c r="V12" t="s">
        <v>16</v>
      </c>
    </row>
    <row r="13" spans="1:22" x14ac:dyDescent="0.3">
      <c r="A13" t="s">
        <v>730</v>
      </c>
      <c r="B13" t="s">
        <v>68</v>
      </c>
      <c r="C13">
        <v>131</v>
      </c>
      <c r="D13" t="s">
        <v>14</v>
      </c>
      <c r="E13" t="s">
        <v>45</v>
      </c>
      <c r="F13" s="3" t="s">
        <v>748</v>
      </c>
      <c r="G13">
        <v>20023</v>
      </c>
      <c r="H13" t="s">
        <v>18</v>
      </c>
      <c r="I13" t="s">
        <v>18</v>
      </c>
      <c r="J13" t="s">
        <v>749</v>
      </c>
      <c r="K13" t="s">
        <v>95</v>
      </c>
      <c r="L13" t="s">
        <v>95</v>
      </c>
      <c r="M13" t="s">
        <v>95</v>
      </c>
      <c r="N13" t="s">
        <v>95</v>
      </c>
      <c r="O13">
        <v>136</v>
      </c>
      <c r="P13" s="7">
        <v>3502</v>
      </c>
      <c r="Q13" s="10">
        <v>0.46</v>
      </c>
      <c r="R13">
        <v>0.08</v>
      </c>
      <c r="S13">
        <v>1.25</v>
      </c>
      <c r="T13" s="5">
        <f>O13/730</f>
        <v>0.18630136986301371</v>
      </c>
      <c r="U13" t="s">
        <v>16</v>
      </c>
      <c r="V13" t="s">
        <v>16</v>
      </c>
    </row>
    <row r="14" spans="1:22" x14ac:dyDescent="0.3">
      <c r="A14" t="s">
        <v>730</v>
      </c>
      <c r="B14" t="s">
        <v>68</v>
      </c>
      <c r="C14">
        <v>131</v>
      </c>
      <c r="D14" t="s">
        <v>14</v>
      </c>
      <c r="E14" t="s">
        <v>45</v>
      </c>
      <c r="F14" s="3" t="s">
        <v>400</v>
      </c>
      <c r="G14">
        <v>20023</v>
      </c>
      <c r="H14" t="s">
        <v>18</v>
      </c>
      <c r="I14" t="s">
        <v>18</v>
      </c>
      <c r="J14" t="s">
        <v>95</v>
      </c>
      <c r="K14" t="s">
        <v>95</v>
      </c>
      <c r="L14" t="s">
        <v>750</v>
      </c>
      <c r="M14" t="s">
        <v>95</v>
      </c>
      <c r="N14" t="s">
        <v>95</v>
      </c>
      <c r="O14">
        <v>244</v>
      </c>
      <c r="P14" s="7">
        <v>9974</v>
      </c>
      <c r="Q14" s="10">
        <v>0.5</v>
      </c>
      <c r="R14">
        <v>0.08</v>
      </c>
      <c r="S14">
        <v>1.4</v>
      </c>
      <c r="T14" s="5">
        <f>O14/730</f>
        <v>0.33424657534246577</v>
      </c>
      <c r="U14" t="s">
        <v>16</v>
      </c>
      <c r="V14" t="s">
        <v>16</v>
      </c>
    </row>
    <row r="15" spans="1:22" x14ac:dyDescent="0.3">
      <c r="A15" t="s">
        <v>730</v>
      </c>
      <c r="B15" t="s">
        <v>68</v>
      </c>
      <c r="C15">
        <v>131</v>
      </c>
      <c r="D15" t="s">
        <v>14</v>
      </c>
      <c r="E15" t="s">
        <v>45</v>
      </c>
      <c r="F15" s="3" t="s">
        <v>403</v>
      </c>
      <c r="G15">
        <v>20023</v>
      </c>
      <c r="H15" t="s">
        <v>18</v>
      </c>
      <c r="I15" t="s">
        <v>18</v>
      </c>
      <c r="J15" t="s">
        <v>751</v>
      </c>
      <c r="K15" t="s">
        <v>95</v>
      </c>
      <c r="L15" t="s">
        <v>95</v>
      </c>
      <c r="M15" t="s">
        <v>95</v>
      </c>
      <c r="N15" t="s">
        <v>95</v>
      </c>
      <c r="O15">
        <v>258</v>
      </c>
      <c r="P15" s="7">
        <v>6548</v>
      </c>
      <c r="Q15" s="10">
        <v>0.72</v>
      </c>
      <c r="R15">
        <v>0.06</v>
      </c>
      <c r="S15">
        <v>1.25</v>
      </c>
      <c r="T15" s="5">
        <f>O15/730</f>
        <v>0.35342465753424657</v>
      </c>
      <c r="U15" t="s">
        <v>16</v>
      </c>
      <c r="V15" t="s">
        <v>16</v>
      </c>
    </row>
    <row r="16" spans="1:22" x14ac:dyDescent="0.3">
      <c r="A16" t="s">
        <v>730</v>
      </c>
      <c r="B16" t="s">
        <v>68</v>
      </c>
      <c r="C16">
        <v>131</v>
      </c>
      <c r="D16" t="s">
        <v>14</v>
      </c>
      <c r="E16" t="s">
        <v>45</v>
      </c>
      <c r="F16" s="3" t="s">
        <v>406</v>
      </c>
      <c r="G16">
        <v>20023</v>
      </c>
      <c r="H16" t="s">
        <v>18</v>
      </c>
      <c r="I16" t="s">
        <v>18</v>
      </c>
      <c r="J16" t="s">
        <v>95</v>
      </c>
      <c r="K16" t="s">
        <v>95</v>
      </c>
      <c r="L16" t="s">
        <v>95</v>
      </c>
      <c r="M16" t="s">
        <v>752</v>
      </c>
      <c r="N16" t="s">
        <v>95</v>
      </c>
      <c r="O16">
        <v>199</v>
      </c>
      <c r="P16" s="7">
        <v>4200</v>
      </c>
      <c r="Q16" s="10">
        <v>0.68</v>
      </c>
      <c r="R16">
        <v>0.1</v>
      </c>
      <c r="S16">
        <v>1.21</v>
      </c>
      <c r="T16" s="5">
        <f>O16/730</f>
        <v>0.27260273972602739</v>
      </c>
      <c r="U16" t="s">
        <v>16</v>
      </c>
      <c r="V16" t="s">
        <v>16</v>
      </c>
    </row>
    <row r="17" spans="1:22" x14ac:dyDescent="0.3">
      <c r="A17" t="s">
        <v>730</v>
      </c>
      <c r="B17" t="s">
        <v>68</v>
      </c>
      <c r="C17">
        <v>131</v>
      </c>
      <c r="D17" t="s">
        <v>14</v>
      </c>
      <c r="E17" t="s">
        <v>45</v>
      </c>
      <c r="F17" s="3" t="s">
        <v>753</v>
      </c>
      <c r="G17">
        <v>20023</v>
      </c>
      <c r="H17" t="s">
        <v>18</v>
      </c>
      <c r="I17" t="s">
        <v>18</v>
      </c>
      <c r="J17" t="s">
        <v>95</v>
      </c>
      <c r="K17" t="s">
        <v>754</v>
      </c>
      <c r="L17" t="s">
        <v>95</v>
      </c>
      <c r="M17" t="s">
        <v>95</v>
      </c>
      <c r="N17" t="s">
        <v>95</v>
      </c>
      <c r="O17">
        <v>336</v>
      </c>
      <c r="P17" s="7">
        <v>6156</v>
      </c>
      <c r="Q17" s="10">
        <v>0.25</v>
      </c>
      <c r="R17">
        <v>0.03</v>
      </c>
      <c r="S17">
        <v>1.18</v>
      </c>
      <c r="T17" s="5">
        <f>O17/730</f>
        <v>0.46027397260273972</v>
      </c>
      <c r="U17" t="s">
        <v>16</v>
      </c>
      <c r="V17" t="s">
        <v>16</v>
      </c>
    </row>
    <row r="18" spans="1:22" x14ac:dyDescent="0.3">
      <c r="A18" t="s">
        <v>730</v>
      </c>
      <c r="B18" t="s">
        <v>68</v>
      </c>
      <c r="C18">
        <v>131</v>
      </c>
      <c r="D18" t="s">
        <v>14</v>
      </c>
      <c r="E18" t="s">
        <v>45</v>
      </c>
      <c r="F18" s="3" t="s">
        <v>87</v>
      </c>
      <c r="G18">
        <v>20023</v>
      </c>
      <c r="H18" t="s">
        <v>18</v>
      </c>
      <c r="I18" t="s">
        <v>18</v>
      </c>
      <c r="J18" t="s">
        <v>95</v>
      </c>
      <c r="K18" t="s">
        <v>95</v>
      </c>
      <c r="L18" t="s">
        <v>95</v>
      </c>
      <c r="M18" t="s">
        <v>95</v>
      </c>
      <c r="N18" t="s">
        <v>755</v>
      </c>
      <c r="O18">
        <v>341</v>
      </c>
      <c r="P18" s="7">
        <v>8786</v>
      </c>
      <c r="Q18" s="10">
        <v>0.35</v>
      </c>
      <c r="R18">
        <v>0.05</v>
      </c>
      <c r="S18">
        <v>1.25</v>
      </c>
      <c r="T18" s="5">
        <f>O18/730</f>
        <v>0.4671232876712329</v>
      </c>
      <c r="U18" t="s">
        <v>16</v>
      </c>
      <c r="V18" t="s">
        <v>16</v>
      </c>
    </row>
    <row r="19" spans="1:22" x14ac:dyDescent="0.3">
      <c r="A19" t="s">
        <v>730</v>
      </c>
      <c r="B19" t="s">
        <v>68</v>
      </c>
      <c r="C19">
        <v>131</v>
      </c>
      <c r="D19" t="s">
        <v>14</v>
      </c>
      <c r="E19" t="s">
        <v>45</v>
      </c>
      <c r="F19" s="3" t="s">
        <v>416</v>
      </c>
      <c r="G19">
        <v>20023</v>
      </c>
      <c r="H19" t="s">
        <v>18</v>
      </c>
      <c r="I19" t="s">
        <v>18</v>
      </c>
      <c r="J19" t="s">
        <v>756</v>
      </c>
      <c r="K19" t="s">
        <v>95</v>
      </c>
      <c r="L19" t="s">
        <v>95</v>
      </c>
      <c r="M19" t="s">
        <v>95</v>
      </c>
      <c r="N19" t="s">
        <v>95</v>
      </c>
      <c r="O19">
        <v>825</v>
      </c>
      <c r="P19" s="7">
        <v>19316</v>
      </c>
      <c r="Q19" s="10">
        <v>0.67</v>
      </c>
      <c r="R19">
        <v>0.08</v>
      </c>
      <c r="S19">
        <v>1.23</v>
      </c>
      <c r="T19" s="5">
        <f>O19/730</f>
        <v>1.1301369863013699</v>
      </c>
      <c r="U19" t="s">
        <v>16</v>
      </c>
      <c r="V19" t="s">
        <v>16</v>
      </c>
    </row>
    <row r="20" spans="1:22" x14ac:dyDescent="0.3">
      <c r="A20" t="s">
        <v>730</v>
      </c>
      <c r="B20" t="s">
        <v>68</v>
      </c>
      <c r="C20">
        <v>131</v>
      </c>
      <c r="D20" t="s">
        <v>14</v>
      </c>
      <c r="E20" t="s">
        <v>45</v>
      </c>
      <c r="F20" s="3" t="s">
        <v>420</v>
      </c>
      <c r="G20">
        <v>20023</v>
      </c>
      <c r="H20" t="s">
        <v>18</v>
      </c>
      <c r="I20" t="s">
        <v>18</v>
      </c>
      <c r="J20" t="s">
        <v>757</v>
      </c>
      <c r="K20" t="s">
        <v>95</v>
      </c>
      <c r="L20" t="s">
        <v>95</v>
      </c>
      <c r="M20" t="s">
        <v>95</v>
      </c>
      <c r="N20" t="s">
        <v>95</v>
      </c>
      <c r="O20">
        <v>577</v>
      </c>
      <c r="P20" s="7">
        <v>11364</v>
      </c>
      <c r="Q20" s="10">
        <v>0.82</v>
      </c>
      <c r="R20">
        <v>7.0000000000000007E-2</v>
      </c>
      <c r="S20">
        <v>1.19</v>
      </c>
      <c r="T20" s="5">
        <f>O20/730</f>
        <v>0.79041095890410962</v>
      </c>
      <c r="U20" t="s">
        <v>16</v>
      </c>
      <c r="V20" t="s">
        <v>16</v>
      </c>
    </row>
    <row r="21" spans="1:22" x14ac:dyDescent="0.3">
      <c r="A21" t="s">
        <v>730</v>
      </c>
      <c r="B21" t="s">
        <v>68</v>
      </c>
      <c r="C21">
        <v>131</v>
      </c>
      <c r="D21" t="s">
        <v>14</v>
      </c>
      <c r="E21" t="s">
        <v>45</v>
      </c>
      <c r="F21" s="3" t="s">
        <v>427</v>
      </c>
      <c r="G21">
        <v>20023</v>
      </c>
      <c r="H21" t="s">
        <v>18</v>
      </c>
      <c r="I21" t="s">
        <v>18</v>
      </c>
      <c r="J21" t="s">
        <v>734</v>
      </c>
      <c r="K21" t="s">
        <v>95</v>
      </c>
      <c r="L21" t="s">
        <v>95</v>
      </c>
      <c r="M21" t="s">
        <v>95</v>
      </c>
      <c r="N21" t="s">
        <v>758</v>
      </c>
      <c r="O21">
        <v>88</v>
      </c>
      <c r="P21" s="7">
        <v>7599</v>
      </c>
      <c r="Q21" s="10">
        <v>0.2</v>
      </c>
      <c r="R21">
        <v>0.04</v>
      </c>
      <c r="S21">
        <v>1.86</v>
      </c>
      <c r="T21" s="5">
        <f>O21/730</f>
        <v>0.12054794520547946</v>
      </c>
      <c r="U21" t="s">
        <v>16</v>
      </c>
      <c r="V21" t="s">
        <v>16</v>
      </c>
    </row>
    <row r="22" spans="1:22" x14ac:dyDescent="0.3">
      <c r="A22" t="s">
        <v>730</v>
      </c>
      <c r="B22" t="s">
        <v>68</v>
      </c>
      <c r="C22">
        <v>131</v>
      </c>
      <c r="D22" t="s">
        <v>14</v>
      </c>
      <c r="E22" t="s">
        <v>45</v>
      </c>
      <c r="F22" s="3" t="s">
        <v>759</v>
      </c>
      <c r="G22">
        <v>20023</v>
      </c>
      <c r="H22" t="s">
        <v>18</v>
      </c>
      <c r="I22" t="s">
        <v>18</v>
      </c>
      <c r="J22" t="s">
        <v>734</v>
      </c>
      <c r="K22" t="s">
        <v>95</v>
      </c>
      <c r="L22" t="s">
        <v>95</v>
      </c>
      <c r="M22" t="s">
        <v>760</v>
      </c>
      <c r="N22" t="s">
        <v>95</v>
      </c>
      <c r="O22">
        <v>287</v>
      </c>
      <c r="P22" s="7">
        <v>10035</v>
      </c>
      <c r="Q22" s="10">
        <v>0.32</v>
      </c>
      <c r="R22">
        <v>0.06</v>
      </c>
      <c r="S22">
        <v>1.34</v>
      </c>
      <c r="T22" s="5">
        <f>O22/730</f>
        <v>0.39315068493150684</v>
      </c>
      <c r="U22" t="s">
        <v>16</v>
      </c>
      <c r="V22" t="s">
        <v>16</v>
      </c>
    </row>
    <row r="23" spans="1:22" x14ac:dyDescent="0.3">
      <c r="A23" t="s">
        <v>730</v>
      </c>
      <c r="B23" t="s">
        <v>68</v>
      </c>
      <c r="C23">
        <v>131</v>
      </c>
      <c r="D23" t="s">
        <v>14</v>
      </c>
      <c r="E23" t="s">
        <v>45</v>
      </c>
      <c r="F23" s="3" t="s">
        <v>761</v>
      </c>
      <c r="G23">
        <v>20023</v>
      </c>
      <c r="H23" t="s">
        <v>18</v>
      </c>
      <c r="I23" t="s">
        <v>18</v>
      </c>
      <c r="J23" t="s">
        <v>762</v>
      </c>
      <c r="K23" t="s">
        <v>95</v>
      </c>
      <c r="L23" t="s">
        <v>95</v>
      </c>
      <c r="M23" t="s">
        <v>763</v>
      </c>
      <c r="N23" t="s">
        <v>95</v>
      </c>
      <c r="O23">
        <v>275</v>
      </c>
      <c r="P23" s="7">
        <v>9952</v>
      </c>
      <c r="Q23" s="10">
        <v>0.69</v>
      </c>
      <c r="R23">
        <v>7.0000000000000007E-2</v>
      </c>
      <c r="S23">
        <v>1.36</v>
      </c>
      <c r="T23" s="5">
        <f>O23/730</f>
        <v>0.37671232876712329</v>
      </c>
      <c r="U23" t="s">
        <v>16</v>
      </c>
      <c r="V23" t="s">
        <v>16</v>
      </c>
    </row>
    <row r="24" spans="1:22" x14ac:dyDescent="0.3">
      <c r="A24" t="s">
        <v>730</v>
      </c>
      <c r="B24" t="s">
        <v>68</v>
      </c>
      <c r="C24">
        <v>131</v>
      </c>
      <c r="D24" t="s">
        <v>14</v>
      </c>
      <c r="E24" t="s">
        <v>45</v>
      </c>
      <c r="F24" s="3" t="s">
        <v>764</v>
      </c>
      <c r="G24">
        <v>20023</v>
      </c>
      <c r="H24" t="s">
        <v>18</v>
      </c>
      <c r="I24" t="s">
        <v>18</v>
      </c>
      <c r="J24" t="s">
        <v>95</v>
      </c>
      <c r="K24" t="s">
        <v>765</v>
      </c>
      <c r="L24" t="s">
        <v>95</v>
      </c>
      <c r="M24" t="s">
        <v>763</v>
      </c>
      <c r="N24" t="s">
        <v>95</v>
      </c>
      <c r="O24">
        <v>217</v>
      </c>
      <c r="P24" s="7">
        <v>12669</v>
      </c>
      <c r="Q24" s="10">
        <v>0.66</v>
      </c>
      <c r="R24">
        <v>0.08</v>
      </c>
      <c r="S24">
        <v>1.58</v>
      </c>
      <c r="T24" s="5">
        <f>O24/730</f>
        <v>0.29726027397260274</v>
      </c>
      <c r="U24" t="s">
        <v>16</v>
      </c>
      <c r="V24" t="s">
        <v>16</v>
      </c>
    </row>
    <row r="25" spans="1:22" x14ac:dyDescent="0.3">
      <c r="A25" t="s">
        <v>730</v>
      </c>
      <c r="B25" t="s">
        <v>68</v>
      </c>
      <c r="C25">
        <v>131</v>
      </c>
      <c r="D25" t="s">
        <v>14</v>
      </c>
      <c r="E25" t="s">
        <v>45</v>
      </c>
      <c r="F25" s="3" t="s">
        <v>766</v>
      </c>
      <c r="G25">
        <v>20023</v>
      </c>
      <c r="H25" t="s">
        <v>18</v>
      </c>
      <c r="I25" t="s">
        <v>18</v>
      </c>
      <c r="J25" t="s">
        <v>95</v>
      </c>
      <c r="K25" t="s">
        <v>454</v>
      </c>
      <c r="L25" t="s">
        <v>767</v>
      </c>
      <c r="M25" t="s">
        <v>763</v>
      </c>
      <c r="N25" t="s">
        <v>95</v>
      </c>
      <c r="O25">
        <v>403</v>
      </c>
      <c r="P25" s="7">
        <v>15512</v>
      </c>
      <c r="Q25" s="10">
        <v>0.3</v>
      </c>
      <c r="R25">
        <v>0.06</v>
      </c>
      <c r="S25">
        <v>1.38</v>
      </c>
      <c r="T25" s="5">
        <f>O25/730</f>
        <v>0.55205479452054795</v>
      </c>
      <c r="U25" t="s">
        <v>16</v>
      </c>
      <c r="V25" t="s">
        <v>16</v>
      </c>
    </row>
    <row r="26" spans="1:22" x14ac:dyDescent="0.3">
      <c r="A26" t="s">
        <v>730</v>
      </c>
      <c r="B26" t="s">
        <v>68</v>
      </c>
      <c r="C26">
        <v>131</v>
      </c>
      <c r="D26" t="s">
        <v>14</v>
      </c>
      <c r="E26" t="s">
        <v>45</v>
      </c>
      <c r="F26" s="3" t="s">
        <v>768</v>
      </c>
      <c r="G26">
        <v>20023</v>
      </c>
      <c r="H26" t="s">
        <v>18</v>
      </c>
      <c r="I26" t="s">
        <v>18</v>
      </c>
      <c r="J26" t="s">
        <v>95</v>
      </c>
      <c r="K26" t="s">
        <v>454</v>
      </c>
      <c r="L26" t="s">
        <v>344</v>
      </c>
      <c r="M26" t="s">
        <v>769</v>
      </c>
      <c r="N26" t="s">
        <v>95</v>
      </c>
      <c r="O26">
        <v>296</v>
      </c>
      <c r="P26" s="7">
        <v>7351</v>
      </c>
      <c r="Q26" s="10">
        <v>0.31</v>
      </c>
      <c r="R26">
        <v>0.06</v>
      </c>
      <c r="S26">
        <v>1.24</v>
      </c>
      <c r="T26" s="5">
        <f>O26/730</f>
        <v>0.40547945205479452</v>
      </c>
      <c r="U26" t="s">
        <v>16</v>
      </c>
      <c r="V26" t="s">
        <v>16</v>
      </c>
    </row>
    <row r="27" spans="1:22" x14ac:dyDescent="0.3">
      <c r="A27" t="s">
        <v>730</v>
      </c>
      <c r="B27" t="s">
        <v>68</v>
      </c>
      <c r="C27">
        <v>131</v>
      </c>
      <c r="D27" t="s">
        <v>14</v>
      </c>
      <c r="E27" t="s">
        <v>45</v>
      </c>
      <c r="F27" s="3" t="s">
        <v>111</v>
      </c>
      <c r="G27">
        <v>20023</v>
      </c>
      <c r="H27" t="s">
        <v>18</v>
      </c>
      <c r="I27" t="s">
        <v>18</v>
      </c>
      <c r="J27" t="s">
        <v>95</v>
      </c>
      <c r="K27" t="s">
        <v>771</v>
      </c>
      <c r="L27" t="s">
        <v>344</v>
      </c>
      <c r="M27" t="s">
        <v>770</v>
      </c>
      <c r="N27" t="s">
        <v>95</v>
      </c>
      <c r="O27">
        <v>471</v>
      </c>
      <c r="P27" s="7">
        <v>14335</v>
      </c>
      <c r="Q27" s="10">
        <v>0.51</v>
      </c>
      <c r="R27">
        <v>7.0000000000000007E-2</v>
      </c>
      <c r="S27">
        <v>1.3</v>
      </c>
      <c r="T27" s="5">
        <f>O27/730</f>
        <v>0.64520547945205475</v>
      </c>
      <c r="U27" t="s">
        <v>16</v>
      </c>
      <c r="V27" t="s">
        <v>16</v>
      </c>
    </row>
    <row r="28" spans="1:22" x14ac:dyDescent="0.3">
      <c r="A28" t="s">
        <v>730</v>
      </c>
      <c r="B28" t="s">
        <v>68</v>
      </c>
      <c r="C28">
        <v>131</v>
      </c>
      <c r="D28" t="s">
        <v>14</v>
      </c>
      <c r="E28" t="s">
        <v>45</v>
      </c>
      <c r="F28" s="3" t="s">
        <v>111</v>
      </c>
      <c r="G28">
        <v>20023</v>
      </c>
      <c r="H28" t="s">
        <v>18</v>
      </c>
      <c r="I28" t="s">
        <v>18</v>
      </c>
      <c r="J28" t="s">
        <v>95</v>
      </c>
      <c r="K28" t="s">
        <v>95</v>
      </c>
      <c r="L28" t="s">
        <v>772</v>
      </c>
      <c r="M28" t="s">
        <v>770</v>
      </c>
      <c r="N28" t="s">
        <v>95</v>
      </c>
      <c r="O28">
        <v>236</v>
      </c>
      <c r="P28" s="7">
        <v>6457</v>
      </c>
      <c r="Q28" s="10">
        <v>0.34</v>
      </c>
      <c r="R28">
        <v>7.0000000000000007E-2</v>
      </c>
      <c r="S28">
        <v>1.27</v>
      </c>
      <c r="T28" s="5">
        <f>O28/730</f>
        <v>0.32328767123287672</v>
      </c>
      <c r="U28" t="s">
        <v>16</v>
      </c>
      <c r="V28" t="s">
        <v>16</v>
      </c>
    </row>
    <row r="29" spans="1:22" x14ac:dyDescent="0.3">
      <c r="A29" t="s">
        <v>730</v>
      </c>
      <c r="B29" t="s">
        <v>68</v>
      </c>
      <c r="C29">
        <v>131</v>
      </c>
      <c r="D29" t="s">
        <v>14</v>
      </c>
      <c r="E29" t="s">
        <v>45</v>
      </c>
      <c r="F29" s="3" t="s">
        <v>773</v>
      </c>
      <c r="G29">
        <v>20023</v>
      </c>
      <c r="H29" t="s">
        <v>18</v>
      </c>
      <c r="I29" t="s">
        <v>18</v>
      </c>
      <c r="J29" t="s">
        <v>95</v>
      </c>
      <c r="K29" t="s">
        <v>95</v>
      </c>
      <c r="L29" t="s">
        <v>729</v>
      </c>
      <c r="M29" t="s">
        <v>770</v>
      </c>
      <c r="N29" t="s">
        <v>774</v>
      </c>
      <c r="O29">
        <v>262</v>
      </c>
      <c r="P29" s="7">
        <v>3560</v>
      </c>
      <c r="Q29" s="10">
        <v>0.33</v>
      </c>
      <c r="R29">
        <v>0.12</v>
      </c>
      <c r="S29">
        <v>1.1299999999999999</v>
      </c>
      <c r="T29" s="5">
        <f>O29/730</f>
        <v>0.35890410958904112</v>
      </c>
      <c r="U29" t="s">
        <v>16</v>
      </c>
      <c r="V29" t="s">
        <v>16</v>
      </c>
    </row>
    <row r="30" spans="1:22" x14ac:dyDescent="0.3">
      <c r="A30" t="s">
        <v>730</v>
      </c>
      <c r="B30" t="s">
        <v>68</v>
      </c>
      <c r="C30">
        <v>131</v>
      </c>
      <c r="D30" t="s">
        <v>14</v>
      </c>
      <c r="E30" t="s">
        <v>45</v>
      </c>
      <c r="F30" s="3" t="s">
        <v>775</v>
      </c>
      <c r="G30">
        <v>20023</v>
      </c>
      <c r="H30" t="s">
        <v>18</v>
      </c>
      <c r="I30" t="s">
        <v>18</v>
      </c>
      <c r="J30" t="s">
        <v>95</v>
      </c>
      <c r="K30" t="s">
        <v>95</v>
      </c>
      <c r="L30" t="s">
        <v>729</v>
      </c>
      <c r="M30" t="s">
        <v>770</v>
      </c>
      <c r="N30" t="s">
        <v>776</v>
      </c>
      <c r="O30">
        <v>162</v>
      </c>
      <c r="P30" s="7">
        <v>5257</v>
      </c>
      <c r="Q30" s="10">
        <v>0.42</v>
      </c>
      <c r="R30">
        <v>0.08</v>
      </c>
      <c r="S30">
        <v>1.32</v>
      </c>
      <c r="T30" s="5">
        <f>O30/730</f>
        <v>0.22191780821917809</v>
      </c>
      <c r="U30" t="s">
        <v>16</v>
      </c>
      <c r="V30" t="s">
        <v>16</v>
      </c>
    </row>
    <row r="31" spans="1:22" x14ac:dyDescent="0.3">
      <c r="A31" t="s">
        <v>730</v>
      </c>
      <c r="B31" t="s">
        <v>68</v>
      </c>
      <c r="C31">
        <v>131</v>
      </c>
      <c r="D31" t="s">
        <v>14</v>
      </c>
      <c r="E31" t="s">
        <v>45</v>
      </c>
      <c r="F31" s="3" t="s">
        <v>777</v>
      </c>
      <c r="G31">
        <v>20023</v>
      </c>
      <c r="H31" t="s">
        <v>18</v>
      </c>
      <c r="I31" t="s">
        <v>18</v>
      </c>
      <c r="J31" t="s">
        <v>95</v>
      </c>
      <c r="K31" t="s">
        <v>778</v>
      </c>
      <c r="L31" t="s">
        <v>729</v>
      </c>
      <c r="M31" t="s">
        <v>770</v>
      </c>
      <c r="N31" t="s">
        <v>95</v>
      </c>
      <c r="O31">
        <v>187</v>
      </c>
      <c r="P31" s="7">
        <v>4826</v>
      </c>
      <c r="Q31" s="10">
        <v>0.31</v>
      </c>
      <c r="R31">
        <v>0.04</v>
      </c>
      <c r="S31">
        <v>1.26</v>
      </c>
      <c r="T31" s="5">
        <f>O31/730</f>
        <v>0.25616438356164384</v>
      </c>
      <c r="U31" t="s">
        <v>16</v>
      </c>
      <c r="V31" t="s">
        <v>16</v>
      </c>
    </row>
    <row r="32" spans="1:22" x14ac:dyDescent="0.3">
      <c r="A32" t="s">
        <v>730</v>
      </c>
      <c r="B32" t="s">
        <v>68</v>
      </c>
      <c r="C32">
        <v>131</v>
      </c>
      <c r="D32" t="s">
        <v>14</v>
      </c>
      <c r="E32" t="s">
        <v>45</v>
      </c>
      <c r="F32" s="3" t="s">
        <v>779</v>
      </c>
      <c r="G32">
        <v>20023</v>
      </c>
      <c r="H32" t="s">
        <v>18</v>
      </c>
      <c r="I32" t="s">
        <v>18</v>
      </c>
      <c r="J32" t="s">
        <v>95</v>
      </c>
      <c r="K32" t="s">
        <v>780</v>
      </c>
      <c r="L32" t="s">
        <v>729</v>
      </c>
      <c r="M32" t="s">
        <v>770</v>
      </c>
      <c r="N32" t="s">
        <v>95</v>
      </c>
      <c r="O32">
        <v>170</v>
      </c>
      <c r="P32" s="7">
        <v>6837</v>
      </c>
      <c r="Q32" s="10">
        <v>0.37</v>
      </c>
      <c r="R32">
        <v>0.05</v>
      </c>
      <c r="S32">
        <v>1.4</v>
      </c>
      <c r="T32" s="5">
        <f>O32/730</f>
        <v>0.23287671232876711</v>
      </c>
      <c r="U32" t="s">
        <v>16</v>
      </c>
      <c r="V32" t="s">
        <v>16</v>
      </c>
    </row>
    <row r="33" spans="1:22" x14ac:dyDescent="0.3">
      <c r="A33" t="s">
        <v>730</v>
      </c>
      <c r="B33" t="s">
        <v>68</v>
      </c>
      <c r="C33">
        <v>131</v>
      </c>
      <c r="D33" t="s">
        <v>14</v>
      </c>
      <c r="E33" t="s">
        <v>45</v>
      </c>
      <c r="F33" s="3" t="s">
        <v>781</v>
      </c>
      <c r="G33">
        <v>20023</v>
      </c>
      <c r="H33" t="s">
        <v>18</v>
      </c>
      <c r="I33" t="s">
        <v>18</v>
      </c>
      <c r="J33" t="s">
        <v>95</v>
      </c>
      <c r="K33" t="s">
        <v>734</v>
      </c>
      <c r="L33" t="s">
        <v>729</v>
      </c>
      <c r="M33" t="s">
        <v>770</v>
      </c>
      <c r="N33" t="s">
        <v>782</v>
      </c>
      <c r="O33">
        <v>208</v>
      </c>
      <c r="P33" s="7">
        <v>9257</v>
      </c>
      <c r="Q33" s="10">
        <v>0.25</v>
      </c>
      <c r="R33">
        <v>0.05</v>
      </c>
      <c r="S33">
        <v>1.44</v>
      </c>
      <c r="T33" s="5">
        <f>O33/730</f>
        <v>0.28493150684931506</v>
      </c>
      <c r="U33" t="s">
        <v>16</v>
      </c>
      <c r="V33" t="s">
        <v>16</v>
      </c>
    </row>
    <row r="34" spans="1:22" x14ac:dyDescent="0.3">
      <c r="A34" t="s">
        <v>730</v>
      </c>
      <c r="B34" t="s">
        <v>68</v>
      </c>
      <c r="C34">
        <v>131</v>
      </c>
      <c r="D34" t="s">
        <v>14</v>
      </c>
      <c r="E34" t="s">
        <v>45</v>
      </c>
      <c r="F34" s="3" t="s">
        <v>130</v>
      </c>
      <c r="G34">
        <v>20023</v>
      </c>
      <c r="H34" t="s">
        <v>18</v>
      </c>
      <c r="I34" t="s">
        <v>18</v>
      </c>
      <c r="J34" t="s">
        <v>783</v>
      </c>
      <c r="K34" t="s">
        <v>734</v>
      </c>
      <c r="L34" t="s">
        <v>729</v>
      </c>
      <c r="M34" t="s">
        <v>770</v>
      </c>
      <c r="N34" t="s">
        <v>729</v>
      </c>
      <c r="O34">
        <v>256</v>
      </c>
      <c r="P34" s="7">
        <v>16688</v>
      </c>
      <c r="Q34" s="10">
        <v>0.57999999999999996</v>
      </c>
      <c r="R34">
        <v>7.0000000000000007E-2</v>
      </c>
      <c r="S34">
        <v>1.65</v>
      </c>
      <c r="T34" s="5">
        <f>O34/730</f>
        <v>0.35068493150684932</v>
      </c>
      <c r="U34" t="s">
        <v>16</v>
      </c>
      <c r="V34" t="s">
        <v>16</v>
      </c>
    </row>
    <row r="35" spans="1:22" x14ac:dyDescent="0.3">
      <c r="A35" t="s">
        <v>730</v>
      </c>
      <c r="B35" t="s">
        <v>68</v>
      </c>
      <c r="C35">
        <v>131</v>
      </c>
      <c r="D35" t="s">
        <v>14</v>
      </c>
      <c r="E35" t="s">
        <v>45</v>
      </c>
      <c r="F35" s="3" t="s">
        <v>784</v>
      </c>
      <c r="G35">
        <v>20023</v>
      </c>
      <c r="H35" t="s">
        <v>18</v>
      </c>
      <c r="I35" t="s">
        <v>18</v>
      </c>
      <c r="J35" t="s">
        <v>95</v>
      </c>
      <c r="K35" t="s">
        <v>734</v>
      </c>
      <c r="L35" t="s">
        <v>729</v>
      </c>
      <c r="M35" t="s">
        <v>785</v>
      </c>
      <c r="N35" t="s">
        <v>729</v>
      </c>
      <c r="O35">
        <v>100</v>
      </c>
      <c r="P35" s="7">
        <v>4016</v>
      </c>
      <c r="Q35" s="10">
        <v>0.28000000000000003</v>
      </c>
      <c r="R35">
        <v>0.05</v>
      </c>
      <c r="S35">
        <v>1.4</v>
      </c>
      <c r="T35" s="5">
        <f>O35/730</f>
        <v>0.13698630136986301</v>
      </c>
      <c r="U35" t="s">
        <v>16</v>
      </c>
      <c r="V35" t="s">
        <v>16</v>
      </c>
    </row>
    <row r="36" spans="1:22" x14ac:dyDescent="0.3">
      <c r="A36" t="s">
        <v>730</v>
      </c>
      <c r="B36" t="s">
        <v>68</v>
      </c>
      <c r="C36">
        <v>131</v>
      </c>
      <c r="D36" t="s">
        <v>14</v>
      </c>
      <c r="E36" t="s">
        <v>45</v>
      </c>
      <c r="F36" s="3" t="s">
        <v>786</v>
      </c>
      <c r="G36">
        <v>20023</v>
      </c>
      <c r="H36" t="s">
        <v>18</v>
      </c>
      <c r="I36" t="s">
        <v>18</v>
      </c>
      <c r="J36" t="s">
        <v>95</v>
      </c>
      <c r="K36" t="s">
        <v>734</v>
      </c>
      <c r="L36" t="s">
        <v>729</v>
      </c>
      <c r="M36" t="s">
        <v>95</v>
      </c>
      <c r="N36" t="s">
        <v>787</v>
      </c>
      <c r="O36">
        <v>399</v>
      </c>
      <c r="P36" s="7">
        <v>11011</v>
      </c>
      <c r="Q36" s="10">
        <v>0.33</v>
      </c>
      <c r="R36">
        <v>0.05</v>
      </c>
      <c r="S36">
        <v>1.27</v>
      </c>
      <c r="T36" s="5">
        <f>O36/730</f>
        <v>0.54657534246575346</v>
      </c>
      <c r="U36" t="s">
        <v>16</v>
      </c>
      <c r="V36" t="s">
        <v>16</v>
      </c>
    </row>
    <row r="37" spans="1:22" x14ac:dyDescent="0.3">
      <c r="A37" t="s">
        <v>730</v>
      </c>
      <c r="B37" t="s">
        <v>68</v>
      </c>
      <c r="C37">
        <v>131</v>
      </c>
      <c r="D37" t="s">
        <v>14</v>
      </c>
      <c r="E37" t="s">
        <v>45</v>
      </c>
      <c r="F37" s="3" t="s">
        <v>141</v>
      </c>
      <c r="G37">
        <v>20023</v>
      </c>
      <c r="H37" t="s">
        <v>18</v>
      </c>
      <c r="I37" t="s">
        <v>18</v>
      </c>
      <c r="J37" t="s">
        <v>95</v>
      </c>
      <c r="K37" t="s">
        <v>788</v>
      </c>
      <c r="L37" t="s">
        <v>729</v>
      </c>
      <c r="M37" t="s">
        <v>95</v>
      </c>
      <c r="N37" t="s">
        <v>789</v>
      </c>
      <c r="O37">
        <v>296</v>
      </c>
      <c r="P37" s="7">
        <v>11836</v>
      </c>
      <c r="Q37" s="10">
        <v>0.22</v>
      </c>
      <c r="R37">
        <v>0.05</v>
      </c>
      <c r="S37">
        <v>1.39</v>
      </c>
      <c r="T37" s="5">
        <f>O37/730</f>
        <v>0.40547945205479452</v>
      </c>
      <c r="U37" t="s">
        <v>16</v>
      </c>
      <c r="V37" t="s">
        <v>16</v>
      </c>
    </row>
    <row r="38" spans="1:22" x14ac:dyDescent="0.3">
      <c r="A38" t="s">
        <v>730</v>
      </c>
      <c r="B38" t="s">
        <v>68</v>
      </c>
      <c r="C38">
        <v>131</v>
      </c>
      <c r="D38" t="s">
        <v>14</v>
      </c>
      <c r="E38" t="s">
        <v>45</v>
      </c>
      <c r="F38" s="3" t="s">
        <v>143</v>
      </c>
      <c r="G38">
        <v>20023</v>
      </c>
      <c r="H38" t="s">
        <v>18</v>
      </c>
      <c r="I38" t="s">
        <v>18</v>
      </c>
      <c r="J38" t="s">
        <v>95</v>
      </c>
      <c r="K38" t="s">
        <v>790</v>
      </c>
      <c r="L38" t="s">
        <v>729</v>
      </c>
      <c r="M38" t="s">
        <v>95</v>
      </c>
      <c r="N38" t="s">
        <v>789</v>
      </c>
      <c r="O38">
        <v>142</v>
      </c>
      <c r="P38" s="7">
        <v>5525</v>
      </c>
      <c r="Q38" s="10">
        <v>0.25</v>
      </c>
      <c r="R38">
        <v>0.08</v>
      </c>
      <c r="S38">
        <v>1.38</v>
      </c>
      <c r="T38" s="5">
        <f>O38/730</f>
        <v>0.19452054794520549</v>
      </c>
      <c r="U38" t="s">
        <v>16</v>
      </c>
      <c r="V38" t="s">
        <v>16</v>
      </c>
    </row>
    <row r="39" spans="1:22" x14ac:dyDescent="0.3">
      <c r="A39" t="s">
        <v>730</v>
      </c>
      <c r="B39" t="s">
        <v>68</v>
      </c>
      <c r="C39">
        <v>131</v>
      </c>
      <c r="D39" t="s">
        <v>14</v>
      </c>
      <c r="E39" t="s">
        <v>45</v>
      </c>
      <c r="F39" s="3" t="s">
        <v>791</v>
      </c>
      <c r="G39">
        <v>20023</v>
      </c>
      <c r="H39" t="s">
        <v>18</v>
      </c>
      <c r="I39" t="s">
        <v>18</v>
      </c>
      <c r="J39" t="s">
        <v>95</v>
      </c>
      <c r="K39" t="s">
        <v>792</v>
      </c>
      <c r="L39" t="s">
        <v>793</v>
      </c>
      <c r="M39" t="s">
        <v>95</v>
      </c>
      <c r="N39" t="s">
        <v>789</v>
      </c>
      <c r="O39">
        <v>165</v>
      </c>
      <c r="P39" s="7">
        <v>6902</v>
      </c>
      <c r="Q39" s="10">
        <v>0.43</v>
      </c>
      <c r="R39">
        <v>7.0000000000000007E-2</v>
      </c>
      <c r="S39">
        <v>1.41</v>
      </c>
      <c r="T39" s="5">
        <f>O39/730</f>
        <v>0.22602739726027396</v>
      </c>
      <c r="U39" t="s">
        <v>16</v>
      </c>
      <c r="V39" t="s">
        <v>16</v>
      </c>
    </row>
    <row r="40" spans="1:22" x14ac:dyDescent="0.3">
      <c r="A40" t="s">
        <v>730</v>
      </c>
      <c r="B40" t="s">
        <v>68</v>
      </c>
      <c r="C40">
        <v>131</v>
      </c>
      <c r="D40" t="s">
        <v>14</v>
      </c>
      <c r="E40" t="s">
        <v>45</v>
      </c>
      <c r="F40" s="3" t="s">
        <v>794</v>
      </c>
      <c r="G40">
        <v>20023</v>
      </c>
      <c r="H40" t="s">
        <v>18</v>
      </c>
      <c r="I40" t="s">
        <v>18</v>
      </c>
      <c r="J40" t="s">
        <v>95</v>
      </c>
      <c r="K40" t="s">
        <v>792</v>
      </c>
      <c r="L40" t="s">
        <v>95</v>
      </c>
      <c r="M40" t="s">
        <v>795</v>
      </c>
      <c r="N40" t="s">
        <v>789</v>
      </c>
      <c r="O40">
        <v>397</v>
      </c>
      <c r="P40" s="7">
        <v>7166</v>
      </c>
      <c r="Q40" s="10">
        <v>0.48</v>
      </c>
      <c r="R40">
        <v>0.11</v>
      </c>
      <c r="S40">
        <v>1.18</v>
      </c>
      <c r="T40" s="5">
        <f>O40/730</f>
        <v>0.54383561643835621</v>
      </c>
      <c r="U40" t="s">
        <v>16</v>
      </c>
      <c r="V40" t="s">
        <v>16</v>
      </c>
    </row>
    <row r="41" spans="1:22" x14ac:dyDescent="0.3">
      <c r="A41" t="s">
        <v>730</v>
      </c>
      <c r="B41" t="s">
        <v>68</v>
      </c>
      <c r="C41">
        <v>131</v>
      </c>
      <c r="D41" t="s">
        <v>14</v>
      </c>
      <c r="E41" t="s">
        <v>45</v>
      </c>
      <c r="F41" s="3" t="s">
        <v>145</v>
      </c>
      <c r="G41">
        <v>20023</v>
      </c>
      <c r="H41" t="s">
        <v>18</v>
      </c>
      <c r="I41" t="s">
        <v>18</v>
      </c>
      <c r="J41" t="s">
        <v>95</v>
      </c>
      <c r="K41" t="s">
        <v>792</v>
      </c>
      <c r="L41" t="s">
        <v>95</v>
      </c>
      <c r="M41" t="s">
        <v>344</v>
      </c>
      <c r="N41" t="s">
        <v>260</v>
      </c>
      <c r="O41">
        <v>325</v>
      </c>
      <c r="P41" s="7">
        <v>13769</v>
      </c>
      <c r="Q41" s="10">
        <v>0.62</v>
      </c>
      <c r="R41">
        <v>0.08</v>
      </c>
      <c r="S41">
        <v>1.42</v>
      </c>
      <c r="T41" s="5">
        <f>O41/730</f>
        <v>0.4452054794520548</v>
      </c>
      <c r="U41" t="s">
        <v>16</v>
      </c>
      <c r="V41" t="s">
        <v>16</v>
      </c>
    </row>
    <row r="42" spans="1:22" x14ac:dyDescent="0.3">
      <c r="A42" t="s">
        <v>730</v>
      </c>
      <c r="B42" t="s">
        <v>68</v>
      </c>
      <c r="C42">
        <v>131</v>
      </c>
      <c r="D42" t="s">
        <v>14</v>
      </c>
      <c r="E42" t="s">
        <v>45</v>
      </c>
      <c r="F42" s="3" t="s">
        <v>510</v>
      </c>
      <c r="G42">
        <v>20023</v>
      </c>
      <c r="H42" t="s">
        <v>18</v>
      </c>
      <c r="I42" t="s">
        <v>18</v>
      </c>
      <c r="J42" t="s">
        <v>95</v>
      </c>
      <c r="K42" t="s">
        <v>792</v>
      </c>
      <c r="L42" t="s">
        <v>95</v>
      </c>
      <c r="M42" t="s">
        <v>344</v>
      </c>
      <c r="N42" t="s">
        <v>796</v>
      </c>
      <c r="O42">
        <v>74</v>
      </c>
      <c r="P42" s="7">
        <v>7457</v>
      </c>
      <c r="Q42" s="10">
        <v>0.26</v>
      </c>
      <c r="R42">
        <v>0.08</v>
      </c>
      <c r="S42">
        <v>2</v>
      </c>
      <c r="T42" s="5">
        <f>O42/730</f>
        <v>0.10136986301369863</v>
      </c>
      <c r="U42" t="s">
        <v>16</v>
      </c>
      <c r="V42" t="s">
        <v>16</v>
      </c>
    </row>
    <row r="43" spans="1:22" x14ac:dyDescent="0.3">
      <c r="A43" t="s">
        <v>730</v>
      </c>
      <c r="B43" t="s">
        <v>68</v>
      </c>
      <c r="C43">
        <v>131</v>
      </c>
      <c r="D43" t="s">
        <v>14</v>
      </c>
      <c r="E43" t="s">
        <v>45</v>
      </c>
      <c r="F43" s="3" t="s">
        <v>797</v>
      </c>
      <c r="G43">
        <v>20023</v>
      </c>
      <c r="H43" t="s">
        <v>18</v>
      </c>
      <c r="I43" t="s">
        <v>18</v>
      </c>
      <c r="J43" t="s">
        <v>95</v>
      </c>
      <c r="K43" t="s">
        <v>792</v>
      </c>
      <c r="L43" t="s">
        <v>798</v>
      </c>
      <c r="M43" t="s">
        <v>344</v>
      </c>
      <c r="N43" t="s">
        <v>95</v>
      </c>
      <c r="O43">
        <v>110</v>
      </c>
      <c r="P43" s="7">
        <v>1666</v>
      </c>
      <c r="Q43" s="10">
        <v>0.28999999999999998</v>
      </c>
      <c r="R43">
        <v>0.06</v>
      </c>
      <c r="S43">
        <v>1.1499999999999999</v>
      </c>
      <c r="T43" s="5">
        <f>O43/730</f>
        <v>0.15068493150684931</v>
      </c>
      <c r="U43" t="s">
        <v>16</v>
      </c>
      <c r="V43" t="s">
        <v>16</v>
      </c>
    </row>
    <row r="44" spans="1:22" x14ac:dyDescent="0.3">
      <c r="A44" t="s">
        <v>730</v>
      </c>
      <c r="B44" t="s">
        <v>68</v>
      </c>
      <c r="C44">
        <v>131</v>
      </c>
      <c r="D44" t="s">
        <v>14</v>
      </c>
      <c r="E44" t="s">
        <v>45</v>
      </c>
      <c r="F44" s="3" t="s">
        <v>147</v>
      </c>
      <c r="G44">
        <v>20023</v>
      </c>
      <c r="H44" t="s">
        <v>18</v>
      </c>
      <c r="I44" t="s">
        <v>18</v>
      </c>
      <c r="J44" t="s">
        <v>800</v>
      </c>
      <c r="K44" t="s">
        <v>792</v>
      </c>
      <c r="L44" t="s">
        <v>799</v>
      </c>
      <c r="M44" t="s">
        <v>344</v>
      </c>
      <c r="N44" t="s">
        <v>95</v>
      </c>
      <c r="O44">
        <v>428</v>
      </c>
      <c r="P44" s="7">
        <v>8032</v>
      </c>
      <c r="Q44" s="10">
        <v>0.53</v>
      </c>
      <c r="R44">
        <v>0.06</v>
      </c>
      <c r="S44">
        <v>1.18</v>
      </c>
      <c r="T44" s="5">
        <f>O44/730</f>
        <v>0.58630136986301373</v>
      </c>
      <c r="U44" t="s">
        <v>16</v>
      </c>
      <c r="V44" t="s">
        <v>16</v>
      </c>
    </row>
    <row r="45" spans="1:22" x14ac:dyDescent="0.3">
      <c r="A45" t="s">
        <v>730</v>
      </c>
      <c r="B45" t="s">
        <v>68</v>
      </c>
      <c r="C45">
        <v>131</v>
      </c>
      <c r="D45" t="s">
        <v>14</v>
      </c>
      <c r="E45" t="s">
        <v>45</v>
      </c>
      <c r="F45" s="3" t="s">
        <v>801</v>
      </c>
      <c r="G45">
        <v>20023</v>
      </c>
      <c r="H45" t="s">
        <v>18</v>
      </c>
      <c r="I45" t="s">
        <v>18</v>
      </c>
      <c r="J45" t="s">
        <v>802</v>
      </c>
      <c r="K45" t="s">
        <v>792</v>
      </c>
      <c r="L45" t="s">
        <v>799</v>
      </c>
      <c r="M45" t="s">
        <v>344</v>
      </c>
      <c r="N45" t="s">
        <v>95</v>
      </c>
      <c r="O45">
        <v>209</v>
      </c>
      <c r="P45" s="7">
        <v>8114</v>
      </c>
      <c r="Q45" s="10">
        <v>0.32</v>
      </c>
      <c r="R45">
        <v>0.06</v>
      </c>
      <c r="S45">
        <v>1.38</v>
      </c>
      <c r="T45" s="5">
        <f>O45/730</f>
        <v>0.28630136986301369</v>
      </c>
      <c r="U45" t="s">
        <v>16</v>
      </c>
      <c r="V45" t="s">
        <v>16</v>
      </c>
    </row>
    <row r="46" spans="1:22" x14ac:dyDescent="0.3">
      <c r="A46" t="s">
        <v>730</v>
      </c>
      <c r="B46" t="s">
        <v>68</v>
      </c>
      <c r="C46">
        <v>131</v>
      </c>
      <c r="D46" t="s">
        <v>14</v>
      </c>
      <c r="E46" t="s">
        <v>45</v>
      </c>
      <c r="F46" s="3" t="s">
        <v>151</v>
      </c>
      <c r="G46">
        <v>20023</v>
      </c>
      <c r="H46" t="s">
        <v>18</v>
      </c>
      <c r="I46" t="s">
        <v>18</v>
      </c>
      <c r="J46" t="s">
        <v>344</v>
      </c>
      <c r="K46" t="s">
        <v>792</v>
      </c>
      <c r="L46" t="s">
        <v>803</v>
      </c>
      <c r="M46" t="s">
        <v>344</v>
      </c>
      <c r="N46" t="s">
        <v>95</v>
      </c>
      <c r="O46">
        <v>111</v>
      </c>
      <c r="P46" s="7">
        <v>3677</v>
      </c>
      <c r="Q46" s="10">
        <v>0.25</v>
      </c>
      <c r="R46">
        <v>0.08</v>
      </c>
      <c r="S46">
        <v>1.33</v>
      </c>
      <c r="T46" s="5">
        <f>O46/730</f>
        <v>0.15205479452054796</v>
      </c>
      <c r="U46" t="s">
        <v>16</v>
      </c>
      <c r="V46" t="s">
        <v>16</v>
      </c>
    </row>
    <row r="47" spans="1:22" x14ac:dyDescent="0.3">
      <c r="A47" t="s">
        <v>730</v>
      </c>
      <c r="B47" t="s">
        <v>68</v>
      </c>
      <c r="C47">
        <v>131</v>
      </c>
      <c r="D47" t="s">
        <v>14</v>
      </c>
      <c r="E47" t="s">
        <v>45</v>
      </c>
      <c r="F47" s="3" t="s">
        <v>804</v>
      </c>
      <c r="G47">
        <v>20023</v>
      </c>
      <c r="H47" t="s">
        <v>18</v>
      </c>
      <c r="I47" t="s">
        <v>18</v>
      </c>
      <c r="J47" t="s">
        <v>344</v>
      </c>
      <c r="K47" t="s">
        <v>805</v>
      </c>
      <c r="L47" t="s">
        <v>344</v>
      </c>
      <c r="M47" t="s">
        <v>344</v>
      </c>
      <c r="N47" t="s">
        <v>95</v>
      </c>
      <c r="O47">
        <v>52</v>
      </c>
      <c r="P47" s="7">
        <v>6418</v>
      </c>
      <c r="Q47" s="10">
        <v>0.35</v>
      </c>
      <c r="R47">
        <v>7.0000000000000007E-2</v>
      </c>
      <c r="S47">
        <v>2.23</v>
      </c>
      <c r="T47" s="5">
        <f>O47/730</f>
        <v>7.1232876712328766E-2</v>
      </c>
      <c r="U47" t="s">
        <v>16</v>
      </c>
      <c r="V47" t="s">
        <v>16</v>
      </c>
    </row>
    <row r="48" spans="1:22" x14ac:dyDescent="0.3">
      <c r="A48" t="s">
        <v>730</v>
      </c>
      <c r="B48" t="s">
        <v>68</v>
      </c>
      <c r="C48">
        <v>131</v>
      </c>
      <c r="D48" t="s">
        <v>14</v>
      </c>
      <c r="E48" t="s">
        <v>45</v>
      </c>
      <c r="F48" s="3" t="s">
        <v>806</v>
      </c>
      <c r="G48">
        <v>20023</v>
      </c>
      <c r="H48" t="s">
        <v>18</v>
      </c>
      <c r="I48" t="s">
        <v>18</v>
      </c>
      <c r="J48" t="s">
        <v>344</v>
      </c>
      <c r="K48" t="s">
        <v>807</v>
      </c>
      <c r="L48" t="s">
        <v>344</v>
      </c>
      <c r="M48" t="s">
        <v>344</v>
      </c>
      <c r="N48" t="s">
        <v>95</v>
      </c>
      <c r="O48">
        <v>52</v>
      </c>
      <c r="P48" s="7">
        <v>4446</v>
      </c>
      <c r="Q48" s="10">
        <v>0.42</v>
      </c>
      <c r="R48">
        <v>0.09</v>
      </c>
      <c r="S48">
        <v>1.85</v>
      </c>
      <c r="T48" s="5">
        <f>O48/730</f>
        <v>7.1232876712328766E-2</v>
      </c>
      <c r="U48" t="s">
        <v>16</v>
      </c>
      <c r="V48" t="s">
        <v>16</v>
      </c>
    </row>
    <row r="49" spans="1:22" x14ac:dyDescent="0.3">
      <c r="A49" t="s">
        <v>730</v>
      </c>
      <c r="B49" t="s">
        <v>68</v>
      </c>
      <c r="C49">
        <v>131</v>
      </c>
      <c r="D49" t="s">
        <v>14</v>
      </c>
      <c r="E49" t="s">
        <v>45</v>
      </c>
      <c r="F49" s="3" t="s">
        <v>155</v>
      </c>
      <c r="G49">
        <v>20023</v>
      </c>
      <c r="H49" t="s">
        <v>18</v>
      </c>
      <c r="I49" t="s">
        <v>18</v>
      </c>
      <c r="J49" t="s">
        <v>344</v>
      </c>
      <c r="K49" t="s">
        <v>808</v>
      </c>
      <c r="L49" t="s">
        <v>344</v>
      </c>
      <c r="M49" t="s">
        <v>344</v>
      </c>
      <c r="N49" t="s">
        <v>283</v>
      </c>
      <c r="O49">
        <v>118</v>
      </c>
      <c r="P49" s="7">
        <v>2538</v>
      </c>
      <c r="Q49" s="10">
        <v>0.32</v>
      </c>
      <c r="R49">
        <v>0.05</v>
      </c>
      <c r="S49">
        <v>1.21</v>
      </c>
      <c r="T49" s="5">
        <f>O49/730</f>
        <v>0.16164383561643836</v>
      </c>
      <c r="U49" t="s">
        <v>16</v>
      </c>
      <c r="V49" t="s">
        <v>16</v>
      </c>
    </row>
    <row r="50" spans="1:22" x14ac:dyDescent="0.3">
      <c r="A50" t="s">
        <v>730</v>
      </c>
      <c r="B50" t="s">
        <v>68</v>
      </c>
      <c r="C50">
        <v>131</v>
      </c>
      <c r="D50" t="s">
        <v>14</v>
      </c>
      <c r="E50" t="s">
        <v>45</v>
      </c>
      <c r="F50" s="3" t="s">
        <v>157</v>
      </c>
      <c r="G50">
        <v>20023</v>
      </c>
      <c r="H50" t="s">
        <v>18</v>
      </c>
      <c r="I50" t="s">
        <v>18</v>
      </c>
      <c r="J50" t="s">
        <v>344</v>
      </c>
      <c r="K50" t="s">
        <v>809</v>
      </c>
      <c r="L50" t="s">
        <v>344</v>
      </c>
      <c r="M50" t="s">
        <v>344</v>
      </c>
      <c r="N50" t="s">
        <v>95</v>
      </c>
      <c r="O50">
        <v>166</v>
      </c>
      <c r="P50" s="7">
        <v>6571</v>
      </c>
      <c r="Q50" s="10">
        <v>0.7</v>
      </c>
      <c r="R50">
        <v>7.0000000000000007E-2</v>
      </c>
      <c r="S50">
        <v>1.39</v>
      </c>
      <c r="T50" s="5">
        <f>O50/730</f>
        <v>0.22739726027397261</v>
      </c>
      <c r="U50" t="s">
        <v>16</v>
      </c>
      <c r="V50" t="s">
        <v>16</v>
      </c>
    </row>
    <row r="51" spans="1:22" x14ac:dyDescent="0.3">
      <c r="A51" t="s">
        <v>730</v>
      </c>
      <c r="B51" t="s">
        <v>68</v>
      </c>
      <c r="C51">
        <v>131</v>
      </c>
      <c r="D51" t="s">
        <v>14</v>
      </c>
      <c r="E51" t="s">
        <v>45</v>
      </c>
      <c r="F51" s="3" t="s">
        <v>810</v>
      </c>
      <c r="G51">
        <v>20023</v>
      </c>
      <c r="H51" t="s">
        <v>18</v>
      </c>
      <c r="I51" t="s">
        <v>18</v>
      </c>
      <c r="J51" t="s">
        <v>344</v>
      </c>
      <c r="K51" t="s">
        <v>95</v>
      </c>
      <c r="L51" t="s">
        <v>344</v>
      </c>
      <c r="M51" t="s">
        <v>811</v>
      </c>
      <c r="N51" t="s">
        <v>95</v>
      </c>
      <c r="O51">
        <v>67</v>
      </c>
      <c r="P51" s="7">
        <v>4547</v>
      </c>
      <c r="Q51" s="10">
        <v>0.3</v>
      </c>
      <c r="R51">
        <v>7.0000000000000007E-2</v>
      </c>
      <c r="S51">
        <v>1.67</v>
      </c>
      <c r="T51" s="5">
        <f>O51/730</f>
        <v>9.1780821917808217E-2</v>
      </c>
      <c r="U51" t="s">
        <v>16</v>
      </c>
      <c r="V51" t="s">
        <v>16</v>
      </c>
    </row>
    <row r="52" spans="1:22" x14ac:dyDescent="0.3">
      <c r="A52" t="s">
        <v>730</v>
      </c>
      <c r="B52" t="s">
        <v>68</v>
      </c>
      <c r="C52">
        <v>131</v>
      </c>
      <c r="D52" t="s">
        <v>14</v>
      </c>
      <c r="E52" t="s">
        <v>45</v>
      </c>
      <c r="F52" s="3" t="s">
        <v>812</v>
      </c>
      <c r="G52">
        <v>20023</v>
      </c>
      <c r="H52" t="s">
        <v>18</v>
      </c>
      <c r="I52" t="s">
        <v>18</v>
      </c>
      <c r="J52" t="s">
        <v>813</v>
      </c>
      <c r="K52" t="s">
        <v>95</v>
      </c>
      <c r="L52" t="s">
        <v>344</v>
      </c>
      <c r="M52" t="s">
        <v>95</v>
      </c>
      <c r="N52" t="s">
        <v>95</v>
      </c>
      <c r="O52">
        <v>255</v>
      </c>
      <c r="P52" s="7">
        <v>9830</v>
      </c>
      <c r="Q52" s="10">
        <v>0.61</v>
      </c>
      <c r="R52">
        <v>0.06</v>
      </c>
      <c r="S52">
        <v>1.38</v>
      </c>
      <c r="T52" s="5">
        <f>O52/730</f>
        <v>0.34931506849315069</v>
      </c>
      <c r="U52" t="s">
        <v>16</v>
      </c>
      <c r="V52" t="s">
        <v>16</v>
      </c>
    </row>
    <row r="53" spans="1:22" x14ac:dyDescent="0.3">
      <c r="A53" t="s">
        <v>730</v>
      </c>
      <c r="B53" t="s">
        <v>68</v>
      </c>
      <c r="C53">
        <v>131</v>
      </c>
      <c r="D53" t="s">
        <v>14</v>
      </c>
      <c r="E53" t="s">
        <v>45</v>
      </c>
      <c r="F53" s="3" t="s">
        <v>814</v>
      </c>
      <c r="G53">
        <v>20023</v>
      </c>
      <c r="H53" t="s">
        <v>18</v>
      </c>
      <c r="I53" t="s">
        <v>18</v>
      </c>
      <c r="J53" t="s">
        <v>815</v>
      </c>
      <c r="K53" t="s">
        <v>95</v>
      </c>
      <c r="L53" t="s">
        <v>344</v>
      </c>
      <c r="M53" t="s">
        <v>95</v>
      </c>
      <c r="N53" t="s">
        <v>95</v>
      </c>
      <c r="O53">
        <v>66</v>
      </c>
      <c r="P53" s="7">
        <v>5308</v>
      </c>
      <c r="Q53" s="10">
        <v>0.54</v>
      </c>
      <c r="R53">
        <v>0.09</v>
      </c>
      <c r="S53">
        <v>1.8</v>
      </c>
      <c r="T53" s="5">
        <f>O53/730</f>
        <v>9.0410958904109592E-2</v>
      </c>
      <c r="U53" t="s">
        <v>16</v>
      </c>
      <c r="V53" t="s">
        <v>16</v>
      </c>
    </row>
    <row r="54" spans="1:22" x14ac:dyDescent="0.3">
      <c r="A54" t="s">
        <v>730</v>
      </c>
      <c r="B54" t="s">
        <v>68</v>
      </c>
      <c r="C54">
        <v>131</v>
      </c>
      <c r="D54" t="s">
        <v>14</v>
      </c>
      <c r="E54" t="s">
        <v>45</v>
      </c>
      <c r="F54" s="3" t="s">
        <v>816</v>
      </c>
      <c r="G54">
        <v>20023</v>
      </c>
      <c r="H54" t="s">
        <v>18</v>
      </c>
      <c r="I54" t="s">
        <v>18</v>
      </c>
      <c r="J54" t="s">
        <v>95</v>
      </c>
      <c r="K54" t="s">
        <v>95</v>
      </c>
      <c r="L54" t="s">
        <v>344</v>
      </c>
      <c r="M54" t="s">
        <v>95</v>
      </c>
      <c r="N54" t="s">
        <v>817</v>
      </c>
      <c r="O54">
        <v>95</v>
      </c>
      <c r="P54" s="7">
        <v>5298</v>
      </c>
      <c r="Q54" s="10">
        <v>0.84</v>
      </c>
      <c r="R54">
        <v>0.09</v>
      </c>
      <c r="S54">
        <v>1.54</v>
      </c>
      <c r="T54" s="5">
        <f>O54/730</f>
        <v>0.13013698630136986</v>
      </c>
      <c r="U54" t="s">
        <v>16</v>
      </c>
      <c r="V54" t="s">
        <v>16</v>
      </c>
    </row>
    <row r="55" spans="1:22" x14ac:dyDescent="0.3">
      <c r="A55" t="s">
        <v>730</v>
      </c>
      <c r="B55" t="s">
        <v>68</v>
      </c>
      <c r="C55">
        <v>131</v>
      </c>
      <c r="D55" t="s">
        <v>14</v>
      </c>
      <c r="E55" t="s">
        <v>45</v>
      </c>
      <c r="F55" s="3" t="s">
        <v>818</v>
      </c>
      <c r="G55">
        <v>20023</v>
      </c>
      <c r="H55" t="s">
        <v>18</v>
      </c>
      <c r="I55" t="s">
        <v>18</v>
      </c>
      <c r="J55" t="s">
        <v>95</v>
      </c>
      <c r="K55" t="s">
        <v>95</v>
      </c>
      <c r="L55" t="s">
        <v>344</v>
      </c>
      <c r="M55" t="s">
        <v>95</v>
      </c>
      <c r="N55" t="s">
        <v>819</v>
      </c>
      <c r="O55">
        <v>40</v>
      </c>
      <c r="P55" s="7">
        <v>2440</v>
      </c>
      <c r="Q55" s="10">
        <v>0.78</v>
      </c>
      <c r="R55">
        <v>0.1</v>
      </c>
      <c r="S55">
        <v>1.61</v>
      </c>
      <c r="T55" s="5">
        <f>O55/730</f>
        <v>5.4794520547945202E-2</v>
      </c>
      <c r="U55" t="s">
        <v>16</v>
      </c>
      <c r="V55" t="s">
        <v>16</v>
      </c>
    </row>
    <row r="56" spans="1:22" x14ac:dyDescent="0.3">
      <c r="A56" t="s">
        <v>730</v>
      </c>
      <c r="B56" t="s">
        <v>68</v>
      </c>
      <c r="C56">
        <v>131</v>
      </c>
      <c r="D56" t="s">
        <v>14</v>
      </c>
      <c r="E56" t="s">
        <v>45</v>
      </c>
      <c r="F56" s="3" t="s">
        <v>820</v>
      </c>
      <c r="G56">
        <v>20023</v>
      </c>
      <c r="H56" t="s">
        <v>18</v>
      </c>
      <c r="I56" t="s">
        <v>18</v>
      </c>
      <c r="J56" t="s">
        <v>95</v>
      </c>
      <c r="K56" t="s">
        <v>95</v>
      </c>
      <c r="L56" t="s">
        <v>344</v>
      </c>
      <c r="M56" t="s">
        <v>821</v>
      </c>
      <c r="N56" t="s">
        <v>95</v>
      </c>
      <c r="O56">
        <v>92</v>
      </c>
      <c r="P56" s="7">
        <v>5568</v>
      </c>
      <c r="Q56" s="10">
        <v>0.43</v>
      </c>
      <c r="R56">
        <v>7.0000000000000007E-2</v>
      </c>
      <c r="S56">
        <v>1.6</v>
      </c>
      <c r="T56" s="5">
        <f>O56/730</f>
        <v>0.12602739726027398</v>
      </c>
      <c r="U56" t="s">
        <v>16</v>
      </c>
      <c r="V56" t="s">
        <v>16</v>
      </c>
    </row>
    <row r="57" spans="1:22" x14ac:dyDescent="0.3">
      <c r="A57" t="s">
        <v>730</v>
      </c>
      <c r="B57" t="s">
        <v>68</v>
      </c>
      <c r="C57">
        <v>131</v>
      </c>
      <c r="D57" t="s">
        <v>14</v>
      </c>
      <c r="E57" t="s">
        <v>45</v>
      </c>
      <c r="F57" s="3" t="s">
        <v>822</v>
      </c>
      <c r="G57">
        <v>20023</v>
      </c>
      <c r="H57" t="s">
        <v>18</v>
      </c>
      <c r="I57" t="s">
        <v>18</v>
      </c>
      <c r="J57" t="s">
        <v>95</v>
      </c>
      <c r="K57" t="s">
        <v>823</v>
      </c>
      <c r="L57" t="s">
        <v>344</v>
      </c>
      <c r="M57" t="s">
        <v>95</v>
      </c>
      <c r="N57" t="s">
        <v>95</v>
      </c>
      <c r="O57">
        <v>103</v>
      </c>
      <c r="P57" s="7">
        <v>7449</v>
      </c>
      <c r="Q57" s="10">
        <v>0.7</v>
      </c>
      <c r="R57">
        <v>0.05</v>
      </c>
      <c r="S57">
        <v>1.72</v>
      </c>
      <c r="T57" s="5">
        <f>O57/730</f>
        <v>0.14109589041095891</v>
      </c>
      <c r="U57" t="s">
        <v>16</v>
      </c>
      <c r="V57" t="s">
        <v>16</v>
      </c>
    </row>
    <row r="58" spans="1:22" x14ac:dyDescent="0.3">
      <c r="A58" t="s">
        <v>730</v>
      </c>
      <c r="B58" t="s">
        <v>68</v>
      </c>
      <c r="C58">
        <v>131</v>
      </c>
      <c r="D58" t="s">
        <v>14</v>
      </c>
      <c r="E58" t="s">
        <v>45</v>
      </c>
      <c r="F58" s="3" t="s">
        <v>824</v>
      </c>
      <c r="G58">
        <v>20023</v>
      </c>
      <c r="H58" t="s">
        <v>18</v>
      </c>
      <c r="I58" t="s">
        <v>18</v>
      </c>
      <c r="J58" t="s">
        <v>95</v>
      </c>
      <c r="K58" t="s">
        <v>95</v>
      </c>
      <c r="L58" t="s">
        <v>344</v>
      </c>
      <c r="M58" t="s">
        <v>95</v>
      </c>
      <c r="N58" t="s">
        <v>825</v>
      </c>
      <c r="O58">
        <v>331</v>
      </c>
      <c r="P58" s="7">
        <v>8675</v>
      </c>
      <c r="Q58" s="10">
        <v>0.6</v>
      </c>
      <c r="R58">
        <v>0.09</v>
      </c>
      <c r="S58">
        <v>1.26</v>
      </c>
      <c r="T58" s="5">
        <f>O58/730</f>
        <v>0.4534246575342466</v>
      </c>
      <c r="U58" t="s">
        <v>16</v>
      </c>
      <c r="V58" t="s">
        <v>16</v>
      </c>
    </row>
    <row r="59" spans="1:22" x14ac:dyDescent="0.3">
      <c r="A59" t="s">
        <v>730</v>
      </c>
      <c r="B59" t="s">
        <v>68</v>
      </c>
      <c r="C59">
        <v>131</v>
      </c>
      <c r="D59" t="s">
        <v>14</v>
      </c>
      <c r="E59" t="s">
        <v>45</v>
      </c>
      <c r="F59" s="3" t="s">
        <v>168</v>
      </c>
      <c r="G59">
        <v>20023</v>
      </c>
      <c r="H59" t="s">
        <v>18</v>
      </c>
      <c r="I59" t="s">
        <v>18</v>
      </c>
      <c r="J59" t="s">
        <v>95</v>
      </c>
      <c r="K59" t="s">
        <v>95</v>
      </c>
      <c r="L59" t="s">
        <v>826</v>
      </c>
      <c r="M59" t="s">
        <v>95</v>
      </c>
      <c r="N59" t="s">
        <v>95</v>
      </c>
      <c r="O59">
        <v>140</v>
      </c>
      <c r="P59" s="7">
        <v>7236</v>
      </c>
      <c r="Q59" s="10">
        <v>0.34</v>
      </c>
      <c r="R59">
        <v>7.0000000000000007E-2</v>
      </c>
      <c r="S59">
        <v>1.51</v>
      </c>
      <c r="T59" s="5">
        <f>O59/730</f>
        <v>0.19178082191780821</v>
      </c>
      <c r="U59" t="s">
        <v>16</v>
      </c>
      <c r="V59" t="s">
        <v>16</v>
      </c>
    </row>
    <row r="60" spans="1:22" x14ac:dyDescent="0.3">
      <c r="A60" t="s">
        <v>730</v>
      </c>
      <c r="B60" t="s">
        <v>68</v>
      </c>
      <c r="C60">
        <v>131</v>
      </c>
      <c r="D60" t="s">
        <v>14</v>
      </c>
      <c r="E60" t="s">
        <v>45</v>
      </c>
      <c r="F60" s="3" t="s">
        <v>169</v>
      </c>
      <c r="G60">
        <v>20023</v>
      </c>
      <c r="H60" t="s">
        <v>18</v>
      </c>
      <c r="I60" t="s">
        <v>18</v>
      </c>
      <c r="J60" t="s">
        <v>95</v>
      </c>
      <c r="K60" t="s">
        <v>95</v>
      </c>
      <c r="L60" t="s">
        <v>95</v>
      </c>
      <c r="M60" t="s">
        <v>827</v>
      </c>
      <c r="N60" t="s">
        <v>95</v>
      </c>
      <c r="O60">
        <v>299</v>
      </c>
      <c r="P60" s="7">
        <v>9171</v>
      </c>
      <c r="Q60" s="10">
        <v>0.34</v>
      </c>
      <c r="R60">
        <v>0.06</v>
      </c>
      <c r="S60">
        <v>1.3</v>
      </c>
      <c r="T60" s="5">
        <f>O60/730</f>
        <v>0.40958904109589039</v>
      </c>
      <c r="U60" t="s">
        <v>16</v>
      </c>
      <c r="V60" t="s">
        <v>16</v>
      </c>
    </row>
    <row r="61" spans="1:22" x14ac:dyDescent="0.3">
      <c r="A61" t="s">
        <v>730</v>
      </c>
      <c r="B61" t="s">
        <v>68</v>
      </c>
      <c r="C61">
        <v>131</v>
      </c>
      <c r="D61" t="s">
        <v>14</v>
      </c>
      <c r="E61" t="s">
        <v>45</v>
      </c>
      <c r="F61" s="3" t="s">
        <v>828</v>
      </c>
      <c r="G61">
        <v>20023</v>
      </c>
      <c r="H61" t="s">
        <v>18</v>
      </c>
      <c r="I61" t="s">
        <v>18</v>
      </c>
      <c r="J61" t="s">
        <v>95</v>
      </c>
      <c r="K61" t="s">
        <v>95</v>
      </c>
      <c r="L61" t="s">
        <v>95</v>
      </c>
      <c r="M61" t="s">
        <v>829</v>
      </c>
      <c r="N61" t="s">
        <v>95</v>
      </c>
      <c r="O61">
        <v>76</v>
      </c>
      <c r="P61" s="7">
        <v>5916</v>
      </c>
      <c r="Q61" s="10">
        <v>0.61</v>
      </c>
      <c r="R61">
        <v>7.0000000000000007E-2</v>
      </c>
      <c r="S61">
        <v>1.77</v>
      </c>
      <c r="T61" s="5">
        <f>O61/730</f>
        <v>0.10410958904109589</v>
      </c>
      <c r="U61" t="s">
        <v>16</v>
      </c>
      <c r="V61" t="s">
        <v>16</v>
      </c>
    </row>
    <row r="62" spans="1:22" x14ac:dyDescent="0.3">
      <c r="A62" t="s">
        <v>730</v>
      </c>
      <c r="B62" t="s">
        <v>68</v>
      </c>
      <c r="C62">
        <v>131</v>
      </c>
      <c r="D62" t="s">
        <v>14</v>
      </c>
      <c r="E62" t="s">
        <v>45</v>
      </c>
      <c r="F62" s="3" t="s">
        <v>830</v>
      </c>
      <c r="G62">
        <v>20023</v>
      </c>
      <c r="H62" t="s">
        <v>18</v>
      </c>
      <c r="I62" t="s">
        <v>18</v>
      </c>
      <c r="J62" t="s">
        <v>95</v>
      </c>
      <c r="K62" t="s">
        <v>95</v>
      </c>
      <c r="L62" t="s">
        <v>95</v>
      </c>
      <c r="M62" t="s">
        <v>831</v>
      </c>
      <c r="N62" t="s">
        <v>95</v>
      </c>
      <c r="O62">
        <v>162</v>
      </c>
      <c r="P62" s="7">
        <v>8696</v>
      </c>
      <c r="Q62" s="10">
        <v>0.62</v>
      </c>
      <c r="R62">
        <v>0.05</v>
      </c>
      <c r="S62">
        <v>1.53</v>
      </c>
      <c r="T62" s="5">
        <f>O62/730</f>
        <v>0.22191780821917809</v>
      </c>
      <c r="U62" t="s">
        <v>16</v>
      </c>
      <c r="V62" t="s">
        <v>16</v>
      </c>
    </row>
    <row r="63" spans="1:22" x14ac:dyDescent="0.3">
      <c r="A63" t="s">
        <v>730</v>
      </c>
      <c r="B63" t="s">
        <v>68</v>
      </c>
      <c r="C63">
        <v>131</v>
      </c>
      <c r="D63" t="s">
        <v>14</v>
      </c>
      <c r="E63" t="s">
        <v>45</v>
      </c>
      <c r="F63" s="3" t="s">
        <v>178</v>
      </c>
      <c r="G63">
        <v>20023</v>
      </c>
      <c r="H63" t="s">
        <v>18</v>
      </c>
      <c r="I63" t="s">
        <v>18</v>
      </c>
      <c r="J63" t="s">
        <v>95</v>
      </c>
      <c r="K63" t="s">
        <v>95</v>
      </c>
      <c r="L63" t="s">
        <v>95</v>
      </c>
      <c r="M63" t="s">
        <v>95</v>
      </c>
      <c r="N63" t="s">
        <v>832</v>
      </c>
      <c r="O63">
        <v>84</v>
      </c>
      <c r="P63" s="7">
        <v>4727</v>
      </c>
      <c r="Q63" s="10">
        <v>0.39</v>
      </c>
      <c r="R63">
        <v>7.0000000000000007E-2</v>
      </c>
      <c r="S63">
        <v>1.56</v>
      </c>
      <c r="T63" s="5">
        <f>O63/730</f>
        <v>0.11506849315068493</v>
      </c>
      <c r="U63" t="s">
        <v>16</v>
      </c>
      <c r="V63" t="s">
        <v>16</v>
      </c>
    </row>
    <row r="64" spans="1:22" x14ac:dyDescent="0.3">
      <c r="A64" t="s">
        <v>730</v>
      </c>
      <c r="B64" t="s">
        <v>68</v>
      </c>
      <c r="C64">
        <v>131</v>
      </c>
      <c r="D64" t="s">
        <v>14</v>
      </c>
      <c r="E64" t="s">
        <v>45</v>
      </c>
      <c r="F64" s="3" t="s">
        <v>833</v>
      </c>
      <c r="G64">
        <v>20023</v>
      </c>
      <c r="H64" t="s">
        <v>18</v>
      </c>
      <c r="I64" t="s">
        <v>18</v>
      </c>
      <c r="J64" t="s">
        <v>95</v>
      </c>
      <c r="K64" t="s">
        <v>834</v>
      </c>
      <c r="L64" t="s">
        <v>95</v>
      </c>
      <c r="M64" t="s">
        <v>95</v>
      </c>
      <c r="N64" t="s">
        <v>95</v>
      </c>
      <c r="O64">
        <v>111</v>
      </c>
      <c r="P64" s="7">
        <v>12897</v>
      </c>
      <c r="Q64" s="10">
        <v>0.31</v>
      </c>
      <c r="R64">
        <v>0.06</v>
      </c>
      <c r="S64">
        <v>2.16</v>
      </c>
      <c r="T64" s="5">
        <f>O64/730</f>
        <v>0.15205479452054796</v>
      </c>
      <c r="U64" t="s">
        <v>16</v>
      </c>
      <c r="V64" t="s">
        <v>16</v>
      </c>
    </row>
    <row r="65" spans="1:22" x14ac:dyDescent="0.3">
      <c r="A65" t="s">
        <v>730</v>
      </c>
      <c r="B65" t="s">
        <v>68</v>
      </c>
      <c r="C65">
        <v>131</v>
      </c>
      <c r="D65" t="s">
        <v>14</v>
      </c>
      <c r="E65" t="s">
        <v>45</v>
      </c>
      <c r="F65" s="3" t="s">
        <v>835</v>
      </c>
      <c r="G65">
        <v>20023</v>
      </c>
      <c r="H65" t="s">
        <v>18</v>
      </c>
      <c r="I65" t="s">
        <v>18</v>
      </c>
      <c r="J65" t="s">
        <v>836</v>
      </c>
      <c r="K65" t="s">
        <v>454</v>
      </c>
      <c r="L65" t="s">
        <v>95</v>
      </c>
      <c r="M65" t="s">
        <v>95</v>
      </c>
      <c r="N65" t="s">
        <v>95</v>
      </c>
      <c r="O65">
        <v>98</v>
      </c>
      <c r="P65" s="7">
        <v>8631</v>
      </c>
      <c r="Q65" s="10">
        <v>0.8</v>
      </c>
      <c r="R65">
        <v>0.12</v>
      </c>
      <c r="S65">
        <v>1.88</v>
      </c>
      <c r="T65" s="5">
        <f>O65/730</f>
        <v>0.13424657534246576</v>
      </c>
      <c r="U65" t="s">
        <v>16</v>
      </c>
      <c r="V65" t="s">
        <v>16</v>
      </c>
    </row>
    <row r="66" spans="1:22" x14ac:dyDescent="0.3">
      <c r="A66" t="s">
        <v>730</v>
      </c>
      <c r="B66" t="s">
        <v>68</v>
      </c>
      <c r="C66">
        <v>131</v>
      </c>
      <c r="D66" t="s">
        <v>14</v>
      </c>
      <c r="E66" t="s">
        <v>45</v>
      </c>
      <c r="F66" s="3" t="s">
        <v>837</v>
      </c>
      <c r="G66">
        <v>20023</v>
      </c>
      <c r="H66" t="s">
        <v>18</v>
      </c>
      <c r="I66" t="s">
        <v>18</v>
      </c>
      <c r="J66" t="s">
        <v>838</v>
      </c>
      <c r="K66" t="s">
        <v>454</v>
      </c>
      <c r="L66" t="s">
        <v>95</v>
      </c>
      <c r="M66" t="s">
        <v>95</v>
      </c>
      <c r="N66" t="s">
        <v>95</v>
      </c>
      <c r="O66">
        <v>58</v>
      </c>
      <c r="P66" s="7">
        <v>9838</v>
      </c>
      <c r="Q66" s="10">
        <v>0.1</v>
      </c>
      <c r="R66">
        <v>0.13</v>
      </c>
      <c r="S66">
        <v>2.69</v>
      </c>
      <c r="T66" s="5">
        <f>O66/730</f>
        <v>7.9452054794520555E-2</v>
      </c>
      <c r="U66" t="s">
        <v>16</v>
      </c>
      <c r="V66" t="s">
        <v>16</v>
      </c>
    </row>
    <row r="67" spans="1:22" x14ac:dyDescent="0.3">
      <c r="A67" t="s">
        <v>730</v>
      </c>
      <c r="B67" t="s">
        <v>68</v>
      </c>
      <c r="C67">
        <v>131</v>
      </c>
      <c r="D67" t="s">
        <v>14</v>
      </c>
      <c r="E67" t="s">
        <v>45</v>
      </c>
      <c r="F67" s="3" t="s">
        <v>839</v>
      </c>
      <c r="G67">
        <v>20023</v>
      </c>
      <c r="H67" t="s">
        <v>18</v>
      </c>
      <c r="I67" t="s">
        <v>18</v>
      </c>
      <c r="J67" t="s">
        <v>840</v>
      </c>
      <c r="K67" t="s">
        <v>454</v>
      </c>
      <c r="L67" t="s">
        <v>95</v>
      </c>
      <c r="M67" t="s">
        <v>95</v>
      </c>
      <c r="N67" t="s">
        <v>841</v>
      </c>
      <c r="O67">
        <v>180</v>
      </c>
      <c r="P67" s="7">
        <v>12314</v>
      </c>
      <c r="Q67" s="10">
        <v>0.49</v>
      </c>
      <c r="R67">
        <v>0.05</v>
      </c>
      <c r="S67">
        <v>1.68</v>
      </c>
      <c r="T67" s="5">
        <f>O67/730</f>
        <v>0.24657534246575341</v>
      </c>
      <c r="U67" t="s">
        <v>16</v>
      </c>
      <c r="V67" t="s">
        <v>16</v>
      </c>
    </row>
    <row r="68" spans="1:22" x14ac:dyDescent="0.3">
      <c r="A68" t="s">
        <v>730</v>
      </c>
      <c r="B68" t="s">
        <v>68</v>
      </c>
      <c r="C68">
        <v>131</v>
      </c>
      <c r="D68" t="s">
        <v>14</v>
      </c>
      <c r="E68" t="s">
        <v>45</v>
      </c>
      <c r="F68" s="3" t="s">
        <v>842</v>
      </c>
      <c r="G68">
        <v>20023</v>
      </c>
      <c r="H68" t="s">
        <v>18</v>
      </c>
      <c r="I68" t="s">
        <v>18</v>
      </c>
      <c r="J68" t="s">
        <v>840</v>
      </c>
      <c r="K68" t="s">
        <v>454</v>
      </c>
      <c r="L68" t="s">
        <v>95</v>
      </c>
      <c r="M68" t="s">
        <v>95</v>
      </c>
      <c r="N68" t="s">
        <v>843</v>
      </c>
      <c r="O68">
        <v>164</v>
      </c>
      <c r="P68" s="7">
        <v>8246</v>
      </c>
      <c r="Q68" s="10">
        <v>0.52</v>
      </c>
      <c r="R68">
        <v>0.06</v>
      </c>
      <c r="S68">
        <v>1.5</v>
      </c>
      <c r="T68" s="5">
        <f>O68/730</f>
        <v>0.22465753424657534</v>
      </c>
      <c r="U68" t="s">
        <v>16</v>
      </c>
      <c r="V68" t="s">
        <v>16</v>
      </c>
    </row>
    <row r="69" spans="1:22" x14ac:dyDescent="0.3">
      <c r="A69" t="s">
        <v>730</v>
      </c>
      <c r="B69" t="s">
        <v>68</v>
      </c>
      <c r="C69">
        <v>131</v>
      </c>
      <c r="D69" t="s">
        <v>14</v>
      </c>
      <c r="E69" t="s">
        <v>45</v>
      </c>
      <c r="F69" s="3" t="s">
        <v>844</v>
      </c>
      <c r="G69">
        <v>20023</v>
      </c>
      <c r="H69" t="s">
        <v>18</v>
      </c>
      <c r="I69" t="s">
        <v>18</v>
      </c>
      <c r="J69" t="s">
        <v>845</v>
      </c>
      <c r="K69" t="s">
        <v>454</v>
      </c>
      <c r="L69" t="s">
        <v>95</v>
      </c>
      <c r="M69" t="s">
        <v>95</v>
      </c>
      <c r="N69" t="s">
        <v>95</v>
      </c>
      <c r="O69">
        <v>74</v>
      </c>
      <c r="P69" s="7">
        <v>17665</v>
      </c>
      <c r="Q69" s="10">
        <v>0.52</v>
      </c>
      <c r="R69">
        <v>0.09</v>
      </c>
      <c r="S69">
        <v>3.38</v>
      </c>
      <c r="T69" s="5">
        <f>O69/730</f>
        <v>0.10136986301369863</v>
      </c>
      <c r="U69" t="s">
        <v>16</v>
      </c>
      <c r="V69" t="s">
        <v>16</v>
      </c>
    </row>
    <row r="70" spans="1:22" x14ac:dyDescent="0.3">
      <c r="A70" t="s">
        <v>730</v>
      </c>
      <c r="B70" t="s">
        <v>68</v>
      </c>
      <c r="C70">
        <v>131</v>
      </c>
      <c r="D70" t="s">
        <v>14</v>
      </c>
      <c r="E70" t="s">
        <v>45</v>
      </c>
      <c r="F70" s="3" t="s">
        <v>846</v>
      </c>
      <c r="G70">
        <v>20023</v>
      </c>
      <c r="H70" t="s">
        <v>18</v>
      </c>
      <c r="I70" t="s">
        <v>18</v>
      </c>
      <c r="J70" t="s">
        <v>847</v>
      </c>
      <c r="K70" t="s">
        <v>848</v>
      </c>
      <c r="L70" t="s">
        <v>95</v>
      </c>
      <c r="M70" t="s">
        <v>95</v>
      </c>
      <c r="N70" t="s">
        <v>95</v>
      </c>
      <c r="O70">
        <v>100</v>
      </c>
      <c r="P70" s="7">
        <v>7618</v>
      </c>
      <c r="Q70" s="10">
        <v>0.54</v>
      </c>
      <c r="R70">
        <v>7.0000000000000007E-2</v>
      </c>
      <c r="S70">
        <v>1.76</v>
      </c>
      <c r="T70" s="5">
        <f>O70/730</f>
        <v>0.13698630136986301</v>
      </c>
      <c r="U70" t="s">
        <v>16</v>
      </c>
      <c r="V70" t="s">
        <v>16</v>
      </c>
    </row>
    <row r="71" spans="1:22" x14ac:dyDescent="0.3">
      <c r="A71" t="s">
        <v>730</v>
      </c>
      <c r="B71" t="s">
        <v>68</v>
      </c>
      <c r="C71">
        <v>131</v>
      </c>
      <c r="D71" t="s">
        <v>14</v>
      </c>
      <c r="E71" t="s">
        <v>45</v>
      </c>
      <c r="F71" s="3" t="s">
        <v>849</v>
      </c>
      <c r="G71">
        <v>20023</v>
      </c>
      <c r="H71" t="s">
        <v>18</v>
      </c>
      <c r="I71" t="s">
        <v>18</v>
      </c>
      <c r="J71" t="s">
        <v>847</v>
      </c>
      <c r="K71" t="s">
        <v>95</v>
      </c>
      <c r="L71" t="s">
        <v>850</v>
      </c>
      <c r="M71" t="s">
        <v>95</v>
      </c>
      <c r="N71" t="s">
        <v>95</v>
      </c>
      <c r="O71">
        <v>124</v>
      </c>
      <c r="P71" s="7">
        <v>9007</v>
      </c>
      <c r="Q71" s="10">
        <v>0.75</v>
      </c>
      <c r="R71">
        <v>0.09</v>
      </c>
      <c r="S71">
        <v>1.72</v>
      </c>
      <c r="T71" s="5">
        <f>O71/730</f>
        <v>0.16986301369863013</v>
      </c>
      <c r="U71" t="s">
        <v>16</v>
      </c>
      <c r="V71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0"/>
  <sheetViews>
    <sheetView zoomScale="90" zoomScaleNormal="90" workbookViewId="0">
      <pane ySplit="1" topLeftCell="A5" activePane="bottomLeft" state="frozen"/>
      <selection pane="bottomLeft" activeCell="D18" sqref="D18"/>
    </sheetView>
  </sheetViews>
  <sheetFormatPr defaultRowHeight="16.5" x14ac:dyDescent="0.3"/>
  <cols>
    <col min="1" max="2" width="4.875" customWidth="1"/>
    <col min="3" max="3" width="3.125" customWidth="1"/>
    <col min="4" max="4" width="7.375" customWidth="1"/>
    <col min="5" max="5" width="7.5" customWidth="1"/>
    <col min="6" max="6" width="9" style="3"/>
    <col min="7" max="7" width="5.125" customWidth="1"/>
    <col min="8" max="8" width="5" customWidth="1"/>
    <col min="9" max="9" width="6.625" customWidth="1"/>
    <col min="11" max="11" width="10.375" customWidth="1"/>
    <col min="12" max="13" width="10.125" customWidth="1"/>
    <col min="14" max="14" width="10.5" customWidth="1"/>
    <col min="15" max="15" width="7" customWidth="1"/>
    <col min="16" max="16" width="9.125" style="7" customWidth="1"/>
    <col min="17" max="17" width="6.625" customWidth="1"/>
    <col min="18" max="18" width="7.125" customWidth="1"/>
    <col min="19" max="19" width="7.5" style="5" customWidth="1"/>
    <col min="20" max="20" width="3.5" customWidth="1"/>
    <col min="21" max="21" width="2.75" customWidth="1"/>
  </cols>
  <sheetData>
    <row r="1" spans="1:21" s="1" customFormat="1" ht="33" x14ac:dyDescent="0.3">
      <c r="A1" s="1" t="s">
        <v>0</v>
      </c>
      <c r="B1" s="1" t="s">
        <v>23</v>
      </c>
      <c r="C1" s="1" t="s">
        <v>25</v>
      </c>
      <c r="D1" s="1" t="s">
        <v>1</v>
      </c>
      <c r="E1" s="1" t="s">
        <v>2</v>
      </c>
      <c r="F1" s="8" t="s">
        <v>3</v>
      </c>
      <c r="G1" s="1" t="s">
        <v>4</v>
      </c>
      <c r="H1" s="1" t="s">
        <v>5</v>
      </c>
      <c r="I1" s="9" t="s">
        <v>6</v>
      </c>
      <c r="J1" s="1" t="s">
        <v>10</v>
      </c>
      <c r="K1" s="1" t="s">
        <v>21</v>
      </c>
      <c r="L1" s="1" t="s">
        <v>22</v>
      </c>
      <c r="M1" s="1" t="s">
        <v>11</v>
      </c>
      <c r="N1" s="1" t="s">
        <v>12</v>
      </c>
      <c r="O1" s="1" t="s">
        <v>7</v>
      </c>
      <c r="P1" s="6" t="s">
        <v>39</v>
      </c>
      <c r="Q1" s="1" t="s">
        <v>8</v>
      </c>
      <c r="R1" s="1" t="s">
        <v>19</v>
      </c>
      <c r="S1" s="4" t="s">
        <v>20</v>
      </c>
      <c r="T1" s="1" t="s">
        <v>9</v>
      </c>
      <c r="U1" s="1" t="s">
        <v>13</v>
      </c>
    </row>
    <row r="2" spans="1:21" x14ac:dyDescent="0.3">
      <c r="A2" t="s">
        <v>17</v>
      </c>
      <c r="B2" t="s">
        <v>24</v>
      </c>
      <c r="C2">
        <v>131</v>
      </c>
      <c r="D2" t="s">
        <v>14</v>
      </c>
      <c r="E2" t="s">
        <v>15</v>
      </c>
      <c r="F2" s="3">
        <v>123</v>
      </c>
      <c r="G2">
        <v>99100</v>
      </c>
      <c r="H2" t="s">
        <v>18</v>
      </c>
      <c r="I2" t="s">
        <v>18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>
        <v>20</v>
      </c>
      <c r="P2" s="7">
        <v>0</v>
      </c>
      <c r="Q2">
        <v>0.05</v>
      </c>
      <c r="R2">
        <v>0</v>
      </c>
      <c r="S2" s="5">
        <v>1</v>
      </c>
      <c r="T2" t="s">
        <v>16</v>
      </c>
      <c r="U2" t="s">
        <v>16</v>
      </c>
    </row>
    <row r="3" spans="1:21" x14ac:dyDescent="0.3">
      <c r="A3" t="s">
        <v>27</v>
      </c>
      <c r="B3" t="s">
        <v>47</v>
      </c>
      <c r="C3">
        <v>143</v>
      </c>
      <c r="D3" t="s">
        <v>14</v>
      </c>
      <c r="E3" t="s">
        <v>45</v>
      </c>
      <c r="F3" s="3" t="s">
        <v>46</v>
      </c>
      <c r="G3">
        <v>20018</v>
      </c>
      <c r="H3" t="s">
        <v>219</v>
      </c>
      <c r="I3" t="s">
        <v>225</v>
      </c>
      <c r="J3" t="s">
        <v>95</v>
      </c>
      <c r="K3" t="s">
        <v>16</v>
      </c>
      <c r="L3" t="s">
        <v>16</v>
      </c>
      <c r="M3" t="s">
        <v>226</v>
      </c>
      <c r="N3" t="s">
        <v>16</v>
      </c>
      <c r="O3">
        <v>271</v>
      </c>
      <c r="P3" s="7">
        <v>11460</v>
      </c>
      <c r="Q3">
        <v>7.0000000000000007E-2</v>
      </c>
      <c r="R3">
        <v>1.42</v>
      </c>
      <c r="S3" s="5">
        <f t="shared" ref="S3:S66" si="0">O3/730</f>
        <v>0.37123287671232874</v>
      </c>
      <c r="T3" t="s">
        <v>16</v>
      </c>
      <c r="U3" t="s">
        <v>16</v>
      </c>
    </row>
    <row r="4" spans="1:21" x14ac:dyDescent="0.3">
      <c r="A4" t="s">
        <v>27</v>
      </c>
      <c r="B4" t="s">
        <v>24</v>
      </c>
      <c r="C4">
        <v>143</v>
      </c>
      <c r="D4" t="s">
        <v>14</v>
      </c>
      <c r="E4" t="s">
        <v>45</v>
      </c>
      <c r="F4" s="3" t="s">
        <v>46</v>
      </c>
      <c r="G4">
        <v>20018</v>
      </c>
      <c r="H4" t="s">
        <v>219</v>
      </c>
      <c r="I4" t="s">
        <v>222</v>
      </c>
      <c r="J4" t="s">
        <v>95</v>
      </c>
      <c r="K4" t="s">
        <v>16</v>
      </c>
      <c r="L4" t="s">
        <v>16</v>
      </c>
      <c r="M4" t="s">
        <v>227</v>
      </c>
      <c r="N4" t="s">
        <v>16</v>
      </c>
      <c r="O4">
        <v>145</v>
      </c>
      <c r="P4" s="7">
        <v>6245</v>
      </c>
      <c r="Q4">
        <v>0.05</v>
      </c>
      <c r="R4">
        <v>1.43</v>
      </c>
      <c r="S4" s="5">
        <f t="shared" si="0"/>
        <v>0.19863013698630136</v>
      </c>
      <c r="T4" t="s">
        <v>16</v>
      </c>
      <c r="U4" t="s">
        <v>16</v>
      </c>
    </row>
    <row r="5" spans="1:21" x14ac:dyDescent="0.3">
      <c r="A5" t="s">
        <v>27</v>
      </c>
      <c r="B5" t="s">
        <v>24</v>
      </c>
      <c r="C5">
        <v>143</v>
      </c>
      <c r="D5" t="s">
        <v>14</v>
      </c>
      <c r="E5" t="s">
        <v>45</v>
      </c>
      <c r="F5" s="3" t="s">
        <v>46</v>
      </c>
      <c r="G5">
        <v>20018</v>
      </c>
      <c r="H5" t="s">
        <v>219</v>
      </c>
      <c r="I5" t="s">
        <v>220</v>
      </c>
      <c r="J5" t="s">
        <v>95</v>
      </c>
      <c r="K5" t="s">
        <v>16</v>
      </c>
      <c r="L5" t="s">
        <v>16</v>
      </c>
      <c r="M5" t="s">
        <v>53</v>
      </c>
      <c r="N5" t="s">
        <v>228</v>
      </c>
      <c r="O5">
        <v>258</v>
      </c>
      <c r="P5" s="7">
        <v>15135</v>
      </c>
      <c r="Q5">
        <v>0.06</v>
      </c>
      <c r="R5">
        <v>1.58</v>
      </c>
      <c r="S5" s="5">
        <f t="shared" si="0"/>
        <v>0.35342465753424657</v>
      </c>
      <c r="T5" t="s">
        <v>16</v>
      </c>
      <c r="U5" t="s">
        <v>16</v>
      </c>
    </row>
    <row r="6" spans="1:21" x14ac:dyDescent="0.3">
      <c r="A6" t="s">
        <v>27</v>
      </c>
      <c r="B6" t="s">
        <v>24</v>
      </c>
      <c r="C6">
        <v>143</v>
      </c>
      <c r="D6" t="s">
        <v>14</v>
      </c>
      <c r="E6" t="s">
        <v>45</v>
      </c>
      <c r="F6" s="3" t="s">
        <v>46</v>
      </c>
      <c r="G6">
        <v>20018</v>
      </c>
      <c r="H6" t="s">
        <v>219</v>
      </c>
      <c r="I6" t="s">
        <v>221</v>
      </c>
      <c r="J6" t="s">
        <v>95</v>
      </c>
      <c r="K6" t="s">
        <v>231</v>
      </c>
      <c r="L6" t="s">
        <v>16</v>
      </c>
      <c r="M6" t="s">
        <v>53</v>
      </c>
      <c r="N6" t="s">
        <v>95</v>
      </c>
      <c r="O6">
        <v>61</v>
      </c>
      <c r="P6" s="7">
        <v>5062</v>
      </c>
      <c r="Q6">
        <v>0.22</v>
      </c>
      <c r="R6">
        <v>1.82</v>
      </c>
      <c r="S6" s="5">
        <f t="shared" si="0"/>
        <v>8.3561643835616442E-2</v>
      </c>
      <c r="T6" t="s">
        <v>16</v>
      </c>
      <c r="U6" t="s">
        <v>16</v>
      </c>
    </row>
    <row r="7" spans="1:21" x14ac:dyDescent="0.3">
      <c r="A7" t="s">
        <v>27</v>
      </c>
      <c r="B7" t="s">
        <v>24</v>
      </c>
      <c r="C7">
        <v>143</v>
      </c>
      <c r="D7" t="s">
        <v>14</v>
      </c>
      <c r="E7" t="s">
        <v>45</v>
      </c>
      <c r="F7" s="3" t="s">
        <v>183</v>
      </c>
      <c r="G7">
        <v>20018</v>
      </c>
      <c r="H7" t="s">
        <v>219</v>
      </c>
      <c r="I7" t="s">
        <v>222</v>
      </c>
      <c r="J7" t="s">
        <v>95</v>
      </c>
      <c r="K7" t="s">
        <v>232</v>
      </c>
      <c r="L7" t="s">
        <v>16</v>
      </c>
      <c r="M7" t="s">
        <v>53</v>
      </c>
      <c r="N7" t="s">
        <v>95</v>
      </c>
      <c r="O7">
        <v>24</v>
      </c>
      <c r="P7" s="7">
        <v>4838</v>
      </c>
      <c r="Q7">
        <v>0.12</v>
      </c>
      <c r="R7">
        <v>3.01</v>
      </c>
      <c r="S7" s="5">
        <f t="shared" si="0"/>
        <v>3.287671232876712E-2</v>
      </c>
      <c r="T7" t="s">
        <v>16</v>
      </c>
      <c r="U7" t="s">
        <v>16</v>
      </c>
    </row>
    <row r="8" spans="1:21" x14ac:dyDescent="0.3">
      <c r="A8" t="s">
        <v>27</v>
      </c>
      <c r="B8" t="s">
        <v>47</v>
      </c>
      <c r="C8">
        <v>143</v>
      </c>
      <c r="D8" t="s">
        <v>14</v>
      </c>
      <c r="E8" t="s">
        <v>45</v>
      </c>
      <c r="F8" s="3" t="s">
        <v>183</v>
      </c>
      <c r="G8">
        <v>20018</v>
      </c>
      <c r="H8" t="s">
        <v>219</v>
      </c>
      <c r="I8" t="s">
        <v>220</v>
      </c>
      <c r="J8" t="s">
        <v>95</v>
      </c>
      <c r="K8" t="s">
        <v>53</v>
      </c>
      <c r="L8" t="s">
        <v>16</v>
      </c>
      <c r="M8" t="s">
        <v>233</v>
      </c>
      <c r="N8" t="s">
        <v>95</v>
      </c>
      <c r="O8">
        <v>257</v>
      </c>
      <c r="P8" s="7">
        <v>11836</v>
      </c>
      <c r="Q8">
        <v>0.09</v>
      </c>
      <c r="R8">
        <v>1.46</v>
      </c>
      <c r="S8" s="5">
        <f t="shared" si="0"/>
        <v>0.35205479452054794</v>
      </c>
      <c r="T8" t="s">
        <v>16</v>
      </c>
      <c r="U8" t="s">
        <v>16</v>
      </c>
    </row>
    <row r="9" spans="1:21" x14ac:dyDescent="0.3">
      <c r="A9" t="s">
        <v>27</v>
      </c>
      <c r="B9" t="s">
        <v>47</v>
      </c>
      <c r="C9">
        <v>143</v>
      </c>
      <c r="D9" t="s">
        <v>14</v>
      </c>
      <c r="E9" t="s">
        <v>45</v>
      </c>
      <c r="F9" s="3" t="s">
        <v>183</v>
      </c>
      <c r="G9">
        <v>20018</v>
      </c>
      <c r="H9" t="s">
        <v>219</v>
      </c>
      <c r="I9" t="s">
        <v>221</v>
      </c>
      <c r="J9" t="s">
        <v>95</v>
      </c>
      <c r="K9" t="s">
        <v>235</v>
      </c>
      <c r="L9" t="s">
        <v>16</v>
      </c>
      <c r="M9" t="s">
        <v>95</v>
      </c>
      <c r="N9" t="s">
        <v>95</v>
      </c>
      <c r="O9">
        <v>12</v>
      </c>
      <c r="P9" s="7">
        <v>1889</v>
      </c>
      <c r="Q9">
        <v>0.16</v>
      </c>
      <c r="R9">
        <v>2.57</v>
      </c>
      <c r="S9" s="5">
        <f t="shared" si="0"/>
        <v>1.643835616438356E-2</v>
      </c>
      <c r="T9" t="s">
        <v>16</v>
      </c>
      <c r="U9" t="s">
        <v>16</v>
      </c>
    </row>
    <row r="10" spans="1:21" x14ac:dyDescent="0.3">
      <c r="A10" t="s">
        <v>27</v>
      </c>
      <c r="B10" t="s">
        <v>68</v>
      </c>
      <c r="C10">
        <v>143</v>
      </c>
      <c r="D10" t="s">
        <v>14</v>
      </c>
      <c r="E10" t="s">
        <v>45</v>
      </c>
      <c r="F10" s="3" t="s">
        <v>185</v>
      </c>
      <c r="G10">
        <v>20018</v>
      </c>
      <c r="H10" t="s">
        <v>219</v>
      </c>
      <c r="I10" t="s">
        <v>225</v>
      </c>
      <c r="J10" t="s">
        <v>95</v>
      </c>
      <c r="K10" t="s">
        <v>95</v>
      </c>
      <c r="L10" t="s">
        <v>16</v>
      </c>
      <c r="M10" t="s">
        <v>95</v>
      </c>
      <c r="N10" t="s">
        <v>239</v>
      </c>
      <c r="O10">
        <v>510</v>
      </c>
      <c r="P10" s="7">
        <v>10335</v>
      </c>
      <c r="Q10">
        <v>0.1</v>
      </c>
      <c r="R10">
        <v>1.2</v>
      </c>
      <c r="S10" s="5">
        <f t="shared" si="0"/>
        <v>0.69863013698630139</v>
      </c>
      <c r="T10" t="s">
        <v>16</v>
      </c>
      <c r="U10" t="s">
        <v>16</v>
      </c>
    </row>
    <row r="11" spans="1:21" x14ac:dyDescent="0.3">
      <c r="A11" t="s">
        <v>27</v>
      </c>
      <c r="B11" t="s">
        <v>47</v>
      </c>
      <c r="C11">
        <v>143</v>
      </c>
      <c r="D11" t="s">
        <v>14</v>
      </c>
      <c r="E11" t="s">
        <v>45</v>
      </c>
      <c r="F11" s="3" t="s">
        <v>185</v>
      </c>
      <c r="G11">
        <v>20018</v>
      </c>
      <c r="H11" t="s">
        <v>219</v>
      </c>
      <c r="I11" t="s">
        <v>222</v>
      </c>
      <c r="J11" t="s">
        <v>95</v>
      </c>
      <c r="K11" t="s">
        <v>95</v>
      </c>
      <c r="L11" t="s">
        <v>16</v>
      </c>
      <c r="M11" t="s">
        <v>95</v>
      </c>
      <c r="N11" t="s">
        <v>240</v>
      </c>
      <c r="O11">
        <v>58</v>
      </c>
      <c r="P11" s="7">
        <v>5147</v>
      </c>
      <c r="Q11">
        <v>0.08</v>
      </c>
      <c r="R11">
        <v>1.88</v>
      </c>
      <c r="S11" s="5">
        <f t="shared" si="0"/>
        <v>7.9452054794520555E-2</v>
      </c>
      <c r="T11" t="s">
        <v>16</v>
      </c>
      <c r="U11" t="s">
        <v>16</v>
      </c>
    </row>
    <row r="12" spans="1:21" x14ac:dyDescent="0.3">
      <c r="A12" t="s">
        <v>27</v>
      </c>
      <c r="B12" t="s">
        <v>24</v>
      </c>
      <c r="C12">
        <v>143</v>
      </c>
      <c r="D12" t="s">
        <v>14</v>
      </c>
      <c r="E12" t="s">
        <v>45</v>
      </c>
      <c r="F12" s="3" t="s">
        <v>185</v>
      </c>
      <c r="G12">
        <v>20018</v>
      </c>
      <c r="H12" t="s">
        <v>219</v>
      </c>
      <c r="I12" t="s">
        <v>220</v>
      </c>
      <c r="J12" t="s">
        <v>95</v>
      </c>
      <c r="K12" t="s">
        <v>95</v>
      </c>
      <c r="L12" t="s">
        <v>16</v>
      </c>
      <c r="M12" t="s">
        <v>241</v>
      </c>
      <c r="N12" t="s">
        <v>53</v>
      </c>
      <c r="O12">
        <v>451</v>
      </c>
      <c r="P12" s="7">
        <v>13647</v>
      </c>
      <c r="Q12">
        <v>7.0000000000000007E-2</v>
      </c>
      <c r="R12">
        <v>1.3</v>
      </c>
      <c r="S12" s="5">
        <f t="shared" si="0"/>
        <v>0.61780821917808215</v>
      </c>
      <c r="T12" t="s">
        <v>16</v>
      </c>
      <c r="U12" t="s">
        <v>16</v>
      </c>
    </row>
    <row r="13" spans="1:21" x14ac:dyDescent="0.3">
      <c r="A13" t="s">
        <v>27</v>
      </c>
      <c r="B13" t="s">
        <v>24</v>
      </c>
      <c r="C13">
        <v>143</v>
      </c>
      <c r="D13" t="s">
        <v>14</v>
      </c>
      <c r="E13" t="s">
        <v>45</v>
      </c>
      <c r="F13" s="3" t="s">
        <v>188</v>
      </c>
      <c r="G13">
        <v>20018</v>
      </c>
      <c r="H13" t="s">
        <v>219</v>
      </c>
      <c r="I13" t="s">
        <v>222</v>
      </c>
      <c r="J13" t="s">
        <v>95</v>
      </c>
      <c r="K13" t="s">
        <v>95</v>
      </c>
      <c r="L13" t="s">
        <v>243</v>
      </c>
      <c r="M13" t="s">
        <v>95</v>
      </c>
      <c r="N13" t="s">
        <v>53</v>
      </c>
      <c r="O13">
        <v>148</v>
      </c>
      <c r="P13" s="7">
        <v>11505</v>
      </c>
      <c r="Q13">
        <v>0.08</v>
      </c>
      <c r="R13">
        <v>1.77</v>
      </c>
      <c r="S13" s="5">
        <f t="shared" si="0"/>
        <v>0.20273972602739726</v>
      </c>
      <c r="T13" t="s">
        <v>16</v>
      </c>
      <c r="U13" t="s">
        <v>16</v>
      </c>
    </row>
    <row r="14" spans="1:21" x14ac:dyDescent="0.3">
      <c r="A14" t="s">
        <v>27</v>
      </c>
      <c r="B14" t="s">
        <v>47</v>
      </c>
      <c r="C14">
        <v>143</v>
      </c>
      <c r="D14" t="s">
        <v>14</v>
      </c>
      <c r="E14" t="s">
        <v>45</v>
      </c>
      <c r="F14" s="3" t="s">
        <v>188</v>
      </c>
      <c r="G14">
        <v>20018</v>
      </c>
      <c r="H14" t="s">
        <v>219</v>
      </c>
      <c r="I14" t="s">
        <v>220</v>
      </c>
      <c r="J14" t="s">
        <v>245</v>
      </c>
      <c r="K14" t="s">
        <v>95</v>
      </c>
      <c r="L14" t="s">
        <v>95</v>
      </c>
      <c r="M14" t="s">
        <v>95</v>
      </c>
      <c r="N14" t="s">
        <v>53</v>
      </c>
      <c r="O14">
        <v>174</v>
      </c>
      <c r="P14" s="7">
        <v>6334</v>
      </c>
      <c r="Q14">
        <v>0.13</v>
      </c>
      <c r="R14">
        <v>1.47</v>
      </c>
      <c r="S14" s="5">
        <f t="shared" si="0"/>
        <v>0.23835616438356164</v>
      </c>
      <c r="T14" t="s">
        <v>16</v>
      </c>
      <c r="U14" t="s">
        <v>16</v>
      </c>
    </row>
    <row r="15" spans="1:21" x14ac:dyDescent="0.3">
      <c r="A15" t="s">
        <v>27</v>
      </c>
      <c r="B15" t="s">
        <v>47</v>
      </c>
      <c r="C15">
        <v>143</v>
      </c>
      <c r="D15" t="s">
        <v>14</v>
      </c>
      <c r="E15" t="s">
        <v>45</v>
      </c>
      <c r="F15" s="3" t="s">
        <v>188</v>
      </c>
      <c r="G15">
        <v>20018</v>
      </c>
      <c r="H15" t="s">
        <v>219</v>
      </c>
      <c r="I15" t="s">
        <v>221</v>
      </c>
      <c r="J15" t="s">
        <v>53</v>
      </c>
      <c r="K15" t="s">
        <v>246</v>
      </c>
      <c r="L15" t="s">
        <v>95</v>
      </c>
      <c r="M15" t="s">
        <v>95</v>
      </c>
      <c r="N15" t="s">
        <v>53</v>
      </c>
      <c r="O15">
        <v>30</v>
      </c>
      <c r="P15" s="7">
        <v>2528</v>
      </c>
      <c r="Q15">
        <v>0.1</v>
      </c>
      <c r="R15">
        <v>1.84</v>
      </c>
      <c r="S15" s="5">
        <f t="shared" si="0"/>
        <v>4.1095890410958902E-2</v>
      </c>
      <c r="T15" t="s">
        <v>16</v>
      </c>
      <c r="U15" t="s">
        <v>16</v>
      </c>
    </row>
    <row r="16" spans="1:21" x14ac:dyDescent="0.3">
      <c r="A16" t="s">
        <v>27</v>
      </c>
      <c r="B16" t="s">
        <v>24</v>
      </c>
      <c r="C16">
        <v>143</v>
      </c>
      <c r="D16" t="s">
        <v>14</v>
      </c>
      <c r="E16" t="s">
        <v>45</v>
      </c>
      <c r="F16" s="3" t="s">
        <v>247</v>
      </c>
      <c r="G16">
        <v>20018</v>
      </c>
      <c r="H16" t="s">
        <v>219</v>
      </c>
      <c r="I16" t="s">
        <v>225</v>
      </c>
      <c r="J16" t="s">
        <v>53</v>
      </c>
      <c r="K16" t="s">
        <v>248</v>
      </c>
      <c r="L16" t="s">
        <v>95</v>
      </c>
      <c r="M16" t="s">
        <v>95</v>
      </c>
      <c r="N16" t="s">
        <v>53</v>
      </c>
      <c r="O16">
        <v>39</v>
      </c>
      <c r="P16" s="7">
        <v>5366</v>
      </c>
      <c r="Q16">
        <v>0.1</v>
      </c>
      <c r="R16">
        <v>2.37</v>
      </c>
      <c r="S16" s="5">
        <f t="shared" si="0"/>
        <v>5.3424657534246578E-2</v>
      </c>
      <c r="T16" t="s">
        <v>16</v>
      </c>
      <c r="U16" t="s">
        <v>16</v>
      </c>
    </row>
    <row r="17" spans="1:21" x14ac:dyDescent="0.3">
      <c r="A17" t="s">
        <v>27</v>
      </c>
      <c r="B17" t="s">
        <v>47</v>
      </c>
      <c r="C17">
        <v>143</v>
      </c>
      <c r="D17" t="s">
        <v>14</v>
      </c>
      <c r="E17" t="s">
        <v>45</v>
      </c>
      <c r="F17" s="3" t="s">
        <v>247</v>
      </c>
      <c r="G17">
        <v>20018</v>
      </c>
      <c r="H17" t="s">
        <v>219</v>
      </c>
      <c r="I17" t="s">
        <v>222</v>
      </c>
      <c r="J17" t="s">
        <v>53</v>
      </c>
      <c r="K17" t="s">
        <v>249</v>
      </c>
      <c r="L17" t="s">
        <v>95</v>
      </c>
      <c r="M17" t="s">
        <v>95</v>
      </c>
      <c r="N17" t="s">
        <v>53</v>
      </c>
      <c r="O17">
        <v>155</v>
      </c>
      <c r="P17" s="7">
        <v>3356</v>
      </c>
      <c r="Q17">
        <v>0.12</v>
      </c>
      <c r="R17">
        <v>1.21</v>
      </c>
      <c r="S17" s="5">
        <f t="shared" si="0"/>
        <v>0.21232876712328766</v>
      </c>
      <c r="T17" t="s">
        <v>16</v>
      </c>
      <c r="U17" t="s">
        <v>16</v>
      </c>
    </row>
    <row r="18" spans="1:21" x14ac:dyDescent="0.3">
      <c r="A18" t="s">
        <v>27</v>
      </c>
      <c r="B18" t="s">
        <v>47</v>
      </c>
      <c r="C18">
        <v>143</v>
      </c>
      <c r="D18" t="s">
        <v>14</v>
      </c>
      <c r="E18" t="s">
        <v>45</v>
      </c>
      <c r="F18" s="3" t="s">
        <v>247</v>
      </c>
      <c r="G18">
        <v>20018</v>
      </c>
      <c r="H18" t="s">
        <v>219</v>
      </c>
      <c r="I18" t="s">
        <v>220</v>
      </c>
      <c r="J18" t="s">
        <v>53</v>
      </c>
      <c r="K18" t="s">
        <v>53</v>
      </c>
      <c r="L18" t="s">
        <v>95</v>
      </c>
      <c r="M18" t="s">
        <v>250</v>
      </c>
      <c r="N18" t="s">
        <v>53</v>
      </c>
      <c r="O18">
        <v>91</v>
      </c>
      <c r="P18" s="7">
        <v>5558</v>
      </c>
      <c r="Q18">
        <v>0.08</v>
      </c>
      <c r="R18">
        <v>1.61</v>
      </c>
      <c r="S18" s="5">
        <f t="shared" si="0"/>
        <v>0.12465753424657534</v>
      </c>
      <c r="T18" t="s">
        <v>16</v>
      </c>
      <c r="U18" t="s">
        <v>16</v>
      </c>
    </row>
    <row r="19" spans="1:21" x14ac:dyDescent="0.3">
      <c r="A19" t="s">
        <v>27</v>
      </c>
      <c r="B19" t="s">
        <v>24</v>
      </c>
      <c r="C19">
        <v>143</v>
      </c>
      <c r="D19" t="s">
        <v>14</v>
      </c>
      <c r="E19" t="s">
        <v>45</v>
      </c>
      <c r="F19" s="3" t="s">
        <v>251</v>
      </c>
      <c r="G19">
        <v>20018</v>
      </c>
      <c r="H19" t="s">
        <v>219</v>
      </c>
      <c r="I19" t="s">
        <v>225</v>
      </c>
      <c r="J19" t="s">
        <v>253</v>
      </c>
      <c r="K19" t="s">
        <v>53</v>
      </c>
      <c r="L19" t="s">
        <v>95</v>
      </c>
      <c r="M19" t="s">
        <v>95</v>
      </c>
      <c r="N19" t="s">
        <v>53</v>
      </c>
      <c r="O19">
        <v>122</v>
      </c>
      <c r="P19" s="7">
        <v>5732</v>
      </c>
      <c r="Q19">
        <v>0.15</v>
      </c>
      <c r="R19">
        <v>1.46</v>
      </c>
      <c r="S19" s="5">
        <f t="shared" si="0"/>
        <v>0.16712328767123288</v>
      </c>
      <c r="T19" t="s">
        <v>16</v>
      </c>
      <c r="U19" t="s">
        <v>16</v>
      </c>
    </row>
    <row r="20" spans="1:21" x14ac:dyDescent="0.3">
      <c r="A20" t="s">
        <v>27</v>
      </c>
      <c r="B20" t="s">
        <v>24</v>
      </c>
      <c r="C20">
        <v>143</v>
      </c>
      <c r="D20" t="s">
        <v>14</v>
      </c>
      <c r="E20" t="s">
        <v>45</v>
      </c>
      <c r="F20" s="3" t="s">
        <v>251</v>
      </c>
      <c r="G20">
        <v>20018</v>
      </c>
      <c r="H20" t="s">
        <v>219</v>
      </c>
      <c r="I20" t="s">
        <v>222</v>
      </c>
      <c r="J20" t="s">
        <v>254</v>
      </c>
      <c r="K20" t="s">
        <v>53</v>
      </c>
      <c r="L20" t="s">
        <v>95</v>
      </c>
      <c r="M20" t="s">
        <v>95</v>
      </c>
      <c r="N20" t="s">
        <v>53</v>
      </c>
      <c r="O20">
        <v>180</v>
      </c>
      <c r="P20" s="7">
        <v>6690</v>
      </c>
      <c r="Q20">
        <v>0.13</v>
      </c>
      <c r="R20">
        <v>1.37</v>
      </c>
      <c r="S20" s="5">
        <f t="shared" si="0"/>
        <v>0.24657534246575341</v>
      </c>
      <c r="T20" t="s">
        <v>16</v>
      </c>
      <c r="U20" t="s">
        <v>16</v>
      </c>
    </row>
    <row r="21" spans="1:21" x14ac:dyDescent="0.3">
      <c r="A21" t="s">
        <v>27</v>
      </c>
      <c r="B21" t="s">
        <v>47</v>
      </c>
      <c r="C21">
        <v>143</v>
      </c>
      <c r="D21" t="s">
        <v>14</v>
      </c>
      <c r="E21" t="s">
        <v>45</v>
      </c>
      <c r="F21" s="3" t="s">
        <v>251</v>
      </c>
      <c r="G21">
        <v>20018</v>
      </c>
      <c r="H21" t="s">
        <v>219</v>
      </c>
      <c r="I21" t="s">
        <v>220</v>
      </c>
      <c r="J21" t="s">
        <v>53</v>
      </c>
      <c r="K21" t="s">
        <v>255</v>
      </c>
      <c r="L21" t="s">
        <v>95</v>
      </c>
      <c r="M21" t="s">
        <v>95</v>
      </c>
      <c r="N21" t="s">
        <v>53</v>
      </c>
      <c r="O21">
        <v>109</v>
      </c>
      <c r="P21" s="7">
        <v>4393</v>
      </c>
      <c r="Q21">
        <v>0.11</v>
      </c>
      <c r="R21">
        <v>1.4</v>
      </c>
      <c r="S21" s="5">
        <f t="shared" si="0"/>
        <v>0.14931506849315068</v>
      </c>
      <c r="T21" t="s">
        <v>16</v>
      </c>
      <c r="U21" t="s">
        <v>16</v>
      </c>
    </row>
    <row r="22" spans="1:21" x14ac:dyDescent="0.3">
      <c r="A22" t="s">
        <v>27</v>
      </c>
      <c r="B22" t="s">
        <v>47</v>
      </c>
      <c r="C22">
        <v>143</v>
      </c>
      <c r="D22" t="s">
        <v>14</v>
      </c>
      <c r="E22" t="s">
        <v>45</v>
      </c>
      <c r="F22" s="3" t="s">
        <v>256</v>
      </c>
      <c r="G22">
        <v>20018</v>
      </c>
      <c r="H22" t="s">
        <v>219</v>
      </c>
      <c r="I22" t="s">
        <v>225</v>
      </c>
      <c r="J22" t="s">
        <v>254</v>
      </c>
      <c r="K22" t="s">
        <v>95</v>
      </c>
      <c r="L22" t="s">
        <v>95</v>
      </c>
      <c r="M22" t="s">
        <v>95</v>
      </c>
      <c r="N22" t="s">
        <v>53</v>
      </c>
      <c r="O22">
        <v>198</v>
      </c>
      <c r="P22" s="7">
        <v>5637</v>
      </c>
      <c r="Q22">
        <v>0.19</v>
      </c>
      <c r="R22">
        <v>1.28</v>
      </c>
      <c r="S22" s="5">
        <f t="shared" si="0"/>
        <v>0.27123287671232876</v>
      </c>
      <c r="T22" t="s">
        <v>16</v>
      </c>
      <c r="U22" t="s">
        <v>16</v>
      </c>
    </row>
    <row r="23" spans="1:21" x14ac:dyDescent="0.3">
      <c r="A23" t="s">
        <v>27</v>
      </c>
      <c r="B23" t="s">
        <v>68</v>
      </c>
      <c r="C23">
        <v>143</v>
      </c>
      <c r="D23" t="s">
        <v>14</v>
      </c>
      <c r="E23" t="s">
        <v>45</v>
      </c>
      <c r="F23" s="3" t="s">
        <v>256</v>
      </c>
      <c r="G23">
        <v>20018</v>
      </c>
      <c r="H23" t="s">
        <v>219</v>
      </c>
      <c r="I23" t="s">
        <v>222</v>
      </c>
      <c r="J23" t="s">
        <v>95</v>
      </c>
      <c r="K23" t="s">
        <v>95</v>
      </c>
      <c r="L23" t="s">
        <v>95</v>
      </c>
      <c r="M23" t="s">
        <v>95</v>
      </c>
      <c r="N23" t="s">
        <v>260</v>
      </c>
      <c r="O23">
        <v>477</v>
      </c>
      <c r="P23" s="7">
        <v>11099</v>
      </c>
      <c r="Q23">
        <v>0.1</v>
      </c>
      <c r="R23">
        <v>1.23</v>
      </c>
      <c r="S23" s="5">
        <f t="shared" si="0"/>
        <v>0.65342465753424661</v>
      </c>
      <c r="T23" t="s">
        <v>16</v>
      </c>
      <c r="U23" t="s">
        <v>16</v>
      </c>
    </row>
    <row r="24" spans="1:21" x14ac:dyDescent="0.3">
      <c r="A24" t="s">
        <v>27</v>
      </c>
      <c r="B24" t="s">
        <v>68</v>
      </c>
      <c r="C24">
        <v>143</v>
      </c>
      <c r="D24" t="s">
        <v>14</v>
      </c>
      <c r="E24" t="s">
        <v>45</v>
      </c>
      <c r="F24" s="3" t="s">
        <v>256</v>
      </c>
      <c r="G24">
        <v>20018</v>
      </c>
      <c r="H24" t="s">
        <v>219</v>
      </c>
      <c r="I24" t="s">
        <v>221</v>
      </c>
      <c r="J24" t="s">
        <v>95</v>
      </c>
      <c r="K24" t="s">
        <v>95</v>
      </c>
      <c r="L24" t="s">
        <v>95</v>
      </c>
      <c r="M24" t="s">
        <v>95</v>
      </c>
      <c r="N24" t="s">
        <v>261</v>
      </c>
      <c r="O24">
        <v>43</v>
      </c>
      <c r="P24" s="7">
        <v>2475</v>
      </c>
      <c r="Q24">
        <v>0.18</v>
      </c>
      <c r="R24">
        <v>1.57</v>
      </c>
      <c r="S24" s="5">
        <f t="shared" si="0"/>
        <v>5.8904109589041097E-2</v>
      </c>
      <c r="T24" t="s">
        <v>16</v>
      </c>
      <c r="U24" t="s">
        <v>16</v>
      </c>
    </row>
    <row r="25" spans="1:21" x14ac:dyDescent="0.3">
      <c r="A25" t="s">
        <v>27</v>
      </c>
      <c r="B25" t="s">
        <v>68</v>
      </c>
      <c r="C25">
        <v>143</v>
      </c>
      <c r="D25" t="s">
        <v>14</v>
      </c>
      <c r="E25" t="s">
        <v>45</v>
      </c>
      <c r="F25" s="3" t="s">
        <v>262</v>
      </c>
      <c r="G25">
        <v>20018</v>
      </c>
      <c r="H25" t="s">
        <v>219</v>
      </c>
      <c r="I25" t="s">
        <v>225</v>
      </c>
      <c r="J25" t="s">
        <v>95</v>
      </c>
      <c r="K25" t="s">
        <v>95</v>
      </c>
      <c r="L25" t="s">
        <v>95</v>
      </c>
      <c r="M25" t="s">
        <v>263</v>
      </c>
      <c r="N25" t="s">
        <v>53</v>
      </c>
      <c r="O25">
        <v>24</v>
      </c>
      <c r="P25" s="7">
        <v>2998</v>
      </c>
      <c r="Q25">
        <v>0.12</v>
      </c>
      <c r="R25">
        <v>2.2400000000000002</v>
      </c>
      <c r="S25" s="5">
        <f t="shared" si="0"/>
        <v>3.287671232876712E-2</v>
      </c>
      <c r="T25" t="s">
        <v>16</v>
      </c>
      <c r="U25" t="s">
        <v>16</v>
      </c>
    </row>
    <row r="26" spans="1:21" x14ac:dyDescent="0.3">
      <c r="A26" t="s">
        <v>27</v>
      </c>
      <c r="B26" t="s">
        <v>68</v>
      </c>
      <c r="C26">
        <v>143</v>
      </c>
      <c r="D26" t="s">
        <v>14</v>
      </c>
      <c r="E26" t="s">
        <v>45</v>
      </c>
      <c r="F26" s="3" t="s">
        <v>262</v>
      </c>
      <c r="G26">
        <v>20018</v>
      </c>
      <c r="H26" t="s">
        <v>219</v>
      </c>
      <c r="I26" t="s">
        <v>220</v>
      </c>
      <c r="J26" t="s">
        <v>95</v>
      </c>
      <c r="K26" t="s">
        <v>95</v>
      </c>
      <c r="L26" t="s">
        <v>95</v>
      </c>
      <c r="M26" t="s">
        <v>95</v>
      </c>
      <c r="N26" t="s">
        <v>264</v>
      </c>
      <c r="O26">
        <v>112</v>
      </c>
      <c r="P26" s="7">
        <v>5485</v>
      </c>
      <c r="Q26">
        <v>0.08</v>
      </c>
      <c r="R26">
        <v>1.48</v>
      </c>
      <c r="S26" s="5">
        <f t="shared" si="0"/>
        <v>0.15342465753424658</v>
      </c>
      <c r="T26" t="s">
        <v>16</v>
      </c>
      <c r="U26" t="s">
        <v>16</v>
      </c>
    </row>
    <row r="27" spans="1:21" x14ac:dyDescent="0.3">
      <c r="A27" t="s">
        <v>27</v>
      </c>
      <c r="B27" t="s">
        <v>47</v>
      </c>
      <c r="C27">
        <v>143</v>
      </c>
      <c r="D27" t="s">
        <v>14</v>
      </c>
      <c r="E27" t="s">
        <v>45</v>
      </c>
      <c r="F27" s="3" t="s">
        <v>48</v>
      </c>
      <c r="G27">
        <v>20018</v>
      </c>
      <c r="H27" t="s">
        <v>219</v>
      </c>
      <c r="I27" t="s">
        <v>225</v>
      </c>
      <c r="J27" t="s">
        <v>95</v>
      </c>
      <c r="K27" t="s">
        <v>95</v>
      </c>
      <c r="L27" t="s">
        <v>95</v>
      </c>
      <c r="M27" t="s">
        <v>265</v>
      </c>
      <c r="N27" t="s">
        <v>53</v>
      </c>
      <c r="O27">
        <v>34</v>
      </c>
      <c r="P27" s="7">
        <v>2150</v>
      </c>
      <c r="Q27">
        <v>0.11</v>
      </c>
      <c r="R27">
        <v>1.63</v>
      </c>
      <c r="S27" s="5">
        <f t="shared" si="0"/>
        <v>4.6575342465753428E-2</v>
      </c>
      <c r="T27" t="s">
        <v>16</v>
      </c>
      <c r="U27" t="s">
        <v>16</v>
      </c>
    </row>
    <row r="28" spans="1:21" x14ac:dyDescent="0.3">
      <c r="A28" t="s">
        <v>27</v>
      </c>
      <c r="B28" t="s">
        <v>47</v>
      </c>
      <c r="C28">
        <v>143</v>
      </c>
      <c r="D28" t="s">
        <v>14</v>
      </c>
      <c r="E28" t="s">
        <v>45</v>
      </c>
      <c r="F28" s="3" t="s">
        <v>48</v>
      </c>
      <c r="G28">
        <v>20018</v>
      </c>
      <c r="H28" t="s">
        <v>219</v>
      </c>
      <c r="I28" t="s">
        <v>222</v>
      </c>
      <c r="J28" t="s">
        <v>95</v>
      </c>
      <c r="K28" t="s">
        <v>95</v>
      </c>
      <c r="L28" t="s">
        <v>95</v>
      </c>
      <c r="M28" t="s">
        <v>95</v>
      </c>
      <c r="N28" t="s">
        <v>267</v>
      </c>
      <c r="O28">
        <v>68</v>
      </c>
      <c r="P28" s="7">
        <v>1705</v>
      </c>
      <c r="Q28">
        <v>0.13</v>
      </c>
      <c r="R28">
        <v>1.25</v>
      </c>
      <c r="S28" s="5">
        <f t="shared" si="0"/>
        <v>9.3150684931506855E-2</v>
      </c>
      <c r="T28" t="s">
        <v>16</v>
      </c>
      <c r="U28" t="s">
        <v>16</v>
      </c>
    </row>
    <row r="29" spans="1:21" x14ac:dyDescent="0.3">
      <c r="A29" t="s">
        <v>27</v>
      </c>
      <c r="B29" t="s">
        <v>24</v>
      </c>
      <c r="C29">
        <v>143</v>
      </c>
      <c r="D29" t="s">
        <v>14</v>
      </c>
      <c r="E29" t="s">
        <v>45</v>
      </c>
      <c r="F29" s="3" t="s">
        <v>48</v>
      </c>
      <c r="G29">
        <v>20018</v>
      </c>
      <c r="H29" t="s">
        <v>219</v>
      </c>
      <c r="I29" t="s">
        <v>220</v>
      </c>
      <c r="J29" t="s">
        <v>269</v>
      </c>
      <c r="K29" t="s">
        <v>95</v>
      </c>
      <c r="L29" t="s">
        <v>95</v>
      </c>
      <c r="M29" t="s">
        <v>95</v>
      </c>
      <c r="N29" t="s">
        <v>95</v>
      </c>
      <c r="O29">
        <v>56</v>
      </c>
      <c r="P29" s="7">
        <v>4846</v>
      </c>
      <c r="Q29">
        <v>0.12</v>
      </c>
      <c r="R29">
        <v>1.86</v>
      </c>
      <c r="S29" s="5">
        <f t="shared" si="0"/>
        <v>7.6712328767123292E-2</v>
      </c>
      <c r="T29" t="s">
        <v>16</v>
      </c>
      <c r="U29" t="s">
        <v>16</v>
      </c>
    </row>
    <row r="30" spans="1:21" x14ac:dyDescent="0.3">
      <c r="A30" t="s">
        <v>27</v>
      </c>
      <c r="B30" t="s">
        <v>24</v>
      </c>
      <c r="C30">
        <v>143</v>
      </c>
      <c r="D30" t="s">
        <v>14</v>
      </c>
      <c r="E30" t="s">
        <v>45</v>
      </c>
      <c r="F30" s="3" t="s">
        <v>50</v>
      </c>
      <c r="G30">
        <v>20018</v>
      </c>
      <c r="H30" t="s">
        <v>219</v>
      </c>
      <c r="I30" t="s">
        <v>225</v>
      </c>
      <c r="J30" t="s">
        <v>270</v>
      </c>
      <c r="K30" t="s">
        <v>95</v>
      </c>
      <c r="L30" t="s">
        <v>95</v>
      </c>
      <c r="M30" t="s">
        <v>95</v>
      </c>
      <c r="N30" t="s">
        <v>95</v>
      </c>
      <c r="O30">
        <v>327</v>
      </c>
      <c r="P30" s="7">
        <v>17376</v>
      </c>
      <c r="Q30">
        <v>0.18</v>
      </c>
      <c r="R30">
        <v>1.53</v>
      </c>
      <c r="S30" s="5">
        <f t="shared" si="0"/>
        <v>0.44794520547945205</v>
      </c>
      <c r="T30" t="s">
        <v>16</v>
      </c>
      <c r="U30" t="s">
        <v>16</v>
      </c>
    </row>
    <row r="31" spans="1:21" x14ac:dyDescent="0.3">
      <c r="A31" t="s">
        <v>27</v>
      </c>
      <c r="B31" t="s">
        <v>24</v>
      </c>
      <c r="C31">
        <v>143</v>
      </c>
      <c r="D31" t="s">
        <v>14</v>
      </c>
      <c r="E31" t="s">
        <v>45</v>
      </c>
      <c r="F31" s="3" t="s">
        <v>50</v>
      </c>
      <c r="G31">
        <v>20018</v>
      </c>
      <c r="H31" t="s">
        <v>219</v>
      </c>
      <c r="I31" t="s">
        <v>222</v>
      </c>
      <c r="J31" t="s">
        <v>95</v>
      </c>
      <c r="K31" t="s">
        <v>95</v>
      </c>
      <c r="L31" t="s">
        <v>95</v>
      </c>
      <c r="M31" t="s">
        <v>95</v>
      </c>
      <c r="N31" t="s">
        <v>271</v>
      </c>
      <c r="O31">
        <v>395</v>
      </c>
      <c r="P31" s="7">
        <v>11994</v>
      </c>
      <c r="Q31">
        <v>0.16</v>
      </c>
      <c r="R31">
        <v>3.18</v>
      </c>
      <c r="S31" s="5">
        <f t="shared" si="0"/>
        <v>0.54109589041095896</v>
      </c>
      <c r="T31" t="s">
        <v>16</v>
      </c>
      <c r="U31" t="s">
        <v>16</v>
      </c>
    </row>
    <row r="32" spans="1:21" x14ac:dyDescent="0.3">
      <c r="A32" t="s">
        <v>27</v>
      </c>
      <c r="B32" t="s">
        <v>24</v>
      </c>
      <c r="C32">
        <v>143</v>
      </c>
      <c r="D32" t="s">
        <v>14</v>
      </c>
      <c r="E32" t="s">
        <v>45</v>
      </c>
      <c r="F32" s="3" t="s">
        <v>50</v>
      </c>
      <c r="G32">
        <v>20018</v>
      </c>
      <c r="H32" t="s">
        <v>219</v>
      </c>
      <c r="I32" t="s">
        <v>220</v>
      </c>
      <c r="J32" t="s">
        <v>95</v>
      </c>
      <c r="K32" t="s">
        <v>272</v>
      </c>
      <c r="L32" t="s">
        <v>95</v>
      </c>
      <c r="M32" t="s">
        <v>95</v>
      </c>
      <c r="N32" t="s">
        <v>53</v>
      </c>
      <c r="O32">
        <v>300</v>
      </c>
      <c r="P32" s="7">
        <v>9065</v>
      </c>
      <c r="Q32">
        <v>0.08</v>
      </c>
      <c r="R32">
        <v>2.16</v>
      </c>
      <c r="S32" s="5">
        <f t="shared" si="0"/>
        <v>0.41095890410958902</v>
      </c>
      <c r="T32" t="s">
        <v>16</v>
      </c>
      <c r="U32" t="s">
        <v>16</v>
      </c>
    </row>
    <row r="33" spans="1:21" x14ac:dyDescent="0.3">
      <c r="A33" t="s">
        <v>27</v>
      </c>
      <c r="B33" t="s">
        <v>24</v>
      </c>
      <c r="C33">
        <v>143</v>
      </c>
      <c r="D33" t="s">
        <v>14</v>
      </c>
      <c r="E33" t="s">
        <v>45</v>
      </c>
      <c r="F33" s="3" t="s">
        <v>50</v>
      </c>
      <c r="G33">
        <v>20018</v>
      </c>
      <c r="H33" t="s">
        <v>219</v>
      </c>
      <c r="I33" t="s">
        <v>221</v>
      </c>
      <c r="J33" t="s">
        <v>95</v>
      </c>
      <c r="K33" t="s">
        <v>53</v>
      </c>
      <c r="L33" t="s">
        <v>95</v>
      </c>
      <c r="M33" t="s">
        <v>95</v>
      </c>
      <c r="N33" t="s">
        <v>260</v>
      </c>
      <c r="O33">
        <v>14</v>
      </c>
      <c r="P33" s="7">
        <v>3539</v>
      </c>
      <c r="Q33">
        <v>0.21</v>
      </c>
      <c r="R33">
        <v>3.52</v>
      </c>
      <c r="S33" s="5">
        <f t="shared" si="0"/>
        <v>1.9178082191780823E-2</v>
      </c>
      <c r="T33" t="s">
        <v>16</v>
      </c>
      <c r="U33" t="s">
        <v>16</v>
      </c>
    </row>
    <row r="34" spans="1:21" x14ac:dyDescent="0.3">
      <c r="A34" t="s">
        <v>27</v>
      </c>
      <c r="B34" t="s">
        <v>47</v>
      </c>
      <c r="C34">
        <v>143</v>
      </c>
      <c r="D34" t="s">
        <v>14</v>
      </c>
      <c r="E34" t="s">
        <v>45</v>
      </c>
      <c r="F34" s="3" t="s">
        <v>273</v>
      </c>
      <c r="G34">
        <v>20018</v>
      </c>
      <c r="H34" t="s">
        <v>219</v>
      </c>
      <c r="I34" t="s">
        <v>222</v>
      </c>
      <c r="J34" t="s">
        <v>95</v>
      </c>
      <c r="K34" t="s">
        <v>53</v>
      </c>
      <c r="L34" t="s">
        <v>95</v>
      </c>
      <c r="M34" t="s">
        <v>274</v>
      </c>
      <c r="N34" t="s">
        <v>53</v>
      </c>
      <c r="O34">
        <v>36</v>
      </c>
      <c r="P34" s="7">
        <v>3548</v>
      </c>
      <c r="Q34">
        <v>0.11</v>
      </c>
      <c r="R34">
        <v>1.98</v>
      </c>
      <c r="S34" s="5">
        <f t="shared" si="0"/>
        <v>4.9315068493150684E-2</v>
      </c>
      <c r="T34" t="s">
        <v>16</v>
      </c>
      <c r="U34" t="s">
        <v>16</v>
      </c>
    </row>
    <row r="35" spans="1:21" x14ac:dyDescent="0.3">
      <c r="A35" t="s">
        <v>27</v>
      </c>
      <c r="B35" t="s">
        <v>24</v>
      </c>
      <c r="C35">
        <v>143</v>
      </c>
      <c r="D35" t="s">
        <v>14</v>
      </c>
      <c r="E35" t="s">
        <v>45</v>
      </c>
      <c r="F35" s="3" t="s">
        <v>273</v>
      </c>
      <c r="G35">
        <v>20018</v>
      </c>
      <c r="H35" t="s">
        <v>219</v>
      </c>
      <c r="I35" t="s">
        <v>220</v>
      </c>
      <c r="J35" t="s">
        <v>95</v>
      </c>
      <c r="K35" t="s">
        <v>53</v>
      </c>
      <c r="L35" t="s">
        <v>95</v>
      </c>
      <c r="M35" t="s">
        <v>95</v>
      </c>
      <c r="N35" t="s">
        <v>275</v>
      </c>
      <c r="O35">
        <v>16</v>
      </c>
      <c r="P35" s="7">
        <v>4060</v>
      </c>
      <c r="Q35">
        <v>0.12</v>
      </c>
      <c r="R35">
        <v>3.53</v>
      </c>
      <c r="S35" s="5">
        <f t="shared" si="0"/>
        <v>2.1917808219178082E-2</v>
      </c>
      <c r="T35" t="s">
        <v>16</v>
      </c>
      <c r="U35" t="s">
        <v>16</v>
      </c>
    </row>
    <row r="36" spans="1:21" x14ac:dyDescent="0.3">
      <c r="A36" t="s">
        <v>27</v>
      </c>
      <c r="B36" t="s">
        <v>24</v>
      </c>
      <c r="C36">
        <v>143</v>
      </c>
      <c r="D36" t="s">
        <v>14</v>
      </c>
      <c r="E36" t="s">
        <v>45</v>
      </c>
      <c r="F36" s="3" t="s">
        <v>273</v>
      </c>
      <c r="G36">
        <v>20018</v>
      </c>
      <c r="H36" t="s">
        <v>219</v>
      </c>
      <c r="I36" t="s">
        <v>221</v>
      </c>
      <c r="J36" t="s">
        <v>95</v>
      </c>
      <c r="K36" t="s">
        <v>53</v>
      </c>
      <c r="L36" t="s">
        <v>95</v>
      </c>
      <c r="M36" t="s">
        <v>95</v>
      </c>
      <c r="N36" t="s">
        <v>229</v>
      </c>
      <c r="O36">
        <v>14</v>
      </c>
      <c r="P36" s="7">
        <v>750</v>
      </c>
      <c r="Q36">
        <v>0.14000000000000001</v>
      </c>
      <c r="R36">
        <v>1.53</v>
      </c>
      <c r="S36" s="5">
        <f t="shared" si="0"/>
        <v>1.9178082191780823E-2</v>
      </c>
      <c r="T36" t="s">
        <v>16</v>
      </c>
      <c r="U36" t="s">
        <v>16</v>
      </c>
    </row>
    <row r="37" spans="1:21" x14ac:dyDescent="0.3">
      <c r="A37" t="s">
        <v>27</v>
      </c>
      <c r="B37" t="s">
        <v>24</v>
      </c>
      <c r="C37">
        <v>143</v>
      </c>
      <c r="D37" t="s">
        <v>14</v>
      </c>
      <c r="E37" t="s">
        <v>45</v>
      </c>
      <c r="F37" s="3" t="s">
        <v>52</v>
      </c>
      <c r="G37">
        <v>20018</v>
      </c>
      <c r="H37" t="s">
        <v>219</v>
      </c>
      <c r="I37" t="s">
        <v>225</v>
      </c>
      <c r="J37" t="s">
        <v>95</v>
      </c>
      <c r="K37" t="s">
        <v>276</v>
      </c>
      <c r="L37" t="s">
        <v>95</v>
      </c>
      <c r="M37" t="s">
        <v>95</v>
      </c>
      <c r="N37" t="s">
        <v>53</v>
      </c>
      <c r="O37">
        <v>65</v>
      </c>
      <c r="P37" s="7">
        <v>4182</v>
      </c>
      <c r="Q37">
        <v>0.18</v>
      </c>
      <c r="R37">
        <v>1.64</v>
      </c>
      <c r="S37" s="5">
        <f t="shared" si="0"/>
        <v>8.9041095890410954E-2</v>
      </c>
      <c r="T37" t="s">
        <v>16</v>
      </c>
      <c r="U37" t="s">
        <v>16</v>
      </c>
    </row>
    <row r="38" spans="1:21" x14ac:dyDescent="0.3">
      <c r="A38" t="s">
        <v>27</v>
      </c>
      <c r="B38" t="s">
        <v>47</v>
      </c>
      <c r="C38">
        <v>143</v>
      </c>
      <c r="D38" t="s">
        <v>14</v>
      </c>
      <c r="E38" t="s">
        <v>45</v>
      </c>
      <c r="F38" s="3" t="s">
        <v>52</v>
      </c>
      <c r="G38">
        <v>20018</v>
      </c>
      <c r="H38" t="s">
        <v>219</v>
      </c>
      <c r="I38" t="s">
        <v>222</v>
      </c>
      <c r="J38" t="s">
        <v>95</v>
      </c>
      <c r="K38" t="s">
        <v>95</v>
      </c>
      <c r="L38" t="s">
        <v>95</v>
      </c>
      <c r="M38" t="s">
        <v>277</v>
      </c>
      <c r="N38" t="s">
        <v>53</v>
      </c>
      <c r="O38">
        <v>58</v>
      </c>
      <c r="P38" s="7">
        <v>2378</v>
      </c>
      <c r="Q38">
        <v>0.1</v>
      </c>
      <c r="R38">
        <v>1.4</v>
      </c>
      <c r="S38" s="5">
        <f t="shared" si="0"/>
        <v>7.9452054794520555E-2</v>
      </c>
      <c r="T38" t="s">
        <v>16</v>
      </c>
      <c r="U38" t="s">
        <v>16</v>
      </c>
    </row>
    <row r="39" spans="1:21" x14ac:dyDescent="0.3">
      <c r="A39" t="s">
        <v>27</v>
      </c>
      <c r="B39" t="s">
        <v>24</v>
      </c>
      <c r="C39">
        <v>143</v>
      </c>
      <c r="D39" t="s">
        <v>14</v>
      </c>
      <c r="E39" t="s">
        <v>45</v>
      </c>
      <c r="F39" s="3" t="s">
        <v>52</v>
      </c>
      <c r="G39">
        <v>20018</v>
      </c>
      <c r="H39" t="s">
        <v>219</v>
      </c>
      <c r="I39" t="s">
        <v>220</v>
      </c>
      <c r="J39" t="s">
        <v>95</v>
      </c>
      <c r="K39" t="s">
        <v>95</v>
      </c>
      <c r="L39" t="s">
        <v>95</v>
      </c>
      <c r="M39" t="s">
        <v>53</v>
      </c>
      <c r="N39" t="s">
        <v>278</v>
      </c>
      <c r="O39">
        <v>111</v>
      </c>
      <c r="P39" s="7">
        <v>5329</v>
      </c>
      <c r="Q39">
        <v>0.1</v>
      </c>
      <c r="R39">
        <v>1.48</v>
      </c>
      <c r="S39" s="5">
        <f t="shared" si="0"/>
        <v>0.15205479452054796</v>
      </c>
      <c r="T39" t="s">
        <v>16</v>
      </c>
      <c r="U39" t="s">
        <v>16</v>
      </c>
    </row>
    <row r="40" spans="1:21" x14ac:dyDescent="0.3">
      <c r="A40" t="s">
        <v>27</v>
      </c>
      <c r="B40" t="s">
        <v>47</v>
      </c>
      <c r="C40">
        <v>143</v>
      </c>
      <c r="D40" t="s">
        <v>14</v>
      </c>
      <c r="E40" t="s">
        <v>45</v>
      </c>
      <c r="F40" s="3" t="s">
        <v>279</v>
      </c>
      <c r="G40">
        <v>20018</v>
      </c>
      <c r="H40" t="s">
        <v>219</v>
      </c>
      <c r="I40" t="s">
        <v>220</v>
      </c>
      <c r="J40" t="s">
        <v>95</v>
      </c>
      <c r="K40" t="s">
        <v>95</v>
      </c>
      <c r="L40" t="s">
        <v>95</v>
      </c>
      <c r="M40" t="s">
        <v>280</v>
      </c>
      <c r="N40" t="s">
        <v>53</v>
      </c>
      <c r="O40">
        <v>159</v>
      </c>
      <c r="P40" s="7">
        <v>7036</v>
      </c>
      <c r="Q40">
        <v>0.06</v>
      </c>
      <c r="R40">
        <v>1.44</v>
      </c>
      <c r="S40" s="5">
        <f t="shared" si="0"/>
        <v>0.21780821917808219</v>
      </c>
      <c r="T40" t="s">
        <v>16</v>
      </c>
      <c r="U40" t="s">
        <v>16</v>
      </c>
    </row>
    <row r="41" spans="1:21" x14ac:dyDescent="0.3">
      <c r="A41" t="s">
        <v>27</v>
      </c>
      <c r="B41" t="s">
        <v>68</v>
      </c>
      <c r="C41">
        <v>143</v>
      </c>
      <c r="D41" t="s">
        <v>14</v>
      </c>
      <c r="E41" t="s">
        <v>45</v>
      </c>
      <c r="F41" s="3" t="s">
        <v>190</v>
      </c>
      <c r="G41">
        <v>20018</v>
      </c>
      <c r="H41" t="s">
        <v>219</v>
      </c>
      <c r="I41" t="s">
        <v>225</v>
      </c>
      <c r="J41" t="s">
        <v>281</v>
      </c>
      <c r="K41" t="s">
        <v>95</v>
      </c>
      <c r="L41" t="s">
        <v>95</v>
      </c>
      <c r="M41" t="s">
        <v>53</v>
      </c>
      <c r="N41" t="s">
        <v>53</v>
      </c>
      <c r="O41">
        <v>174</v>
      </c>
      <c r="P41" s="7">
        <v>6005</v>
      </c>
      <c r="Q41">
        <v>0.13</v>
      </c>
      <c r="R41">
        <v>1.34</v>
      </c>
      <c r="S41" s="5">
        <f t="shared" si="0"/>
        <v>0.23835616438356164</v>
      </c>
      <c r="T41" t="s">
        <v>16</v>
      </c>
      <c r="U41" t="s">
        <v>16</v>
      </c>
    </row>
    <row r="42" spans="1:21" x14ac:dyDescent="0.3">
      <c r="A42" t="s">
        <v>27</v>
      </c>
      <c r="B42" t="s">
        <v>47</v>
      </c>
      <c r="C42">
        <v>143</v>
      </c>
      <c r="D42" t="s">
        <v>14</v>
      </c>
      <c r="E42" t="s">
        <v>45</v>
      </c>
      <c r="F42" s="3" t="s">
        <v>190</v>
      </c>
      <c r="G42">
        <v>20018</v>
      </c>
      <c r="H42" t="s">
        <v>219</v>
      </c>
      <c r="I42" t="s">
        <v>222</v>
      </c>
      <c r="J42" t="s">
        <v>53</v>
      </c>
      <c r="K42" t="s">
        <v>95</v>
      </c>
      <c r="L42" t="s">
        <v>282</v>
      </c>
      <c r="M42" t="s">
        <v>53</v>
      </c>
      <c r="N42" t="s">
        <v>53</v>
      </c>
      <c r="O42">
        <v>138</v>
      </c>
      <c r="P42" s="7">
        <v>5745</v>
      </c>
      <c r="Q42">
        <v>0.1</v>
      </c>
      <c r="R42">
        <v>1.41</v>
      </c>
      <c r="S42" s="5">
        <f t="shared" si="0"/>
        <v>0.18904109589041096</v>
      </c>
      <c r="T42" t="s">
        <v>16</v>
      </c>
      <c r="U42" t="s">
        <v>16</v>
      </c>
    </row>
    <row r="43" spans="1:21" x14ac:dyDescent="0.3">
      <c r="A43" t="s">
        <v>27</v>
      </c>
      <c r="B43" t="s">
        <v>24</v>
      </c>
      <c r="C43">
        <v>143</v>
      </c>
      <c r="D43" t="s">
        <v>14</v>
      </c>
      <c r="E43" t="s">
        <v>45</v>
      </c>
      <c r="F43" s="3" t="s">
        <v>190</v>
      </c>
      <c r="G43">
        <v>20018</v>
      </c>
      <c r="H43" t="s">
        <v>219</v>
      </c>
      <c r="I43" t="s">
        <v>220</v>
      </c>
      <c r="J43" t="s">
        <v>53</v>
      </c>
      <c r="K43" t="s">
        <v>95</v>
      </c>
      <c r="L43" t="s">
        <v>53</v>
      </c>
      <c r="M43" t="s">
        <v>53</v>
      </c>
      <c r="N43" t="s">
        <v>283</v>
      </c>
      <c r="O43">
        <v>240</v>
      </c>
      <c r="P43" s="7">
        <v>9925</v>
      </c>
      <c r="Q43">
        <v>0.05</v>
      </c>
      <c r="R43">
        <v>1.41</v>
      </c>
      <c r="S43" s="5">
        <f t="shared" si="0"/>
        <v>0.32876712328767121</v>
      </c>
      <c r="T43" t="s">
        <v>16</v>
      </c>
      <c r="U43" t="s">
        <v>16</v>
      </c>
    </row>
    <row r="44" spans="1:21" x14ac:dyDescent="0.3">
      <c r="A44" t="s">
        <v>27</v>
      </c>
      <c r="B44" t="s">
        <v>24</v>
      </c>
      <c r="C44">
        <v>143</v>
      </c>
      <c r="D44" t="s">
        <v>14</v>
      </c>
      <c r="E44" t="s">
        <v>45</v>
      </c>
      <c r="F44" s="3" t="s">
        <v>190</v>
      </c>
      <c r="G44">
        <v>20018</v>
      </c>
      <c r="H44" t="s">
        <v>219</v>
      </c>
      <c r="I44" t="s">
        <v>221</v>
      </c>
      <c r="J44" t="s">
        <v>285</v>
      </c>
      <c r="K44" t="s">
        <v>95</v>
      </c>
      <c r="L44" t="s">
        <v>53</v>
      </c>
      <c r="M44" t="s">
        <v>53</v>
      </c>
      <c r="N44" t="s">
        <v>95</v>
      </c>
      <c r="O44">
        <v>14</v>
      </c>
      <c r="P44" s="7">
        <v>2318</v>
      </c>
      <c r="Q44">
        <v>0.21</v>
      </c>
      <c r="R44">
        <v>2.65</v>
      </c>
      <c r="S44" s="5">
        <f t="shared" si="0"/>
        <v>1.9178082191780823E-2</v>
      </c>
      <c r="T44" t="s">
        <v>16</v>
      </c>
      <c r="U44" t="s">
        <v>16</v>
      </c>
    </row>
    <row r="45" spans="1:21" x14ac:dyDescent="0.3">
      <c r="A45" t="s">
        <v>27</v>
      </c>
      <c r="B45" t="s">
        <v>47</v>
      </c>
      <c r="C45">
        <v>143</v>
      </c>
      <c r="D45" t="s">
        <v>14</v>
      </c>
      <c r="E45" t="s">
        <v>45</v>
      </c>
      <c r="F45" s="3" t="s">
        <v>55</v>
      </c>
      <c r="G45">
        <v>20018</v>
      </c>
      <c r="H45" t="s">
        <v>219</v>
      </c>
      <c r="I45" t="s">
        <v>225</v>
      </c>
      <c r="J45" t="s">
        <v>286</v>
      </c>
      <c r="K45" t="s">
        <v>95</v>
      </c>
      <c r="L45" t="s">
        <v>53</v>
      </c>
      <c r="M45" t="s">
        <v>53</v>
      </c>
      <c r="N45" t="s">
        <v>95</v>
      </c>
      <c r="O45">
        <v>134</v>
      </c>
      <c r="P45" s="7">
        <v>2642</v>
      </c>
      <c r="Q45">
        <v>0.14000000000000001</v>
      </c>
      <c r="R45">
        <v>1.19</v>
      </c>
      <c r="S45" s="5">
        <f t="shared" si="0"/>
        <v>0.18356164383561643</v>
      </c>
      <c r="T45" t="s">
        <v>16</v>
      </c>
      <c r="U45" t="s">
        <v>16</v>
      </c>
    </row>
    <row r="46" spans="1:21" x14ac:dyDescent="0.3">
      <c r="A46" t="s">
        <v>27</v>
      </c>
      <c r="B46" t="s">
        <v>24</v>
      </c>
      <c r="C46">
        <v>143</v>
      </c>
      <c r="D46" t="s">
        <v>14</v>
      </c>
      <c r="E46" t="s">
        <v>45</v>
      </c>
      <c r="F46" s="3" t="s">
        <v>55</v>
      </c>
      <c r="G46">
        <v>20018</v>
      </c>
      <c r="H46" t="s">
        <v>219</v>
      </c>
      <c r="I46" t="s">
        <v>222</v>
      </c>
      <c r="J46" t="s">
        <v>53</v>
      </c>
      <c r="K46" t="s">
        <v>95</v>
      </c>
      <c r="L46" t="s">
        <v>53</v>
      </c>
      <c r="M46" t="s">
        <v>287</v>
      </c>
      <c r="N46" t="s">
        <v>95</v>
      </c>
      <c r="O46">
        <v>135</v>
      </c>
      <c r="P46" s="7">
        <v>8114</v>
      </c>
      <c r="Q46">
        <v>7.0000000000000007E-2</v>
      </c>
      <c r="R46">
        <v>1.6</v>
      </c>
      <c r="S46" s="5">
        <f t="shared" si="0"/>
        <v>0.18493150684931506</v>
      </c>
      <c r="T46" t="s">
        <v>16</v>
      </c>
      <c r="U46" t="s">
        <v>16</v>
      </c>
    </row>
    <row r="47" spans="1:21" x14ac:dyDescent="0.3">
      <c r="A47" t="s">
        <v>27</v>
      </c>
      <c r="B47" t="s">
        <v>24</v>
      </c>
      <c r="C47">
        <v>143</v>
      </c>
      <c r="D47" t="s">
        <v>14</v>
      </c>
      <c r="E47" t="s">
        <v>45</v>
      </c>
      <c r="F47" s="3" t="s">
        <v>55</v>
      </c>
      <c r="G47">
        <v>20018</v>
      </c>
      <c r="H47" t="s">
        <v>219</v>
      </c>
      <c r="I47" t="s">
        <v>220</v>
      </c>
      <c r="J47" t="s">
        <v>53</v>
      </c>
      <c r="K47" t="s">
        <v>288</v>
      </c>
      <c r="L47" t="s">
        <v>53</v>
      </c>
      <c r="M47" t="s">
        <v>53</v>
      </c>
      <c r="N47" t="s">
        <v>95</v>
      </c>
      <c r="O47">
        <v>101</v>
      </c>
      <c r="P47" s="7">
        <v>15958</v>
      </c>
      <c r="Q47">
        <v>7.0000000000000007E-2</v>
      </c>
      <c r="R47">
        <v>2.58</v>
      </c>
      <c r="S47" s="5">
        <f t="shared" si="0"/>
        <v>0.13835616438356163</v>
      </c>
      <c r="T47" t="s">
        <v>16</v>
      </c>
      <c r="U47" t="s">
        <v>16</v>
      </c>
    </row>
    <row r="48" spans="1:21" x14ac:dyDescent="0.3">
      <c r="A48" t="s">
        <v>27</v>
      </c>
      <c r="B48" t="s">
        <v>24</v>
      </c>
      <c r="C48">
        <v>143</v>
      </c>
      <c r="D48" t="s">
        <v>14</v>
      </c>
      <c r="E48" t="s">
        <v>45</v>
      </c>
      <c r="F48" s="3" t="s">
        <v>55</v>
      </c>
      <c r="G48">
        <v>20018</v>
      </c>
      <c r="H48" t="s">
        <v>219</v>
      </c>
      <c r="I48" t="s">
        <v>221</v>
      </c>
      <c r="J48" t="s">
        <v>53</v>
      </c>
      <c r="K48" t="s">
        <v>53</v>
      </c>
      <c r="L48" t="s">
        <v>53</v>
      </c>
      <c r="M48" t="s">
        <v>53</v>
      </c>
      <c r="N48" t="s">
        <v>267</v>
      </c>
      <c r="O48">
        <v>18</v>
      </c>
      <c r="P48" s="7">
        <v>1548</v>
      </c>
      <c r="Q48">
        <v>0.11</v>
      </c>
      <c r="R48">
        <v>1.86</v>
      </c>
      <c r="S48" s="5">
        <f t="shared" si="0"/>
        <v>2.4657534246575342E-2</v>
      </c>
      <c r="T48" t="s">
        <v>16</v>
      </c>
      <c r="U48" t="s">
        <v>16</v>
      </c>
    </row>
    <row r="49" spans="1:21" x14ac:dyDescent="0.3">
      <c r="A49" t="s">
        <v>27</v>
      </c>
      <c r="B49" t="s">
        <v>24</v>
      </c>
      <c r="C49">
        <v>143</v>
      </c>
      <c r="D49" t="s">
        <v>14</v>
      </c>
      <c r="E49" t="s">
        <v>45</v>
      </c>
      <c r="F49" s="3" t="s">
        <v>57</v>
      </c>
      <c r="G49">
        <v>20018</v>
      </c>
      <c r="H49" t="s">
        <v>219</v>
      </c>
      <c r="I49" t="s">
        <v>225</v>
      </c>
      <c r="J49" t="s">
        <v>53</v>
      </c>
      <c r="K49" t="s">
        <v>53</v>
      </c>
      <c r="L49" t="s">
        <v>53</v>
      </c>
      <c r="M49" t="s">
        <v>53</v>
      </c>
      <c r="N49" t="s">
        <v>289</v>
      </c>
      <c r="O49">
        <v>47</v>
      </c>
      <c r="P49" s="7">
        <v>3767</v>
      </c>
      <c r="Q49">
        <v>0.08</v>
      </c>
      <c r="R49">
        <v>1.8</v>
      </c>
      <c r="S49" s="5">
        <f t="shared" si="0"/>
        <v>6.4383561643835616E-2</v>
      </c>
      <c r="T49" t="s">
        <v>16</v>
      </c>
      <c r="U49" t="s">
        <v>16</v>
      </c>
    </row>
    <row r="50" spans="1:21" x14ac:dyDescent="0.3">
      <c r="A50" t="s">
        <v>27</v>
      </c>
      <c r="B50" t="s">
        <v>47</v>
      </c>
      <c r="C50">
        <v>143</v>
      </c>
      <c r="D50" t="s">
        <v>14</v>
      </c>
      <c r="E50" t="s">
        <v>45</v>
      </c>
      <c r="F50" s="3" t="s">
        <v>57</v>
      </c>
      <c r="G50">
        <v>20018</v>
      </c>
      <c r="H50" t="s">
        <v>219</v>
      </c>
      <c r="I50" t="s">
        <v>222</v>
      </c>
      <c r="J50" t="s">
        <v>53</v>
      </c>
      <c r="K50" t="s">
        <v>53</v>
      </c>
      <c r="L50" t="s">
        <v>290</v>
      </c>
      <c r="M50" t="s">
        <v>53</v>
      </c>
      <c r="N50" t="s">
        <v>53</v>
      </c>
      <c r="O50">
        <v>115</v>
      </c>
      <c r="P50" s="7">
        <v>14505</v>
      </c>
      <c r="Q50">
        <v>0.14000000000000001</v>
      </c>
      <c r="R50">
        <v>2.2599999999999998</v>
      </c>
      <c r="S50" s="5">
        <f t="shared" si="0"/>
        <v>0.15753424657534246</v>
      </c>
      <c r="T50" t="s">
        <v>16</v>
      </c>
      <c r="U50" t="s">
        <v>16</v>
      </c>
    </row>
    <row r="51" spans="1:21" x14ac:dyDescent="0.3">
      <c r="A51" t="s">
        <v>27</v>
      </c>
      <c r="B51" t="s">
        <v>291</v>
      </c>
      <c r="C51">
        <v>143</v>
      </c>
      <c r="D51" t="s">
        <v>14</v>
      </c>
      <c r="E51" t="s">
        <v>45</v>
      </c>
      <c r="F51" s="3" t="s">
        <v>57</v>
      </c>
      <c r="G51">
        <v>20018</v>
      </c>
      <c r="H51" t="s">
        <v>219</v>
      </c>
      <c r="I51" t="s">
        <v>220</v>
      </c>
      <c r="J51" t="s">
        <v>53</v>
      </c>
      <c r="K51" t="s">
        <v>53</v>
      </c>
      <c r="L51" t="s">
        <v>53</v>
      </c>
      <c r="M51" t="s">
        <v>53</v>
      </c>
      <c r="N51" t="s">
        <v>292</v>
      </c>
      <c r="O51">
        <v>100</v>
      </c>
      <c r="P51" s="7">
        <v>12827</v>
      </c>
      <c r="Q51">
        <v>0.08</v>
      </c>
      <c r="R51">
        <v>2.2799999999999998</v>
      </c>
      <c r="S51" s="5">
        <f t="shared" si="0"/>
        <v>0.13698630136986301</v>
      </c>
      <c r="T51" t="s">
        <v>16</v>
      </c>
      <c r="U51" t="s">
        <v>16</v>
      </c>
    </row>
    <row r="52" spans="1:21" x14ac:dyDescent="0.3">
      <c r="A52" t="s">
        <v>27</v>
      </c>
      <c r="B52" t="s">
        <v>296</v>
      </c>
      <c r="C52">
        <v>143</v>
      </c>
      <c r="D52" t="s">
        <v>14</v>
      </c>
      <c r="E52" t="s">
        <v>45</v>
      </c>
      <c r="F52" s="3" t="s">
        <v>293</v>
      </c>
      <c r="G52">
        <v>20018</v>
      </c>
      <c r="H52" t="s">
        <v>219</v>
      </c>
      <c r="I52" t="s">
        <v>294</v>
      </c>
      <c r="J52" t="s">
        <v>295</v>
      </c>
      <c r="K52" t="s">
        <v>53</v>
      </c>
      <c r="L52" t="s">
        <v>53</v>
      </c>
      <c r="M52" t="s">
        <v>53</v>
      </c>
      <c r="N52" t="s">
        <v>53</v>
      </c>
      <c r="O52">
        <v>195</v>
      </c>
      <c r="P52" s="7">
        <v>1993</v>
      </c>
      <c r="Q52">
        <v>0.11</v>
      </c>
      <c r="R52">
        <v>1.1000000000000001</v>
      </c>
      <c r="S52" s="5">
        <f t="shared" si="0"/>
        <v>0.26712328767123289</v>
      </c>
      <c r="T52" t="s">
        <v>16</v>
      </c>
      <c r="U52" t="s">
        <v>16</v>
      </c>
    </row>
    <row r="53" spans="1:21" x14ac:dyDescent="0.3">
      <c r="A53" t="s">
        <v>27</v>
      </c>
      <c r="B53" t="s">
        <v>297</v>
      </c>
      <c r="C53">
        <v>143</v>
      </c>
      <c r="D53" t="s">
        <v>14</v>
      </c>
      <c r="E53" t="s">
        <v>45</v>
      </c>
      <c r="F53" s="3" t="s">
        <v>293</v>
      </c>
      <c r="G53">
        <v>20018</v>
      </c>
      <c r="H53" t="s">
        <v>219</v>
      </c>
      <c r="I53" t="s">
        <v>222</v>
      </c>
      <c r="J53" t="s">
        <v>95</v>
      </c>
      <c r="K53" t="s">
        <v>298</v>
      </c>
      <c r="L53" t="s">
        <v>53</v>
      </c>
      <c r="M53" t="s">
        <v>53</v>
      </c>
      <c r="N53" t="s">
        <v>53</v>
      </c>
      <c r="O53">
        <v>39</v>
      </c>
      <c r="P53" s="7">
        <v>6527</v>
      </c>
      <c r="Q53">
        <v>0.12</v>
      </c>
      <c r="R53">
        <v>2.67</v>
      </c>
      <c r="S53" s="5">
        <f t="shared" si="0"/>
        <v>5.3424657534246578E-2</v>
      </c>
      <c r="T53" t="s">
        <v>16</v>
      </c>
      <c r="U53" t="s">
        <v>16</v>
      </c>
    </row>
    <row r="54" spans="1:21" x14ac:dyDescent="0.3">
      <c r="A54" t="s">
        <v>27</v>
      </c>
      <c r="B54" t="s">
        <v>297</v>
      </c>
      <c r="C54">
        <v>143</v>
      </c>
      <c r="D54" t="s">
        <v>14</v>
      </c>
      <c r="E54" t="s">
        <v>45</v>
      </c>
      <c r="F54" s="3" t="s">
        <v>293</v>
      </c>
      <c r="G54">
        <v>20018</v>
      </c>
      <c r="H54" t="s">
        <v>219</v>
      </c>
      <c r="I54" t="s">
        <v>220</v>
      </c>
      <c r="J54" t="s">
        <v>286</v>
      </c>
      <c r="K54" t="s">
        <v>53</v>
      </c>
      <c r="L54" t="s">
        <v>53</v>
      </c>
      <c r="M54" t="s">
        <v>53</v>
      </c>
      <c r="N54" t="s">
        <v>53</v>
      </c>
      <c r="O54">
        <v>26</v>
      </c>
      <c r="P54" s="7">
        <v>4878</v>
      </c>
      <c r="Q54">
        <v>0.19</v>
      </c>
      <c r="R54">
        <v>2.87</v>
      </c>
      <c r="S54" s="5">
        <f t="shared" si="0"/>
        <v>3.5616438356164383E-2</v>
      </c>
      <c r="T54" t="s">
        <v>16</v>
      </c>
      <c r="U54" t="s">
        <v>16</v>
      </c>
    </row>
    <row r="55" spans="1:21" x14ac:dyDescent="0.3">
      <c r="A55" t="s">
        <v>27</v>
      </c>
      <c r="B55" t="s">
        <v>297</v>
      </c>
      <c r="C55">
        <v>143</v>
      </c>
      <c r="D55" t="s">
        <v>14</v>
      </c>
      <c r="E55" t="s">
        <v>45</v>
      </c>
      <c r="F55" s="3" t="s">
        <v>293</v>
      </c>
      <c r="G55">
        <v>20018</v>
      </c>
      <c r="H55" t="s">
        <v>219</v>
      </c>
      <c r="I55" t="s">
        <v>299</v>
      </c>
      <c r="J55" t="s">
        <v>53</v>
      </c>
      <c r="K55" t="s">
        <v>53</v>
      </c>
      <c r="L55" t="s">
        <v>53</v>
      </c>
      <c r="M55" t="s">
        <v>53</v>
      </c>
      <c r="N55" t="s">
        <v>300</v>
      </c>
      <c r="O55">
        <v>18</v>
      </c>
      <c r="P55" s="7">
        <v>839</v>
      </c>
      <c r="Q55">
        <v>0.16</v>
      </c>
      <c r="R55">
        <v>1.46</v>
      </c>
      <c r="S55" s="5">
        <f t="shared" si="0"/>
        <v>2.4657534246575342E-2</v>
      </c>
      <c r="T55" t="s">
        <v>16</v>
      </c>
      <c r="U55" t="s">
        <v>16</v>
      </c>
    </row>
    <row r="56" spans="1:21" x14ac:dyDescent="0.3">
      <c r="A56" t="s">
        <v>27</v>
      </c>
      <c r="B56" t="s">
        <v>297</v>
      </c>
      <c r="C56">
        <v>143</v>
      </c>
      <c r="D56" t="s">
        <v>14</v>
      </c>
      <c r="E56" t="s">
        <v>45</v>
      </c>
      <c r="F56" s="3" t="s">
        <v>302</v>
      </c>
      <c r="G56">
        <v>20018</v>
      </c>
      <c r="H56" t="s">
        <v>219</v>
      </c>
      <c r="I56" t="s">
        <v>225</v>
      </c>
      <c r="J56" t="s">
        <v>53</v>
      </c>
      <c r="K56" t="s">
        <v>301</v>
      </c>
      <c r="L56" t="s">
        <v>53</v>
      </c>
      <c r="M56" t="s">
        <v>53</v>
      </c>
      <c r="N56" t="s">
        <v>53</v>
      </c>
      <c r="O56">
        <v>27</v>
      </c>
      <c r="P56" s="7">
        <v>5068</v>
      </c>
      <c r="Q56">
        <v>0.11</v>
      </c>
      <c r="R56">
        <v>2.87</v>
      </c>
      <c r="S56" s="5">
        <f t="shared" si="0"/>
        <v>3.6986301369863014E-2</v>
      </c>
      <c r="T56" t="s">
        <v>16</v>
      </c>
      <c r="U56" t="s">
        <v>16</v>
      </c>
    </row>
    <row r="57" spans="1:21" x14ac:dyDescent="0.3">
      <c r="A57" t="s">
        <v>27</v>
      </c>
      <c r="B57" t="s">
        <v>297</v>
      </c>
      <c r="C57">
        <v>143</v>
      </c>
      <c r="D57" t="s">
        <v>14</v>
      </c>
      <c r="E57" t="s">
        <v>45</v>
      </c>
      <c r="F57" s="3" t="s">
        <v>303</v>
      </c>
      <c r="G57">
        <v>20018</v>
      </c>
      <c r="H57" t="s">
        <v>219</v>
      </c>
      <c r="I57" t="s">
        <v>304</v>
      </c>
      <c r="J57" t="s">
        <v>305</v>
      </c>
      <c r="K57" t="s">
        <v>53</v>
      </c>
      <c r="L57" t="s">
        <v>53</v>
      </c>
      <c r="M57" t="s">
        <v>53</v>
      </c>
      <c r="N57" t="s">
        <v>53</v>
      </c>
      <c r="O57">
        <v>171</v>
      </c>
      <c r="P57" s="7">
        <v>6681</v>
      </c>
      <c r="Q57">
        <v>0.12</v>
      </c>
      <c r="R57">
        <v>1.39</v>
      </c>
      <c r="S57" s="5">
        <f t="shared" si="0"/>
        <v>0.23424657534246576</v>
      </c>
      <c r="T57" t="s">
        <v>16</v>
      </c>
      <c r="U57" t="s">
        <v>16</v>
      </c>
    </row>
    <row r="58" spans="1:21" x14ac:dyDescent="0.3">
      <c r="A58" t="s">
        <v>27</v>
      </c>
      <c r="B58" t="s">
        <v>297</v>
      </c>
      <c r="C58">
        <v>143</v>
      </c>
      <c r="D58" t="s">
        <v>14</v>
      </c>
      <c r="E58" t="s">
        <v>45</v>
      </c>
      <c r="F58" s="3" t="s">
        <v>306</v>
      </c>
      <c r="G58">
        <v>20018</v>
      </c>
      <c r="H58" t="s">
        <v>219</v>
      </c>
      <c r="I58" t="s">
        <v>307</v>
      </c>
      <c r="J58" t="s">
        <v>53</v>
      </c>
      <c r="K58" t="s">
        <v>308</v>
      </c>
      <c r="L58" t="s">
        <v>53</v>
      </c>
      <c r="M58" t="s">
        <v>53</v>
      </c>
      <c r="N58" t="s">
        <v>53</v>
      </c>
      <c r="O58">
        <v>33</v>
      </c>
      <c r="P58" s="7">
        <v>6898</v>
      </c>
      <c r="Q58">
        <v>0.12</v>
      </c>
      <c r="R58">
        <v>3.09</v>
      </c>
      <c r="S58" s="5">
        <f t="shared" si="0"/>
        <v>4.5205479452054796E-2</v>
      </c>
      <c r="T58" t="s">
        <v>16</v>
      </c>
      <c r="U58" t="s">
        <v>16</v>
      </c>
    </row>
    <row r="59" spans="1:21" x14ac:dyDescent="0.3">
      <c r="A59" t="s">
        <v>27</v>
      </c>
      <c r="B59" t="s">
        <v>297</v>
      </c>
      <c r="C59">
        <v>143</v>
      </c>
      <c r="D59" t="s">
        <v>14</v>
      </c>
      <c r="E59" t="s">
        <v>45</v>
      </c>
      <c r="F59" s="3" t="s">
        <v>306</v>
      </c>
      <c r="G59">
        <v>20018</v>
      </c>
      <c r="H59" t="s">
        <v>219</v>
      </c>
      <c r="I59" t="s">
        <v>222</v>
      </c>
      <c r="J59" t="s">
        <v>53</v>
      </c>
      <c r="K59" t="s">
        <v>53</v>
      </c>
      <c r="L59" t="s">
        <v>53</v>
      </c>
      <c r="M59" t="s">
        <v>309</v>
      </c>
      <c r="N59" t="s">
        <v>53</v>
      </c>
      <c r="O59">
        <v>58</v>
      </c>
      <c r="P59" s="7">
        <v>9136</v>
      </c>
      <c r="Q59">
        <v>0.1</v>
      </c>
      <c r="R59">
        <v>2.57</v>
      </c>
      <c r="S59" s="5">
        <f t="shared" si="0"/>
        <v>7.9452054794520555E-2</v>
      </c>
      <c r="T59" t="s">
        <v>16</v>
      </c>
      <c r="U59" t="s">
        <v>16</v>
      </c>
    </row>
    <row r="60" spans="1:21" x14ac:dyDescent="0.3">
      <c r="A60" t="s">
        <v>27</v>
      </c>
      <c r="B60" t="s">
        <v>47</v>
      </c>
      <c r="C60">
        <v>143</v>
      </c>
      <c r="D60" t="s">
        <v>14</v>
      </c>
      <c r="E60" t="s">
        <v>45</v>
      </c>
      <c r="F60" s="3" t="s">
        <v>306</v>
      </c>
      <c r="G60">
        <v>20018</v>
      </c>
      <c r="H60" t="s">
        <v>219</v>
      </c>
      <c r="I60" t="s">
        <v>220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>
        <v>58</v>
      </c>
      <c r="P60" s="7">
        <v>5156</v>
      </c>
      <c r="Q60">
        <v>0.15</v>
      </c>
      <c r="R60">
        <v>1.88</v>
      </c>
      <c r="S60" s="5">
        <f t="shared" si="0"/>
        <v>7.9452054794520555E-2</v>
      </c>
      <c r="T60" t="s">
        <v>16</v>
      </c>
      <c r="U60" t="s">
        <v>16</v>
      </c>
    </row>
    <row r="61" spans="1:21" x14ac:dyDescent="0.3">
      <c r="A61" t="s">
        <v>27</v>
      </c>
      <c r="B61" t="s">
        <v>47</v>
      </c>
      <c r="C61">
        <v>143</v>
      </c>
      <c r="D61" t="s">
        <v>14</v>
      </c>
      <c r="E61" t="s">
        <v>45</v>
      </c>
      <c r="F61" s="3" t="s">
        <v>310</v>
      </c>
      <c r="G61">
        <v>20018</v>
      </c>
      <c r="H61" t="s">
        <v>219</v>
      </c>
      <c r="I61" t="s">
        <v>225</v>
      </c>
      <c r="J61" t="s">
        <v>311</v>
      </c>
      <c r="K61" t="s">
        <v>53</v>
      </c>
      <c r="L61" t="s">
        <v>53</v>
      </c>
      <c r="M61" t="s">
        <v>53</v>
      </c>
      <c r="N61" t="s">
        <v>53</v>
      </c>
      <c r="O61">
        <v>116</v>
      </c>
      <c r="P61" s="7">
        <v>1194</v>
      </c>
      <c r="Q61">
        <v>0.13</v>
      </c>
      <c r="R61">
        <v>1.1000000000000001</v>
      </c>
      <c r="S61" s="5">
        <f t="shared" si="0"/>
        <v>0.15890410958904111</v>
      </c>
      <c r="T61" t="s">
        <v>16</v>
      </c>
      <c r="U61" t="s">
        <v>16</v>
      </c>
    </row>
    <row r="62" spans="1:21" x14ac:dyDescent="0.3">
      <c r="A62" t="s">
        <v>27</v>
      </c>
      <c r="B62" t="s">
        <v>47</v>
      </c>
      <c r="C62">
        <v>143</v>
      </c>
      <c r="D62" t="s">
        <v>14</v>
      </c>
      <c r="E62" t="s">
        <v>45</v>
      </c>
      <c r="F62" s="3" t="s">
        <v>310</v>
      </c>
      <c r="G62">
        <v>20018</v>
      </c>
      <c r="H62" t="s">
        <v>219</v>
      </c>
      <c r="I62" t="s">
        <v>220</v>
      </c>
      <c r="J62" t="s">
        <v>53</v>
      </c>
      <c r="K62" t="s">
        <v>53</v>
      </c>
      <c r="L62" t="s">
        <v>53</v>
      </c>
      <c r="M62" t="s">
        <v>53</v>
      </c>
      <c r="N62" t="s">
        <v>312</v>
      </c>
      <c r="O62">
        <v>75</v>
      </c>
      <c r="P62" s="7">
        <v>3106</v>
      </c>
      <c r="Q62">
        <v>0.11</v>
      </c>
      <c r="R62">
        <v>1.41</v>
      </c>
      <c r="S62" s="5">
        <f t="shared" si="0"/>
        <v>0.10273972602739725</v>
      </c>
      <c r="T62" t="s">
        <v>16</v>
      </c>
      <c r="U62" t="s">
        <v>16</v>
      </c>
    </row>
    <row r="63" spans="1:21" x14ac:dyDescent="0.3">
      <c r="A63" t="s">
        <v>27</v>
      </c>
      <c r="B63" t="s">
        <v>313</v>
      </c>
      <c r="C63">
        <v>143</v>
      </c>
      <c r="D63" t="s">
        <v>14</v>
      </c>
      <c r="E63" t="s">
        <v>45</v>
      </c>
      <c r="F63" s="3" t="s">
        <v>61</v>
      </c>
      <c r="G63">
        <v>20018</v>
      </c>
      <c r="H63" t="s">
        <v>219</v>
      </c>
      <c r="I63" t="s">
        <v>225</v>
      </c>
      <c r="J63" t="s">
        <v>314</v>
      </c>
      <c r="K63" t="s">
        <v>53</v>
      </c>
      <c r="L63" t="s">
        <v>53</v>
      </c>
      <c r="M63" t="s">
        <v>53</v>
      </c>
      <c r="N63" t="s">
        <v>53</v>
      </c>
      <c r="O63">
        <v>156</v>
      </c>
      <c r="P63" s="7">
        <v>12271</v>
      </c>
      <c r="Q63">
        <v>0.17</v>
      </c>
      <c r="R63">
        <v>1.78</v>
      </c>
      <c r="S63" s="5">
        <f t="shared" si="0"/>
        <v>0.21369863013698631</v>
      </c>
      <c r="T63" t="s">
        <v>16</v>
      </c>
      <c r="U63" t="s">
        <v>16</v>
      </c>
    </row>
    <row r="64" spans="1:21" x14ac:dyDescent="0.3">
      <c r="A64" t="s">
        <v>27</v>
      </c>
      <c r="B64" t="s">
        <v>313</v>
      </c>
      <c r="C64">
        <v>143</v>
      </c>
      <c r="D64" t="s">
        <v>14</v>
      </c>
      <c r="E64" t="s">
        <v>45</v>
      </c>
      <c r="F64" s="3" t="s">
        <v>61</v>
      </c>
      <c r="G64">
        <v>20018</v>
      </c>
      <c r="H64" t="s">
        <v>219</v>
      </c>
      <c r="I64" t="s">
        <v>222</v>
      </c>
      <c r="J64" t="s">
        <v>315</v>
      </c>
      <c r="K64" t="s">
        <v>53</v>
      </c>
      <c r="L64" t="s">
        <v>53</v>
      </c>
      <c r="M64" t="s">
        <v>53</v>
      </c>
      <c r="N64" t="s">
        <v>53</v>
      </c>
      <c r="O64">
        <v>54</v>
      </c>
      <c r="P64" s="7">
        <v>4525</v>
      </c>
      <c r="Q64">
        <v>0.18</v>
      </c>
      <c r="R64">
        <v>1.83</v>
      </c>
      <c r="S64" s="5">
        <f t="shared" si="0"/>
        <v>7.3972602739726029E-2</v>
      </c>
      <c r="T64" t="s">
        <v>16</v>
      </c>
      <c r="U64" t="s">
        <v>16</v>
      </c>
    </row>
    <row r="65" spans="1:21" x14ac:dyDescent="0.3">
      <c r="A65" t="s">
        <v>27</v>
      </c>
      <c r="B65" t="s">
        <v>313</v>
      </c>
      <c r="C65">
        <v>143</v>
      </c>
      <c r="D65" t="s">
        <v>14</v>
      </c>
      <c r="E65" t="s">
        <v>45</v>
      </c>
      <c r="F65" s="3" t="s">
        <v>61</v>
      </c>
      <c r="G65">
        <v>20018</v>
      </c>
      <c r="H65" t="s">
        <v>219</v>
      </c>
      <c r="I65" t="s">
        <v>316</v>
      </c>
      <c r="J65" t="s">
        <v>317</v>
      </c>
      <c r="K65" t="s">
        <v>53</v>
      </c>
      <c r="L65" t="s">
        <v>53</v>
      </c>
      <c r="M65" t="s">
        <v>53</v>
      </c>
      <c r="N65" t="s">
        <v>53</v>
      </c>
      <c r="O65">
        <v>105</v>
      </c>
      <c r="P65" s="7">
        <v>6074</v>
      </c>
      <c r="Q65">
        <v>0.1</v>
      </c>
      <c r="R65">
        <v>1.57</v>
      </c>
      <c r="S65" s="5">
        <f t="shared" si="0"/>
        <v>0.14383561643835616</v>
      </c>
      <c r="T65" t="s">
        <v>16</v>
      </c>
      <c r="U65" t="s">
        <v>16</v>
      </c>
    </row>
    <row r="66" spans="1:21" x14ac:dyDescent="0.3">
      <c r="A66" t="s">
        <v>27</v>
      </c>
      <c r="B66" t="s">
        <v>47</v>
      </c>
      <c r="C66">
        <v>143</v>
      </c>
      <c r="D66" t="s">
        <v>14</v>
      </c>
      <c r="E66" t="s">
        <v>45</v>
      </c>
      <c r="F66" s="3" t="s">
        <v>318</v>
      </c>
      <c r="G66">
        <v>20018</v>
      </c>
      <c r="H66" t="s">
        <v>219</v>
      </c>
      <c r="I66" t="s">
        <v>222</v>
      </c>
      <c r="J66" t="s">
        <v>319</v>
      </c>
      <c r="K66" t="s">
        <v>320</v>
      </c>
      <c r="L66" t="s">
        <v>53</v>
      </c>
      <c r="M66" t="s">
        <v>53</v>
      </c>
      <c r="N66" t="s">
        <v>53</v>
      </c>
      <c r="O66">
        <v>134</v>
      </c>
      <c r="P66" s="7">
        <v>3615</v>
      </c>
      <c r="Q66">
        <v>0.08</v>
      </c>
      <c r="R66">
        <v>1.26</v>
      </c>
      <c r="S66" s="5">
        <f t="shared" si="0"/>
        <v>0.18356164383561643</v>
      </c>
      <c r="T66" t="s">
        <v>16</v>
      </c>
      <c r="U66" t="s">
        <v>16</v>
      </c>
    </row>
    <row r="67" spans="1:21" x14ac:dyDescent="0.3">
      <c r="A67" t="s">
        <v>27</v>
      </c>
      <c r="B67" t="s">
        <v>24</v>
      </c>
      <c r="C67">
        <v>143</v>
      </c>
      <c r="D67" t="s">
        <v>14</v>
      </c>
      <c r="E67" t="s">
        <v>45</v>
      </c>
      <c r="F67" s="3" t="s">
        <v>318</v>
      </c>
      <c r="G67">
        <v>20018</v>
      </c>
      <c r="H67" t="s">
        <v>219</v>
      </c>
      <c r="I67" t="s">
        <v>220</v>
      </c>
      <c r="J67" t="s">
        <v>321</v>
      </c>
      <c r="K67" t="s">
        <v>95</v>
      </c>
      <c r="L67" t="s">
        <v>53</v>
      </c>
      <c r="M67" t="s">
        <v>53</v>
      </c>
      <c r="N67" t="s">
        <v>53</v>
      </c>
      <c r="O67">
        <v>290</v>
      </c>
      <c r="P67" s="7">
        <v>7805</v>
      </c>
      <c r="Q67">
        <v>0.11</v>
      </c>
      <c r="R67">
        <v>1.52</v>
      </c>
      <c r="S67" s="5">
        <f t="shared" ref="S67:S130" si="1">O67/730</f>
        <v>0.39726027397260272</v>
      </c>
      <c r="T67" t="s">
        <v>16</v>
      </c>
      <c r="U67" t="s">
        <v>16</v>
      </c>
    </row>
    <row r="68" spans="1:21" x14ac:dyDescent="0.3">
      <c r="A68" t="s">
        <v>27</v>
      </c>
      <c r="B68" t="s">
        <v>24</v>
      </c>
      <c r="C68">
        <v>143</v>
      </c>
      <c r="D68" t="s">
        <v>14</v>
      </c>
      <c r="E68" t="s">
        <v>45</v>
      </c>
      <c r="F68" s="3" t="s">
        <v>322</v>
      </c>
      <c r="G68">
        <v>20018</v>
      </c>
      <c r="H68" t="s">
        <v>219</v>
      </c>
      <c r="I68" t="s">
        <v>323</v>
      </c>
      <c r="J68" t="s">
        <v>95</v>
      </c>
      <c r="K68" t="s">
        <v>95</v>
      </c>
      <c r="L68" t="s">
        <v>53</v>
      </c>
      <c r="M68" t="s">
        <v>53</v>
      </c>
      <c r="N68" t="s">
        <v>324</v>
      </c>
      <c r="O68">
        <v>40</v>
      </c>
      <c r="P68" s="7">
        <v>5878</v>
      </c>
      <c r="Q68">
        <v>0.17</v>
      </c>
      <c r="R68">
        <v>2.46</v>
      </c>
      <c r="S68" s="5">
        <f t="shared" si="1"/>
        <v>5.4794520547945202E-2</v>
      </c>
      <c r="T68" t="s">
        <v>16</v>
      </c>
      <c r="U68" t="s">
        <v>16</v>
      </c>
    </row>
    <row r="69" spans="1:21" x14ac:dyDescent="0.3">
      <c r="A69" t="s">
        <v>27</v>
      </c>
      <c r="B69" t="s">
        <v>24</v>
      </c>
      <c r="C69">
        <v>143</v>
      </c>
      <c r="D69" t="s">
        <v>14</v>
      </c>
      <c r="E69" t="s">
        <v>45</v>
      </c>
      <c r="F69" s="3" t="s">
        <v>322</v>
      </c>
      <c r="G69">
        <v>20018</v>
      </c>
      <c r="H69" t="s">
        <v>219</v>
      </c>
      <c r="I69" t="s">
        <v>220</v>
      </c>
      <c r="J69" t="s">
        <v>325</v>
      </c>
      <c r="K69" t="s">
        <v>95</v>
      </c>
      <c r="L69" t="s">
        <v>53</v>
      </c>
      <c r="M69" t="s">
        <v>53</v>
      </c>
      <c r="N69" t="s">
        <v>53</v>
      </c>
      <c r="O69">
        <v>53</v>
      </c>
      <c r="P69" s="7">
        <v>3528</v>
      </c>
      <c r="Q69">
        <v>0.15</v>
      </c>
      <c r="R69">
        <v>1.66</v>
      </c>
      <c r="S69" s="5">
        <f t="shared" si="1"/>
        <v>7.260273972602739E-2</v>
      </c>
      <c r="T69" t="s">
        <v>16</v>
      </c>
      <c r="U69" t="s">
        <v>16</v>
      </c>
    </row>
    <row r="70" spans="1:21" x14ac:dyDescent="0.3">
      <c r="A70" t="s">
        <v>27</v>
      </c>
      <c r="B70" t="s">
        <v>24</v>
      </c>
      <c r="C70">
        <v>143</v>
      </c>
      <c r="D70" t="s">
        <v>14</v>
      </c>
      <c r="E70" t="s">
        <v>45</v>
      </c>
      <c r="F70" s="3" t="s">
        <v>326</v>
      </c>
      <c r="G70">
        <v>20018</v>
      </c>
      <c r="H70" t="s">
        <v>219</v>
      </c>
      <c r="I70" t="s">
        <v>323</v>
      </c>
      <c r="J70" t="s">
        <v>53</v>
      </c>
      <c r="K70" t="s">
        <v>95</v>
      </c>
      <c r="L70" t="s">
        <v>53</v>
      </c>
      <c r="M70" t="s">
        <v>327</v>
      </c>
      <c r="N70" t="s">
        <v>53</v>
      </c>
      <c r="O70">
        <v>27</v>
      </c>
      <c r="P70" s="7">
        <v>1978</v>
      </c>
      <c r="Q70">
        <v>0.14000000000000001</v>
      </c>
      <c r="R70">
        <v>1.73</v>
      </c>
      <c r="S70" s="5">
        <f t="shared" si="1"/>
        <v>3.6986301369863014E-2</v>
      </c>
      <c r="T70" t="s">
        <v>16</v>
      </c>
      <c r="U70" t="s">
        <v>16</v>
      </c>
    </row>
    <row r="71" spans="1:21" x14ac:dyDescent="0.3">
      <c r="A71" t="s">
        <v>27</v>
      </c>
      <c r="B71" t="s">
        <v>47</v>
      </c>
      <c r="C71">
        <v>143</v>
      </c>
      <c r="D71" t="s">
        <v>14</v>
      </c>
      <c r="E71" t="s">
        <v>45</v>
      </c>
      <c r="F71" s="3" t="s">
        <v>326</v>
      </c>
      <c r="G71">
        <v>20018</v>
      </c>
      <c r="H71" t="s">
        <v>219</v>
      </c>
      <c r="I71" t="s">
        <v>222</v>
      </c>
      <c r="J71" t="s">
        <v>53</v>
      </c>
      <c r="K71" t="s">
        <v>95</v>
      </c>
      <c r="L71" t="s">
        <v>53</v>
      </c>
      <c r="M71" t="s">
        <v>319</v>
      </c>
      <c r="N71" t="s">
        <v>328</v>
      </c>
      <c r="O71">
        <v>13</v>
      </c>
      <c r="P71" s="7">
        <v>3800</v>
      </c>
      <c r="Q71">
        <v>0.23</v>
      </c>
      <c r="R71">
        <v>3.92</v>
      </c>
      <c r="S71" s="5">
        <f t="shared" si="1"/>
        <v>1.7808219178082191E-2</v>
      </c>
      <c r="T71" t="s">
        <v>16</v>
      </c>
      <c r="U71" t="s">
        <v>16</v>
      </c>
    </row>
    <row r="72" spans="1:21" x14ac:dyDescent="0.3">
      <c r="A72" t="s">
        <v>27</v>
      </c>
      <c r="B72" t="s">
        <v>47</v>
      </c>
      <c r="C72">
        <v>143</v>
      </c>
      <c r="D72" t="s">
        <v>14</v>
      </c>
      <c r="E72" t="s">
        <v>45</v>
      </c>
      <c r="F72" s="3" t="s">
        <v>326</v>
      </c>
      <c r="G72">
        <v>20018</v>
      </c>
      <c r="H72" t="s">
        <v>219</v>
      </c>
      <c r="I72" t="s">
        <v>220</v>
      </c>
      <c r="J72" t="s">
        <v>329</v>
      </c>
      <c r="K72" t="s">
        <v>95</v>
      </c>
      <c r="L72" t="s">
        <v>53</v>
      </c>
      <c r="M72" t="s">
        <v>319</v>
      </c>
      <c r="N72" t="s">
        <v>53</v>
      </c>
      <c r="O72">
        <v>38</v>
      </c>
      <c r="P72" s="7">
        <v>3628</v>
      </c>
      <c r="Q72">
        <v>0.15</v>
      </c>
      <c r="R72">
        <v>1.95</v>
      </c>
      <c r="S72" s="5">
        <f t="shared" si="1"/>
        <v>5.2054794520547946E-2</v>
      </c>
      <c r="T72" t="s">
        <v>16</v>
      </c>
      <c r="U72" t="s">
        <v>16</v>
      </c>
    </row>
    <row r="73" spans="1:21" x14ac:dyDescent="0.3">
      <c r="A73" t="s">
        <v>27</v>
      </c>
      <c r="B73" t="s">
        <v>24</v>
      </c>
      <c r="C73">
        <v>143</v>
      </c>
      <c r="D73" t="s">
        <v>14</v>
      </c>
      <c r="E73" t="s">
        <v>45</v>
      </c>
      <c r="F73" s="3" t="s">
        <v>330</v>
      </c>
      <c r="G73">
        <v>20018</v>
      </c>
      <c r="H73" t="s">
        <v>219</v>
      </c>
      <c r="I73" t="s">
        <v>222</v>
      </c>
      <c r="J73" t="s">
        <v>331</v>
      </c>
      <c r="K73" t="s">
        <v>95</v>
      </c>
      <c r="L73" t="s">
        <v>53</v>
      </c>
      <c r="M73" t="s">
        <v>319</v>
      </c>
      <c r="N73" t="s">
        <v>53</v>
      </c>
      <c r="O73">
        <v>64</v>
      </c>
      <c r="P73" s="7">
        <v>4828</v>
      </c>
      <c r="Q73">
        <v>0.14000000000000001</v>
      </c>
      <c r="R73">
        <v>1.75</v>
      </c>
      <c r="S73" s="5">
        <f t="shared" si="1"/>
        <v>8.7671232876712329E-2</v>
      </c>
      <c r="T73" t="s">
        <v>16</v>
      </c>
      <c r="U73" t="s">
        <v>16</v>
      </c>
    </row>
    <row r="74" spans="1:21" x14ac:dyDescent="0.3">
      <c r="A74" t="s">
        <v>27</v>
      </c>
      <c r="B74" t="s">
        <v>47</v>
      </c>
      <c r="C74">
        <v>143</v>
      </c>
      <c r="D74" t="s">
        <v>14</v>
      </c>
      <c r="E74" t="s">
        <v>45</v>
      </c>
      <c r="F74" s="3" t="s">
        <v>330</v>
      </c>
      <c r="G74">
        <v>20018</v>
      </c>
      <c r="H74" t="s">
        <v>219</v>
      </c>
      <c r="I74" t="s">
        <v>316</v>
      </c>
      <c r="J74" t="s">
        <v>95</v>
      </c>
      <c r="K74" t="s">
        <v>95</v>
      </c>
      <c r="L74" t="s">
        <v>53</v>
      </c>
      <c r="M74" t="s">
        <v>319</v>
      </c>
      <c r="N74" t="s">
        <v>332</v>
      </c>
      <c r="O74">
        <v>175</v>
      </c>
      <c r="P74" s="7">
        <v>11305</v>
      </c>
      <c r="Q74">
        <v>7.0000000000000007E-2</v>
      </c>
      <c r="R74">
        <v>1.64</v>
      </c>
      <c r="S74" s="5">
        <f t="shared" si="1"/>
        <v>0.23972602739726026</v>
      </c>
      <c r="T74" t="s">
        <v>16</v>
      </c>
      <c r="U74" t="s">
        <v>16</v>
      </c>
    </row>
    <row r="75" spans="1:21" x14ac:dyDescent="0.3">
      <c r="A75" t="s">
        <v>27</v>
      </c>
      <c r="B75" t="s">
        <v>68</v>
      </c>
      <c r="C75">
        <v>143</v>
      </c>
      <c r="D75" t="s">
        <v>14</v>
      </c>
      <c r="E75" t="s">
        <v>45</v>
      </c>
      <c r="F75" s="3" t="s">
        <v>333</v>
      </c>
      <c r="G75">
        <v>20018</v>
      </c>
      <c r="H75" t="s">
        <v>219</v>
      </c>
      <c r="I75" t="s">
        <v>225</v>
      </c>
      <c r="J75" t="s">
        <v>95</v>
      </c>
      <c r="K75" t="s">
        <v>95</v>
      </c>
      <c r="L75" t="s">
        <v>53</v>
      </c>
      <c r="M75" t="s">
        <v>319</v>
      </c>
      <c r="N75" t="s">
        <v>334</v>
      </c>
      <c r="O75">
        <v>104</v>
      </c>
      <c r="P75" s="7">
        <v>5686</v>
      </c>
      <c r="Q75">
        <v>0.08</v>
      </c>
      <c r="R75">
        <v>1.54</v>
      </c>
      <c r="S75" s="5">
        <f t="shared" si="1"/>
        <v>0.14246575342465753</v>
      </c>
      <c r="T75" t="s">
        <v>16</v>
      </c>
      <c r="U75" t="s">
        <v>16</v>
      </c>
    </row>
    <row r="76" spans="1:21" x14ac:dyDescent="0.3">
      <c r="A76" t="s">
        <v>27</v>
      </c>
      <c r="B76" t="s">
        <v>68</v>
      </c>
      <c r="C76">
        <v>143</v>
      </c>
      <c r="D76" t="s">
        <v>14</v>
      </c>
      <c r="E76" t="s">
        <v>45</v>
      </c>
      <c r="F76" s="3" t="s">
        <v>333</v>
      </c>
      <c r="G76">
        <v>20018</v>
      </c>
      <c r="H76" t="s">
        <v>219</v>
      </c>
      <c r="I76" t="s">
        <v>222</v>
      </c>
      <c r="J76" t="s">
        <v>95</v>
      </c>
      <c r="K76" t="s">
        <v>95</v>
      </c>
      <c r="L76" t="s">
        <v>53</v>
      </c>
      <c r="M76" t="s">
        <v>335</v>
      </c>
      <c r="N76" t="s">
        <v>53</v>
      </c>
      <c r="O76">
        <v>40</v>
      </c>
      <c r="P76" s="7">
        <v>5689</v>
      </c>
      <c r="Q76">
        <v>7.0000000000000007E-2</v>
      </c>
      <c r="R76">
        <v>2.42</v>
      </c>
      <c r="S76" s="5">
        <f t="shared" si="1"/>
        <v>5.4794520547945202E-2</v>
      </c>
      <c r="T76" t="s">
        <v>16</v>
      </c>
      <c r="U76" t="s">
        <v>16</v>
      </c>
    </row>
    <row r="77" spans="1:21" x14ac:dyDescent="0.3">
      <c r="A77" t="s">
        <v>27</v>
      </c>
      <c r="B77" t="s">
        <v>68</v>
      </c>
      <c r="C77">
        <v>143</v>
      </c>
      <c r="D77" t="s">
        <v>14</v>
      </c>
      <c r="E77" t="s">
        <v>45</v>
      </c>
      <c r="F77" s="3" t="s">
        <v>336</v>
      </c>
      <c r="G77">
        <v>20018</v>
      </c>
      <c r="H77" t="s">
        <v>219</v>
      </c>
      <c r="I77" t="s">
        <v>225</v>
      </c>
      <c r="J77" t="s">
        <v>95</v>
      </c>
      <c r="K77" t="s">
        <v>95</v>
      </c>
      <c r="L77" t="s">
        <v>337</v>
      </c>
      <c r="M77" t="s">
        <v>53</v>
      </c>
      <c r="N77" t="s">
        <v>53</v>
      </c>
      <c r="O77">
        <v>15</v>
      </c>
      <c r="P77" s="7">
        <v>4759</v>
      </c>
      <c r="Q77">
        <v>0.2</v>
      </c>
      <c r="R77">
        <v>4.17</v>
      </c>
      <c r="S77" s="5">
        <f t="shared" si="1"/>
        <v>2.0547945205479451E-2</v>
      </c>
      <c r="T77" t="s">
        <v>16</v>
      </c>
      <c r="U77" t="s">
        <v>16</v>
      </c>
    </row>
    <row r="78" spans="1:21" x14ac:dyDescent="0.3">
      <c r="A78" t="s">
        <v>27</v>
      </c>
      <c r="B78" t="s">
        <v>68</v>
      </c>
      <c r="C78">
        <v>143</v>
      </c>
      <c r="D78" t="s">
        <v>14</v>
      </c>
      <c r="E78" t="s">
        <v>45</v>
      </c>
      <c r="F78" s="3" t="s">
        <v>336</v>
      </c>
      <c r="G78">
        <v>20018</v>
      </c>
      <c r="H78" t="s">
        <v>219</v>
      </c>
      <c r="I78" t="s">
        <v>222</v>
      </c>
      <c r="J78" t="s">
        <v>95</v>
      </c>
      <c r="K78" t="s">
        <v>95</v>
      </c>
      <c r="L78" t="s">
        <v>53</v>
      </c>
      <c r="M78" t="s">
        <v>53</v>
      </c>
      <c r="N78" t="s">
        <v>338</v>
      </c>
      <c r="O78">
        <v>69</v>
      </c>
      <c r="P78" s="7">
        <v>10207</v>
      </c>
      <c r="Q78">
        <v>0.1</v>
      </c>
      <c r="R78">
        <v>2.4700000000000002</v>
      </c>
      <c r="S78" s="5">
        <f t="shared" si="1"/>
        <v>9.452054794520548E-2</v>
      </c>
      <c r="T78" t="s">
        <v>16</v>
      </c>
      <c r="U78" t="s">
        <v>16</v>
      </c>
    </row>
    <row r="79" spans="1:21" x14ac:dyDescent="0.3">
      <c r="A79" t="s">
        <v>27</v>
      </c>
      <c r="B79" t="s">
        <v>68</v>
      </c>
      <c r="C79">
        <v>143</v>
      </c>
      <c r="D79" t="s">
        <v>14</v>
      </c>
      <c r="E79" t="s">
        <v>45</v>
      </c>
      <c r="F79" s="3" t="s">
        <v>336</v>
      </c>
      <c r="G79">
        <v>20018</v>
      </c>
      <c r="H79" t="s">
        <v>219</v>
      </c>
      <c r="I79" t="s">
        <v>339</v>
      </c>
      <c r="J79" t="s">
        <v>95</v>
      </c>
      <c r="K79" t="s">
        <v>95</v>
      </c>
      <c r="L79" t="s">
        <v>53</v>
      </c>
      <c r="M79" t="s">
        <v>53</v>
      </c>
      <c r="N79" t="s">
        <v>340</v>
      </c>
      <c r="O79">
        <v>49</v>
      </c>
      <c r="P79" s="7">
        <v>13236</v>
      </c>
      <c r="Q79">
        <v>0.12</v>
      </c>
      <c r="R79">
        <v>3.7</v>
      </c>
      <c r="S79" s="5">
        <f t="shared" si="1"/>
        <v>6.7123287671232879E-2</v>
      </c>
      <c r="T79" t="s">
        <v>16</v>
      </c>
      <c r="U79" t="s">
        <v>16</v>
      </c>
    </row>
    <row r="80" spans="1:21" x14ac:dyDescent="0.3">
      <c r="A80" t="s">
        <v>27</v>
      </c>
      <c r="B80" t="s">
        <v>68</v>
      </c>
      <c r="C80">
        <v>143</v>
      </c>
      <c r="D80" t="s">
        <v>14</v>
      </c>
      <c r="E80" t="s">
        <v>45</v>
      </c>
      <c r="F80" s="3" t="s">
        <v>341</v>
      </c>
      <c r="G80">
        <v>20018</v>
      </c>
      <c r="H80" t="s">
        <v>219</v>
      </c>
      <c r="I80" t="s">
        <v>220</v>
      </c>
      <c r="J80" t="s">
        <v>95</v>
      </c>
      <c r="K80" t="s">
        <v>342</v>
      </c>
      <c r="L80" t="s">
        <v>53</v>
      </c>
      <c r="M80" t="s">
        <v>53</v>
      </c>
      <c r="N80" t="s">
        <v>95</v>
      </c>
      <c r="O80">
        <v>163</v>
      </c>
      <c r="P80" s="7">
        <v>10694</v>
      </c>
      <c r="Q80">
        <v>0.06</v>
      </c>
      <c r="R80">
        <v>1.65</v>
      </c>
      <c r="S80" s="5">
        <f t="shared" si="1"/>
        <v>0.22328767123287671</v>
      </c>
      <c r="T80" t="s">
        <v>16</v>
      </c>
      <c r="U80" t="s">
        <v>16</v>
      </c>
    </row>
    <row r="81" spans="1:21" x14ac:dyDescent="0.3">
      <c r="A81" t="s">
        <v>27</v>
      </c>
      <c r="B81" t="s">
        <v>68</v>
      </c>
      <c r="C81">
        <v>143</v>
      </c>
      <c r="D81" t="s">
        <v>14</v>
      </c>
      <c r="E81" t="s">
        <v>45</v>
      </c>
      <c r="F81" s="3" t="s">
        <v>343</v>
      </c>
      <c r="G81">
        <v>20018</v>
      </c>
      <c r="H81" t="s">
        <v>219</v>
      </c>
      <c r="I81" t="s">
        <v>222</v>
      </c>
      <c r="J81" t="s">
        <v>95</v>
      </c>
      <c r="K81" t="s">
        <v>344</v>
      </c>
      <c r="L81" t="s">
        <v>53</v>
      </c>
      <c r="M81" t="s">
        <v>53</v>
      </c>
      <c r="N81" t="s">
        <v>275</v>
      </c>
      <c r="O81">
        <v>13</v>
      </c>
      <c r="P81" s="7">
        <v>5088</v>
      </c>
      <c r="Q81">
        <v>0.15</v>
      </c>
      <c r="R81">
        <v>4.91</v>
      </c>
      <c r="S81" s="5">
        <f t="shared" si="1"/>
        <v>1.7808219178082191E-2</v>
      </c>
      <c r="T81" t="s">
        <v>16</v>
      </c>
      <c r="U81" t="s">
        <v>16</v>
      </c>
    </row>
    <row r="82" spans="1:21" x14ac:dyDescent="0.3">
      <c r="A82" t="s">
        <v>27</v>
      </c>
      <c r="B82" t="s">
        <v>47</v>
      </c>
      <c r="C82">
        <v>143</v>
      </c>
      <c r="D82" t="s">
        <v>14</v>
      </c>
      <c r="E82" t="s">
        <v>45</v>
      </c>
      <c r="F82" s="3" t="s">
        <v>343</v>
      </c>
      <c r="G82">
        <v>20018</v>
      </c>
      <c r="H82" t="s">
        <v>219</v>
      </c>
      <c r="I82" t="s">
        <v>220</v>
      </c>
      <c r="J82" t="s">
        <v>345</v>
      </c>
      <c r="K82" t="s">
        <v>344</v>
      </c>
      <c r="L82" t="s">
        <v>53</v>
      </c>
      <c r="M82" t="s">
        <v>53</v>
      </c>
      <c r="N82" t="s">
        <v>95</v>
      </c>
      <c r="O82">
        <v>160</v>
      </c>
      <c r="P82" s="7">
        <v>3915</v>
      </c>
      <c r="Q82">
        <v>0.09</v>
      </c>
      <c r="R82">
        <v>1.24</v>
      </c>
      <c r="S82" s="5">
        <f t="shared" si="1"/>
        <v>0.21917808219178081</v>
      </c>
      <c r="T82" t="s">
        <v>16</v>
      </c>
      <c r="U82" t="s">
        <v>16</v>
      </c>
    </row>
    <row r="83" spans="1:21" x14ac:dyDescent="0.3">
      <c r="A83" t="s">
        <v>27</v>
      </c>
      <c r="B83" t="s">
        <v>68</v>
      </c>
      <c r="C83">
        <v>143</v>
      </c>
      <c r="D83" t="s">
        <v>14</v>
      </c>
      <c r="E83" t="s">
        <v>45</v>
      </c>
      <c r="F83" s="3" t="s">
        <v>346</v>
      </c>
      <c r="G83">
        <v>20018</v>
      </c>
      <c r="H83" t="s">
        <v>219</v>
      </c>
      <c r="I83" t="s">
        <v>225</v>
      </c>
      <c r="J83" t="s">
        <v>95</v>
      </c>
      <c r="K83" t="s">
        <v>344</v>
      </c>
      <c r="L83" t="s">
        <v>53</v>
      </c>
      <c r="M83" t="s">
        <v>53</v>
      </c>
      <c r="N83" t="s">
        <v>347</v>
      </c>
      <c r="O83">
        <v>15</v>
      </c>
      <c r="P83" s="7">
        <v>3239</v>
      </c>
      <c r="Q83">
        <v>0.13</v>
      </c>
      <c r="R83">
        <v>3.15</v>
      </c>
      <c r="S83" s="5">
        <f t="shared" si="1"/>
        <v>2.0547945205479451E-2</v>
      </c>
      <c r="T83" t="s">
        <v>16</v>
      </c>
      <c r="U83" t="s">
        <v>16</v>
      </c>
    </row>
    <row r="84" spans="1:21" x14ac:dyDescent="0.3">
      <c r="A84" t="s">
        <v>27</v>
      </c>
      <c r="B84" t="s">
        <v>348</v>
      </c>
      <c r="C84">
        <v>143</v>
      </c>
      <c r="D84" t="s">
        <v>14</v>
      </c>
      <c r="E84" t="s">
        <v>45</v>
      </c>
      <c r="F84" s="3" t="s">
        <v>346</v>
      </c>
      <c r="G84">
        <v>20018</v>
      </c>
      <c r="H84" t="s">
        <v>219</v>
      </c>
      <c r="I84" t="s">
        <v>222</v>
      </c>
      <c r="J84" t="s">
        <v>95</v>
      </c>
      <c r="K84" t="s">
        <v>344</v>
      </c>
      <c r="L84" t="s">
        <v>53</v>
      </c>
      <c r="M84" t="s">
        <v>53</v>
      </c>
      <c r="N84" t="s">
        <v>349</v>
      </c>
      <c r="O84">
        <v>51</v>
      </c>
      <c r="P84" s="7">
        <v>4746</v>
      </c>
      <c r="Q84">
        <v>0.13</v>
      </c>
      <c r="R84">
        <v>1.93</v>
      </c>
      <c r="S84" s="5">
        <f t="shared" si="1"/>
        <v>6.9863013698630141E-2</v>
      </c>
      <c r="T84" t="s">
        <v>16</v>
      </c>
      <c r="U84" t="s">
        <v>16</v>
      </c>
    </row>
    <row r="85" spans="1:21" x14ac:dyDescent="0.3">
      <c r="A85" t="s">
        <v>27</v>
      </c>
      <c r="B85" t="s">
        <v>68</v>
      </c>
      <c r="C85">
        <v>143</v>
      </c>
      <c r="D85" t="s">
        <v>14</v>
      </c>
      <c r="E85" t="s">
        <v>45</v>
      </c>
      <c r="F85" s="3" t="s">
        <v>346</v>
      </c>
      <c r="G85">
        <v>20018</v>
      </c>
      <c r="H85" t="s">
        <v>219</v>
      </c>
      <c r="I85" t="s">
        <v>220</v>
      </c>
      <c r="J85" t="s">
        <v>95</v>
      </c>
      <c r="K85" t="s">
        <v>344</v>
      </c>
      <c r="L85" t="s">
        <v>53</v>
      </c>
      <c r="M85" t="s">
        <v>350</v>
      </c>
      <c r="N85" t="s">
        <v>344</v>
      </c>
      <c r="O85">
        <v>30</v>
      </c>
      <c r="P85" s="7">
        <v>7319</v>
      </c>
      <c r="Q85">
        <v>0.1</v>
      </c>
      <c r="R85">
        <v>3.43</v>
      </c>
      <c r="S85" s="5">
        <f t="shared" si="1"/>
        <v>4.1095890410958902E-2</v>
      </c>
      <c r="T85" t="s">
        <v>16</v>
      </c>
      <c r="U85" t="s">
        <v>16</v>
      </c>
    </row>
    <row r="86" spans="1:21" x14ac:dyDescent="0.3">
      <c r="A86" t="s">
        <v>27</v>
      </c>
      <c r="B86" t="s">
        <v>68</v>
      </c>
      <c r="C86">
        <v>143</v>
      </c>
      <c r="D86" t="s">
        <v>14</v>
      </c>
      <c r="E86" t="s">
        <v>45</v>
      </c>
      <c r="F86" s="3" t="s">
        <v>351</v>
      </c>
      <c r="G86">
        <v>20018</v>
      </c>
      <c r="H86" t="s">
        <v>219</v>
      </c>
      <c r="I86" t="s">
        <v>222</v>
      </c>
      <c r="J86" t="s">
        <v>95</v>
      </c>
      <c r="K86" t="s">
        <v>344</v>
      </c>
      <c r="L86" t="s">
        <v>53</v>
      </c>
      <c r="M86" t="s">
        <v>344</v>
      </c>
      <c r="N86" t="s">
        <v>352</v>
      </c>
      <c r="O86">
        <v>177</v>
      </c>
      <c r="P86" s="7">
        <v>5385</v>
      </c>
      <c r="Q86">
        <v>0.09</v>
      </c>
      <c r="R86">
        <v>1.3</v>
      </c>
      <c r="S86" s="5">
        <f t="shared" si="1"/>
        <v>0.24246575342465754</v>
      </c>
      <c r="T86" t="s">
        <v>16</v>
      </c>
      <c r="U86" t="s">
        <v>16</v>
      </c>
    </row>
    <row r="87" spans="1:21" x14ac:dyDescent="0.3">
      <c r="A87" t="s">
        <v>27</v>
      </c>
      <c r="B87" t="s">
        <v>353</v>
      </c>
      <c r="C87">
        <v>143</v>
      </c>
      <c r="D87" t="s">
        <v>14</v>
      </c>
      <c r="E87" t="s">
        <v>45</v>
      </c>
      <c r="F87" s="3" t="s">
        <v>354</v>
      </c>
      <c r="G87">
        <v>20018</v>
      </c>
      <c r="H87" t="s">
        <v>219</v>
      </c>
      <c r="I87" t="s">
        <v>222</v>
      </c>
      <c r="J87" t="s">
        <v>95</v>
      </c>
      <c r="K87" t="s">
        <v>344</v>
      </c>
      <c r="L87" t="s">
        <v>53</v>
      </c>
      <c r="M87" t="s">
        <v>355</v>
      </c>
      <c r="N87" t="s">
        <v>95</v>
      </c>
      <c r="O87">
        <v>60</v>
      </c>
      <c r="P87" s="7">
        <v>2728</v>
      </c>
      <c r="Q87">
        <v>0.1</v>
      </c>
      <c r="R87">
        <v>1.45</v>
      </c>
      <c r="S87" s="5">
        <f t="shared" si="1"/>
        <v>8.2191780821917804E-2</v>
      </c>
      <c r="T87" t="s">
        <v>16</v>
      </c>
      <c r="U87" t="s">
        <v>16</v>
      </c>
    </row>
    <row r="88" spans="1:21" x14ac:dyDescent="0.3">
      <c r="A88" t="s">
        <v>27</v>
      </c>
      <c r="B88" t="s">
        <v>353</v>
      </c>
      <c r="C88">
        <v>143</v>
      </c>
      <c r="D88" t="s">
        <v>14</v>
      </c>
      <c r="E88" t="s">
        <v>45</v>
      </c>
      <c r="F88" s="3" t="s">
        <v>356</v>
      </c>
      <c r="G88">
        <v>20018</v>
      </c>
      <c r="H88" t="s">
        <v>219</v>
      </c>
      <c r="I88" t="s">
        <v>225</v>
      </c>
      <c r="J88" t="s">
        <v>357</v>
      </c>
      <c r="K88" t="s">
        <v>344</v>
      </c>
      <c r="L88" t="s">
        <v>53</v>
      </c>
      <c r="M88" t="s">
        <v>344</v>
      </c>
      <c r="N88" t="s">
        <v>95</v>
      </c>
      <c r="O88">
        <v>20</v>
      </c>
      <c r="P88" s="7">
        <v>1448</v>
      </c>
      <c r="Q88">
        <v>0.14000000000000001</v>
      </c>
      <c r="R88">
        <v>1.72</v>
      </c>
      <c r="S88" s="5">
        <f t="shared" si="1"/>
        <v>2.7397260273972601E-2</v>
      </c>
      <c r="T88" t="s">
        <v>16</v>
      </c>
      <c r="U88" t="s">
        <v>16</v>
      </c>
    </row>
    <row r="89" spans="1:21" x14ac:dyDescent="0.3">
      <c r="A89" t="s">
        <v>27</v>
      </c>
      <c r="B89" t="s">
        <v>353</v>
      </c>
      <c r="C89">
        <v>143</v>
      </c>
      <c r="D89" t="s">
        <v>14</v>
      </c>
      <c r="E89" t="s">
        <v>45</v>
      </c>
      <c r="F89" s="3" t="s">
        <v>356</v>
      </c>
      <c r="G89">
        <v>20018</v>
      </c>
      <c r="H89" t="s">
        <v>219</v>
      </c>
      <c r="I89" t="s">
        <v>222</v>
      </c>
      <c r="J89" t="s">
        <v>95</v>
      </c>
      <c r="K89" t="s">
        <v>344</v>
      </c>
      <c r="L89" t="s">
        <v>358</v>
      </c>
      <c r="M89" t="s">
        <v>344</v>
      </c>
      <c r="N89" t="s">
        <v>95</v>
      </c>
      <c r="O89">
        <v>31</v>
      </c>
      <c r="P89" s="7">
        <v>2297</v>
      </c>
      <c r="Q89">
        <v>0.12</v>
      </c>
      <c r="R89">
        <v>1.74</v>
      </c>
      <c r="S89" s="5">
        <f t="shared" si="1"/>
        <v>4.2465753424657533E-2</v>
      </c>
      <c r="T89" t="s">
        <v>16</v>
      </c>
      <c r="U89" t="s">
        <v>16</v>
      </c>
    </row>
    <row r="90" spans="1:21" x14ac:dyDescent="0.3">
      <c r="A90" t="s">
        <v>27</v>
      </c>
      <c r="B90" t="s">
        <v>353</v>
      </c>
      <c r="C90">
        <v>143</v>
      </c>
      <c r="D90" t="s">
        <v>14</v>
      </c>
      <c r="E90" t="s">
        <v>45</v>
      </c>
      <c r="F90" s="3" t="s">
        <v>359</v>
      </c>
      <c r="G90">
        <v>20018</v>
      </c>
      <c r="H90" t="s">
        <v>219</v>
      </c>
      <c r="I90" t="s">
        <v>225</v>
      </c>
      <c r="J90" t="s">
        <v>95</v>
      </c>
      <c r="K90" t="s">
        <v>344</v>
      </c>
      <c r="L90" t="s">
        <v>360</v>
      </c>
      <c r="M90" t="s">
        <v>344</v>
      </c>
      <c r="N90" t="s">
        <v>95</v>
      </c>
      <c r="O90">
        <v>41</v>
      </c>
      <c r="P90" s="7">
        <v>1218</v>
      </c>
      <c r="Q90">
        <v>0.12</v>
      </c>
      <c r="R90">
        <v>1.29</v>
      </c>
      <c r="S90" s="5">
        <f t="shared" si="1"/>
        <v>5.6164383561643834E-2</v>
      </c>
      <c r="T90" t="s">
        <v>16</v>
      </c>
      <c r="U90" t="s">
        <v>16</v>
      </c>
    </row>
    <row r="91" spans="1:21" x14ac:dyDescent="0.3">
      <c r="A91" t="s">
        <v>27</v>
      </c>
      <c r="B91" t="s">
        <v>68</v>
      </c>
      <c r="C91">
        <v>143</v>
      </c>
      <c r="D91" t="s">
        <v>14</v>
      </c>
      <c r="E91" t="s">
        <v>45</v>
      </c>
      <c r="F91" s="3" t="s">
        <v>359</v>
      </c>
      <c r="G91">
        <v>20018</v>
      </c>
      <c r="H91" t="s">
        <v>219</v>
      </c>
      <c r="I91" t="s">
        <v>361</v>
      </c>
      <c r="J91" t="s">
        <v>95</v>
      </c>
      <c r="K91" t="s">
        <v>344</v>
      </c>
      <c r="L91" t="s">
        <v>362</v>
      </c>
      <c r="M91" t="s">
        <v>344</v>
      </c>
      <c r="N91" t="s">
        <v>95</v>
      </c>
      <c r="O91">
        <v>32</v>
      </c>
      <c r="P91" s="7">
        <v>4840</v>
      </c>
      <c r="Q91">
        <v>0.09</v>
      </c>
      <c r="R91">
        <v>2.5099999999999998</v>
      </c>
      <c r="S91" s="5">
        <f t="shared" si="1"/>
        <v>4.3835616438356165E-2</v>
      </c>
      <c r="T91" t="s">
        <v>16</v>
      </c>
      <c r="U91" t="s">
        <v>16</v>
      </c>
    </row>
    <row r="92" spans="1:21" x14ac:dyDescent="0.3">
      <c r="A92" t="s">
        <v>27</v>
      </c>
      <c r="B92" t="s">
        <v>68</v>
      </c>
      <c r="C92">
        <v>143</v>
      </c>
      <c r="D92" t="s">
        <v>14</v>
      </c>
      <c r="E92" t="s">
        <v>45</v>
      </c>
      <c r="F92" s="3" t="s">
        <v>359</v>
      </c>
      <c r="G92">
        <v>20018</v>
      </c>
      <c r="H92" t="s">
        <v>219</v>
      </c>
      <c r="I92" t="s">
        <v>363</v>
      </c>
      <c r="J92" t="s">
        <v>95</v>
      </c>
      <c r="K92" t="s">
        <v>364</v>
      </c>
      <c r="L92" t="s">
        <v>95</v>
      </c>
      <c r="M92" t="s">
        <v>344</v>
      </c>
      <c r="N92" t="s">
        <v>95</v>
      </c>
      <c r="O92">
        <v>40</v>
      </c>
      <c r="P92" s="7">
        <v>5009</v>
      </c>
      <c r="Q92">
        <v>0.12</v>
      </c>
      <c r="R92">
        <v>2.25</v>
      </c>
      <c r="S92" s="5">
        <f t="shared" si="1"/>
        <v>5.4794520547945202E-2</v>
      </c>
      <c r="T92" t="s">
        <v>16</v>
      </c>
      <c r="U92" t="s">
        <v>16</v>
      </c>
    </row>
    <row r="93" spans="1:21" x14ac:dyDescent="0.3">
      <c r="A93" t="s">
        <v>27</v>
      </c>
      <c r="B93" t="s">
        <v>68</v>
      </c>
      <c r="C93">
        <v>143</v>
      </c>
      <c r="D93" t="s">
        <v>14</v>
      </c>
      <c r="E93" t="s">
        <v>45</v>
      </c>
      <c r="F93" s="3" t="s">
        <v>65</v>
      </c>
      <c r="G93">
        <v>20018</v>
      </c>
      <c r="H93" t="s">
        <v>219</v>
      </c>
      <c r="I93" t="s">
        <v>225</v>
      </c>
      <c r="J93" t="s">
        <v>95</v>
      </c>
      <c r="K93" t="s">
        <v>365</v>
      </c>
      <c r="L93" t="s">
        <v>95</v>
      </c>
      <c r="M93" t="s">
        <v>344</v>
      </c>
      <c r="N93" t="s">
        <v>95</v>
      </c>
      <c r="O93">
        <v>98</v>
      </c>
      <c r="P93" s="7">
        <v>6431</v>
      </c>
      <c r="Q93">
        <v>0.17</v>
      </c>
      <c r="R93">
        <v>1.65</v>
      </c>
      <c r="S93" s="5">
        <f t="shared" si="1"/>
        <v>0.13424657534246576</v>
      </c>
      <c r="T93" t="s">
        <v>16</v>
      </c>
      <c r="U93" t="s">
        <v>16</v>
      </c>
    </row>
    <row r="94" spans="1:21" x14ac:dyDescent="0.3">
      <c r="A94" t="s">
        <v>27</v>
      </c>
      <c r="B94" t="s">
        <v>68</v>
      </c>
      <c r="C94">
        <v>143</v>
      </c>
      <c r="D94" t="s">
        <v>14</v>
      </c>
      <c r="E94" t="s">
        <v>45</v>
      </c>
      <c r="F94" s="3" t="s">
        <v>65</v>
      </c>
      <c r="G94">
        <v>20018</v>
      </c>
      <c r="H94" t="s">
        <v>219</v>
      </c>
      <c r="I94" t="s">
        <v>222</v>
      </c>
      <c r="J94" t="s">
        <v>366</v>
      </c>
      <c r="K94" t="s">
        <v>95</v>
      </c>
      <c r="L94" t="s">
        <v>95</v>
      </c>
      <c r="M94" t="s">
        <v>344</v>
      </c>
      <c r="N94" t="s">
        <v>95</v>
      </c>
      <c r="O94">
        <v>122</v>
      </c>
      <c r="P94" s="7">
        <v>4187</v>
      </c>
      <c r="Q94">
        <v>0.13</v>
      </c>
      <c r="R94">
        <v>1.34</v>
      </c>
      <c r="S94" s="5">
        <f t="shared" si="1"/>
        <v>0.16712328767123288</v>
      </c>
      <c r="T94" t="s">
        <v>16</v>
      </c>
      <c r="U94" t="s">
        <v>16</v>
      </c>
    </row>
    <row r="95" spans="1:21" x14ac:dyDescent="0.3">
      <c r="A95" t="s">
        <v>27</v>
      </c>
      <c r="B95" t="s">
        <v>68</v>
      </c>
      <c r="C95">
        <v>143</v>
      </c>
      <c r="D95" t="s">
        <v>14</v>
      </c>
      <c r="E95" t="s">
        <v>45</v>
      </c>
      <c r="F95" s="3" t="s">
        <v>65</v>
      </c>
      <c r="G95">
        <v>20018</v>
      </c>
      <c r="H95" t="s">
        <v>219</v>
      </c>
      <c r="I95" t="s">
        <v>367</v>
      </c>
      <c r="J95" t="s">
        <v>95</v>
      </c>
      <c r="K95" t="s">
        <v>368</v>
      </c>
      <c r="L95" t="s">
        <v>95</v>
      </c>
      <c r="M95" t="s">
        <v>344</v>
      </c>
      <c r="N95" t="s">
        <v>95</v>
      </c>
      <c r="O95">
        <v>23</v>
      </c>
      <c r="P95" s="7">
        <v>8118</v>
      </c>
      <c r="Q95">
        <v>0.17</v>
      </c>
      <c r="R95">
        <v>4.5199999999999996</v>
      </c>
      <c r="S95" s="5">
        <f t="shared" si="1"/>
        <v>3.1506849315068496E-2</v>
      </c>
      <c r="T95" t="s">
        <v>16</v>
      </c>
      <c r="U95" t="s">
        <v>16</v>
      </c>
    </row>
    <row r="96" spans="1:21" x14ac:dyDescent="0.3">
      <c r="A96" t="s">
        <v>27</v>
      </c>
      <c r="B96" t="s">
        <v>68</v>
      </c>
      <c r="C96">
        <v>143</v>
      </c>
      <c r="D96" t="s">
        <v>14</v>
      </c>
      <c r="E96" t="s">
        <v>45</v>
      </c>
      <c r="F96" s="3" t="s">
        <v>369</v>
      </c>
      <c r="G96">
        <v>20018</v>
      </c>
      <c r="H96" t="s">
        <v>219</v>
      </c>
      <c r="I96" t="s">
        <v>222</v>
      </c>
      <c r="J96" t="s">
        <v>95</v>
      </c>
      <c r="K96" t="s">
        <v>95</v>
      </c>
      <c r="L96" t="s">
        <v>95</v>
      </c>
      <c r="M96" t="s">
        <v>370</v>
      </c>
      <c r="N96" t="s">
        <v>95</v>
      </c>
      <c r="O96">
        <v>36</v>
      </c>
      <c r="P96" s="7">
        <v>5414</v>
      </c>
      <c r="Q96">
        <v>0.22</v>
      </c>
      <c r="R96">
        <v>2.5</v>
      </c>
      <c r="S96" s="5">
        <f t="shared" si="1"/>
        <v>4.9315068493150684E-2</v>
      </c>
      <c r="T96" t="s">
        <v>16</v>
      </c>
      <c r="U96" t="s">
        <v>16</v>
      </c>
    </row>
    <row r="97" spans="1:21" x14ac:dyDescent="0.3">
      <c r="A97" t="s">
        <v>27</v>
      </c>
      <c r="B97" t="s">
        <v>68</v>
      </c>
      <c r="C97">
        <v>143</v>
      </c>
      <c r="D97" t="s">
        <v>14</v>
      </c>
      <c r="E97" t="s">
        <v>45</v>
      </c>
      <c r="F97" s="3" t="s">
        <v>371</v>
      </c>
      <c r="G97">
        <v>20018</v>
      </c>
      <c r="H97" t="s">
        <v>219</v>
      </c>
      <c r="I97" t="s">
        <v>222</v>
      </c>
      <c r="J97" t="s">
        <v>366</v>
      </c>
      <c r="K97" t="s">
        <v>95</v>
      </c>
      <c r="L97" t="s">
        <v>95</v>
      </c>
      <c r="M97" t="s">
        <v>95</v>
      </c>
      <c r="N97" t="s">
        <v>95</v>
      </c>
      <c r="O97">
        <v>32</v>
      </c>
      <c r="P97" s="7">
        <v>3079</v>
      </c>
      <c r="Q97">
        <v>0.18</v>
      </c>
      <c r="R97">
        <v>1.96</v>
      </c>
      <c r="S97" s="5">
        <f t="shared" si="1"/>
        <v>4.3835616438356165E-2</v>
      </c>
      <c r="T97" t="s">
        <v>16</v>
      </c>
      <c r="U97" t="s">
        <v>16</v>
      </c>
    </row>
    <row r="98" spans="1:21" x14ac:dyDescent="0.3">
      <c r="A98" t="s">
        <v>27</v>
      </c>
      <c r="B98" t="s">
        <v>68</v>
      </c>
      <c r="C98">
        <v>143</v>
      </c>
      <c r="D98" t="s">
        <v>14</v>
      </c>
      <c r="E98" t="s">
        <v>45</v>
      </c>
      <c r="F98" s="3" t="s">
        <v>371</v>
      </c>
      <c r="G98">
        <v>20018</v>
      </c>
      <c r="H98" t="s">
        <v>219</v>
      </c>
      <c r="I98" t="s">
        <v>372</v>
      </c>
      <c r="J98" t="s">
        <v>373</v>
      </c>
      <c r="K98" t="s">
        <v>95</v>
      </c>
      <c r="L98" t="s">
        <v>95</v>
      </c>
      <c r="M98" t="s">
        <v>95</v>
      </c>
      <c r="N98" t="s">
        <v>95</v>
      </c>
      <c r="O98">
        <v>107</v>
      </c>
      <c r="P98" s="7">
        <v>2933</v>
      </c>
      <c r="Q98">
        <v>0.1</v>
      </c>
      <c r="R98">
        <v>1.27</v>
      </c>
      <c r="S98" s="5">
        <f t="shared" si="1"/>
        <v>0.14657534246575343</v>
      </c>
      <c r="T98" t="s">
        <v>16</v>
      </c>
      <c r="U98" t="s">
        <v>16</v>
      </c>
    </row>
    <row r="99" spans="1:21" x14ac:dyDescent="0.3">
      <c r="A99" t="s">
        <v>27</v>
      </c>
      <c r="B99" t="s">
        <v>68</v>
      </c>
      <c r="C99">
        <v>143</v>
      </c>
      <c r="D99" t="s">
        <v>14</v>
      </c>
      <c r="E99" t="s">
        <v>45</v>
      </c>
      <c r="F99" s="3" t="s">
        <v>374</v>
      </c>
      <c r="G99">
        <v>20018</v>
      </c>
      <c r="H99" t="s">
        <v>219</v>
      </c>
      <c r="I99" t="s">
        <v>225</v>
      </c>
      <c r="J99" t="s">
        <v>344</v>
      </c>
      <c r="K99" t="s">
        <v>95</v>
      </c>
      <c r="L99" t="s">
        <v>375</v>
      </c>
      <c r="M99" t="s">
        <v>95</v>
      </c>
      <c r="N99" t="s">
        <v>95</v>
      </c>
      <c r="O99">
        <v>60</v>
      </c>
      <c r="P99" s="7">
        <v>11879</v>
      </c>
      <c r="Q99">
        <v>0.11</v>
      </c>
      <c r="R99">
        <v>2.97</v>
      </c>
      <c r="S99" s="5">
        <f t="shared" si="1"/>
        <v>8.2191780821917804E-2</v>
      </c>
      <c r="T99" t="s">
        <v>16</v>
      </c>
      <c r="U99" t="s">
        <v>16</v>
      </c>
    </row>
    <row r="100" spans="1:21" x14ac:dyDescent="0.3">
      <c r="A100" t="s">
        <v>27</v>
      </c>
      <c r="B100" t="s">
        <v>68</v>
      </c>
      <c r="C100">
        <v>143</v>
      </c>
      <c r="D100" t="s">
        <v>14</v>
      </c>
      <c r="E100" t="s">
        <v>45</v>
      </c>
      <c r="F100" s="3" t="s">
        <v>374</v>
      </c>
      <c r="G100">
        <v>20018</v>
      </c>
      <c r="H100" t="s">
        <v>219</v>
      </c>
      <c r="I100" t="s">
        <v>376</v>
      </c>
      <c r="J100" t="s">
        <v>344</v>
      </c>
      <c r="K100" t="s">
        <v>377</v>
      </c>
      <c r="L100" t="s">
        <v>95</v>
      </c>
      <c r="M100" t="s">
        <v>95</v>
      </c>
      <c r="N100" t="s">
        <v>95</v>
      </c>
      <c r="O100">
        <v>59</v>
      </c>
      <c r="P100" s="7">
        <v>3699</v>
      </c>
      <c r="Q100">
        <v>0.06</v>
      </c>
      <c r="R100">
        <v>1.62</v>
      </c>
      <c r="S100" s="5">
        <f t="shared" si="1"/>
        <v>8.0821917808219179E-2</v>
      </c>
      <c r="T100" t="s">
        <v>16</v>
      </c>
      <c r="U100" t="s">
        <v>16</v>
      </c>
    </row>
    <row r="101" spans="1:21" x14ac:dyDescent="0.3">
      <c r="A101" t="s">
        <v>27</v>
      </c>
      <c r="B101" t="s">
        <v>47</v>
      </c>
      <c r="C101">
        <v>143</v>
      </c>
      <c r="D101" t="s">
        <v>14</v>
      </c>
      <c r="E101" t="s">
        <v>45</v>
      </c>
      <c r="F101" s="3" t="s">
        <v>374</v>
      </c>
      <c r="G101">
        <v>20018</v>
      </c>
      <c r="H101" t="s">
        <v>219</v>
      </c>
      <c r="I101" t="s">
        <v>367</v>
      </c>
      <c r="J101" t="s">
        <v>344</v>
      </c>
      <c r="K101" t="s">
        <v>95</v>
      </c>
      <c r="L101" t="s">
        <v>95</v>
      </c>
      <c r="M101" t="s">
        <v>95</v>
      </c>
      <c r="N101" t="s">
        <v>378</v>
      </c>
      <c r="O101">
        <v>46</v>
      </c>
      <c r="P101" s="7">
        <v>6488</v>
      </c>
      <c r="Q101">
        <v>0.08</v>
      </c>
      <c r="R101">
        <v>2.41</v>
      </c>
      <c r="S101" s="5">
        <f t="shared" si="1"/>
        <v>6.3013698630136991E-2</v>
      </c>
      <c r="T101" t="s">
        <v>16</v>
      </c>
      <c r="U101" t="s">
        <v>16</v>
      </c>
    </row>
    <row r="102" spans="1:21" x14ac:dyDescent="0.3">
      <c r="A102" t="s">
        <v>27</v>
      </c>
      <c r="B102" t="s">
        <v>68</v>
      </c>
      <c r="C102">
        <v>143</v>
      </c>
      <c r="D102" t="s">
        <v>14</v>
      </c>
      <c r="E102" t="s">
        <v>45</v>
      </c>
      <c r="F102" s="3" t="s">
        <v>379</v>
      </c>
      <c r="G102">
        <v>20018</v>
      </c>
      <c r="H102" t="s">
        <v>219</v>
      </c>
      <c r="I102" t="s">
        <v>225</v>
      </c>
      <c r="J102" t="s">
        <v>380</v>
      </c>
      <c r="K102" t="s">
        <v>95</v>
      </c>
      <c r="L102" t="s">
        <v>95</v>
      </c>
      <c r="M102" t="s">
        <v>95</v>
      </c>
      <c r="N102" t="s">
        <v>381</v>
      </c>
      <c r="O102">
        <v>42</v>
      </c>
      <c r="P102" s="7">
        <v>2907</v>
      </c>
      <c r="Q102">
        <v>0.19</v>
      </c>
      <c r="R102">
        <v>1.69</v>
      </c>
      <c r="S102" s="5">
        <f t="shared" si="1"/>
        <v>5.7534246575342465E-2</v>
      </c>
      <c r="T102" t="s">
        <v>16</v>
      </c>
      <c r="U102" t="s">
        <v>16</v>
      </c>
    </row>
    <row r="103" spans="1:21" x14ac:dyDescent="0.3">
      <c r="A103" t="s">
        <v>27</v>
      </c>
      <c r="B103" t="s">
        <v>68</v>
      </c>
      <c r="C103">
        <v>143</v>
      </c>
      <c r="D103" t="s">
        <v>14</v>
      </c>
      <c r="E103" t="s">
        <v>45</v>
      </c>
      <c r="F103" s="3" t="s">
        <v>379</v>
      </c>
      <c r="G103">
        <v>20018</v>
      </c>
      <c r="H103" t="s">
        <v>219</v>
      </c>
      <c r="I103" t="s">
        <v>222</v>
      </c>
      <c r="J103" t="s">
        <v>95</v>
      </c>
      <c r="K103" t="s">
        <v>95</v>
      </c>
      <c r="L103" t="s">
        <v>382</v>
      </c>
      <c r="M103" t="s">
        <v>95</v>
      </c>
      <c r="N103" t="s">
        <v>381</v>
      </c>
      <c r="O103">
        <v>35</v>
      </c>
      <c r="P103" s="7">
        <v>6819</v>
      </c>
      <c r="Q103">
        <v>0.17</v>
      </c>
      <c r="R103">
        <v>2.94</v>
      </c>
      <c r="S103" s="5">
        <f t="shared" si="1"/>
        <v>4.7945205479452052E-2</v>
      </c>
      <c r="T103" t="s">
        <v>16</v>
      </c>
      <c r="U103" t="s">
        <v>16</v>
      </c>
    </row>
    <row r="104" spans="1:21" x14ac:dyDescent="0.3">
      <c r="A104" t="s">
        <v>27</v>
      </c>
      <c r="B104" t="s">
        <v>68</v>
      </c>
      <c r="C104">
        <v>143</v>
      </c>
      <c r="D104" t="s">
        <v>14</v>
      </c>
      <c r="E104" t="s">
        <v>45</v>
      </c>
      <c r="F104" s="3" t="s">
        <v>379</v>
      </c>
      <c r="G104">
        <v>20018</v>
      </c>
      <c r="H104" t="s">
        <v>219</v>
      </c>
      <c r="I104" t="s">
        <v>220</v>
      </c>
      <c r="J104" t="s">
        <v>383</v>
      </c>
      <c r="K104" t="s">
        <v>95</v>
      </c>
      <c r="L104" t="s">
        <v>95</v>
      </c>
      <c r="M104" t="s">
        <v>95</v>
      </c>
      <c r="N104" t="s">
        <v>381</v>
      </c>
      <c r="O104">
        <v>24</v>
      </c>
      <c r="P104" s="7">
        <v>3750</v>
      </c>
      <c r="Q104">
        <v>0.16</v>
      </c>
      <c r="R104">
        <v>2.56</v>
      </c>
      <c r="S104" s="5">
        <f t="shared" si="1"/>
        <v>3.287671232876712E-2</v>
      </c>
      <c r="T104" t="s">
        <v>16</v>
      </c>
      <c r="U104" t="s">
        <v>16</v>
      </c>
    </row>
    <row r="105" spans="1:21" x14ac:dyDescent="0.3">
      <c r="A105" t="s">
        <v>27</v>
      </c>
      <c r="B105" t="s">
        <v>47</v>
      </c>
      <c r="C105">
        <v>143</v>
      </c>
      <c r="D105" t="s">
        <v>14</v>
      </c>
      <c r="E105" t="s">
        <v>45</v>
      </c>
      <c r="F105" s="3" t="s">
        <v>384</v>
      </c>
      <c r="G105">
        <v>20018</v>
      </c>
      <c r="H105" t="s">
        <v>219</v>
      </c>
      <c r="I105" t="s">
        <v>222</v>
      </c>
      <c r="J105" t="s">
        <v>95</v>
      </c>
      <c r="K105" t="s">
        <v>95</v>
      </c>
      <c r="L105" t="s">
        <v>95</v>
      </c>
      <c r="M105" t="s">
        <v>95</v>
      </c>
      <c r="N105" t="s">
        <v>385</v>
      </c>
      <c r="O105">
        <v>246</v>
      </c>
      <c r="P105" s="7">
        <v>8679</v>
      </c>
      <c r="Q105">
        <v>0.1</v>
      </c>
      <c r="R105">
        <v>1.35</v>
      </c>
      <c r="S105" s="5">
        <f t="shared" si="1"/>
        <v>0.33698630136986302</v>
      </c>
      <c r="T105" t="s">
        <v>16</v>
      </c>
      <c r="U105" t="s">
        <v>16</v>
      </c>
    </row>
    <row r="106" spans="1:21" x14ac:dyDescent="0.3">
      <c r="A106" t="s">
        <v>27</v>
      </c>
      <c r="B106" t="s">
        <v>68</v>
      </c>
      <c r="C106">
        <v>143</v>
      </c>
      <c r="D106" t="s">
        <v>14</v>
      </c>
      <c r="E106" t="s">
        <v>45</v>
      </c>
      <c r="F106" s="3" t="s">
        <v>384</v>
      </c>
      <c r="G106">
        <v>20018</v>
      </c>
      <c r="H106" t="s">
        <v>219</v>
      </c>
      <c r="I106" t="s">
        <v>220</v>
      </c>
      <c r="J106" t="s">
        <v>386</v>
      </c>
      <c r="K106" t="s">
        <v>95</v>
      </c>
      <c r="L106" t="s">
        <v>95</v>
      </c>
      <c r="M106" t="s">
        <v>95</v>
      </c>
      <c r="N106" t="s">
        <v>387</v>
      </c>
      <c r="O106">
        <v>219</v>
      </c>
      <c r="P106" s="7">
        <v>12005</v>
      </c>
      <c r="Q106">
        <v>0.08</v>
      </c>
      <c r="R106">
        <v>1.54</v>
      </c>
      <c r="S106" s="5">
        <f t="shared" si="1"/>
        <v>0.3</v>
      </c>
      <c r="T106" t="s">
        <v>16</v>
      </c>
      <c r="U106" t="s">
        <v>16</v>
      </c>
    </row>
    <row r="107" spans="1:21" x14ac:dyDescent="0.3">
      <c r="A107" t="s">
        <v>27</v>
      </c>
      <c r="B107" t="s">
        <v>68</v>
      </c>
      <c r="C107">
        <v>143</v>
      </c>
      <c r="D107" t="s">
        <v>14</v>
      </c>
      <c r="E107" t="s">
        <v>45</v>
      </c>
      <c r="F107" s="3" t="s">
        <v>388</v>
      </c>
      <c r="G107">
        <v>20018</v>
      </c>
      <c r="H107" t="s">
        <v>219</v>
      </c>
      <c r="I107" t="s">
        <v>225</v>
      </c>
      <c r="J107" t="s">
        <v>389</v>
      </c>
      <c r="K107" t="s">
        <v>95</v>
      </c>
      <c r="L107" t="s">
        <v>95</v>
      </c>
      <c r="M107" t="s">
        <v>95</v>
      </c>
      <c r="N107" t="s">
        <v>387</v>
      </c>
      <c r="O107">
        <v>40</v>
      </c>
      <c r="P107" s="7">
        <v>4599</v>
      </c>
      <c r="Q107">
        <v>0.14000000000000001</v>
      </c>
      <c r="R107">
        <v>2.14</v>
      </c>
      <c r="S107" s="5">
        <f t="shared" si="1"/>
        <v>5.4794520547945202E-2</v>
      </c>
      <c r="T107" t="s">
        <v>16</v>
      </c>
      <c r="U107" t="s">
        <v>16</v>
      </c>
    </row>
    <row r="108" spans="1:21" x14ac:dyDescent="0.3">
      <c r="A108" t="s">
        <v>27</v>
      </c>
      <c r="B108" t="s">
        <v>68</v>
      </c>
      <c r="C108">
        <v>143</v>
      </c>
      <c r="D108" t="s">
        <v>14</v>
      </c>
      <c r="E108" t="s">
        <v>45</v>
      </c>
      <c r="F108" s="3" t="s">
        <v>388</v>
      </c>
      <c r="G108">
        <v>20018</v>
      </c>
      <c r="H108" t="s">
        <v>219</v>
      </c>
      <c r="I108" t="s">
        <v>220</v>
      </c>
      <c r="J108" t="s">
        <v>390</v>
      </c>
      <c r="K108" t="s">
        <v>95</v>
      </c>
      <c r="L108" t="s">
        <v>95</v>
      </c>
      <c r="M108" t="s">
        <v>95</v>
      </c>
      <c r="N108" t="s">
        <v>387</v>
      </c>
      <c r="O108">
        <v>45</v>
      </c>
      <c r="P108" s="7">
        <v>5640</v>
      </c>
      <c r="Q108">
        <v>0.08</v>
      </c>
      <c r="R108">
        <v>2.25</v>
      </c>
      <c r="S108" s="5">
        <f t="shared" si="1"/>
        <v>6.1643835616438353E-2</v>
      </c>
      <c r="T108" t="s">
        <v>16</v>
      </c>
      <c r="U108" t="s">
        <v>16</v>
      </c>
    </row>
    <row r="109" spans="1:21" x14ac:dyDescent="0.3">
      <c r="A109" t="s">
        <v>27</v>
      </c>
      <c r="B109" t="s">
        <v>47</v>
      </c>
      <c r="C109">
        <v>143</v>
      </c>
      <c r="D109" t="s">
        <v>14</v>
      </c>
      <c r="E109" t="s">
        <v>45</v>
      </c>
      <c r="F109" s="3" t="s">
        <v>391</v>
      </c>
      <c r="G109">
        <v>20018</v>
      </c>
      <c r="H109" t="s">
        <v>219</v>
      </c>
      <c r="I109" t="s">
        <v>225</v>
      </c>
      <c r="J109" t="s">
        <v>392</v>
      </c>
      <c r="K109" t="s">
        <v>95</v>
      </c>
      <c r="L109" t="s">
        <v>393</v>
      </c>
      <c r="M109" t="s">
        <v>95</v>
      </c>
      <c r="N109" t="s">
        <v>387</v>
      </c>
      <c r="O109">
        <v>47</v>
      </c>
      <c r="P109" s="7">
        <v>4986</v>
      </c>
      <c r="Q109">
        <v>0.17</v>
      </c>
      <c r="R109">
        <v>2.06</v>
      </c>
      <c r="S109" s="5">
        <f t="shared" si="1"/>
        <v>6.4383561643835616E-2</v>
      </c>
      <c r="T109" t="s">
        <v>16</v>
      </c>
      <c r="U109" t="s">
        <v>16</v>
      </c>
    </row>
    <row r="110" spans="1:21" x14ac:dyDescent="0.3">
      <c r="A110" t="s">
        <v>27</v>
      </c>
      <c r="B110" t="s">
        <v>68</v>
      </c>
      <c r="C110">
        <v>143</v>
      </c>
      <c r="D110" t="s">
        <v>14</v>
      </c>
      <c r="E110" t="s">
        <v>45</v>
      </c>
      <c r="F110" s="3" t="s">
        <v>391</v>
      </c>
      <c r="G110">
        <v>20018</v>
      </c>
      <c r="H110" t="s">
        <v>219</v>
      </c>
      <c r="I110" t="s">
        <v>222</v>
      </c>
      <c r="J110" t="s">
        <v>394</v>
      </c>
      <c r="K110" t="s">
        <v>95</v>
      </c>
      <c r="L110" t="s">
        <v>95</v>
      </c>
      <c r="M110" t="s">
        <v>95</v>
      </c>
      <c r="N110" t="s">
        <v>387</v>
      </c>
      <c r="O110">
        <v>92</v>
      </c>
      <c r="P110" s="7">
        <v>7707</v>
      </c>
      <c r="Q110">
        <v>0.08</v>
      </c>
      <c r="R110">
        <v>1.83</v>
      </c>
      <c r="S110" s="5">
        <f t="shared" si="1"/>
        <v>0.12602739726027398</v>
      </c>
      <c r="T110" t="s">
        <v>16</v>
      </c>
      <c r="U110" t="s">
        <v>16</v>
      </c>
    </row>
    <row r="111" spans="1:21" x14ac:dyDescent="0.3">
      <c r="A111" t="s">
        <v>27</v>
      </c>
      <c r="B111" t="s">
        <v>47</v>
      </c>
      <c r="C111">
        <v>143</v>
      </c>
      <c r="D111" t="s">
        <v>14</v>
      </c>
      <c r="E111" t="s">
        <v>45</v>
      </c>
      <c r="F111" s="3" t="s">
        <v>391</v>
      </c>
      <c r="G111">
        <v>20018</v>
      </c>
      <c r="H111" t="s">
        <v>219</v>
      </c>
      <c r="I111" t="s">
        <v>220</v>
      </c>
      <c r="J111" t="s">
        <v>95</v>
      </c>
      <c r="K111" t="s">
        <v>395</v>
      </c>
      <c r="L111" t="s">
        <v>95</v>
      </c>
      <c r="M111" t="s">
        <v>95</v>
      </c>
      <c r="N111" t="s">
        <v>387</v>
      </c>
      <c r="O111">
        <v>57</v>
      </c>
      <c r="P111" s="7">
        <v>3456</v>
      </c>
      <c r="Q111">
        <v>0.08</v>
      </c>
      <c r="R111">
        <v>1.6</v>
      </c>
      <c r="S111" s="5">
        <f t="shared" si="1"/>
        <v>7.8082191780821916E-2</v>
      </c>
      <c r="T111" t="s">
        <v>16</v>
      </c>
      <c r="U111" t="s">
        <v>16</v>
      </c>
    </row>
    <row r="112" spans="1:21" x14ac:dyDescent="0.3">
      <c r="A112" t="s">
        <v>27</v>
      </c>
      <c r="B112" t="s">
        <v>68</v>
      </c>
      <c r="C112">
        <v>143</v>
      </c>
      <c r="D112" t="s">
        <v>14</v>
      </c>
      <c r="E112" t="s">
        <v>45</v>
      </c>
      <c r="F112" s="3" t="s">
        <v>396</v>
      </c>
      <c r="G112">
        <v>20018</v>
      </c>
      <c r="H112" t="s">
        <v>219</v>
      </c>
      <c r="I112" t="s">
        <v>225</v>
      </c>
      <c r="J112" t="s">
        <v>95</v>
      </c>
      <c r="K112" t="s">
        <v>397</v>
      </c>
      <c r="L112" t="s">
        <v>95</v>
      </c>
      <c r="M112" t="s">
        <v>95</v>
      </c>
      <c r="N112" t="s">
        <v>387</v>
      </c>
      <c r="O112">
        <v>53</v>
      </c>
      <c r="P112" s="7">
        <v>4457</v>
      </c>
      <c r="Q112">
        <v>0.15</v>
      </c>
      <c r="R112">
        <v>1.84</v>
      </c>
      <c r="S112" s="5">
        <f t="shared" si="1"/>
        <v>7.260273972602739E-2</v>
      </c>
      <c r="T112" t="s">
        <v>16</v>
      </c>
      <c r="U112" t="s">
        <v>16</v>
      </c>
    </row>
    <row r="113" spans="1:21" x14ac:dyDescent="0.3">
      <c r="A113" t="s">
        <v>27</v>
      </c>
      <c r="B113" t="s">
        <v>68</v>
      </c>
      <c r="C113">
        <v>143</v>
      </c>
      <c r="D113" t="s">
        <v>14</v>
      </c>
      <c r="E113" t="s">
        <v>45</v>
      </c>
      <c r="F113" s="3" t="s">
        <v>396</v>
      </c>
      <c r="G113">
        <v>20018</v>
      </c>
      <c r="H113" t="s">
        <v>219</v>
      </c>
      <c r="I113" t="s">
        <v>222</v>
      </c>
      <c r="J113" t="s">
        <v>95</v>
      </c>
      <c r="K113" t="s">
        <v>398</v>
      </c>
      <c r="L113" t="s">
        <v>95</v>
      </c>
      <c r="M113" t="s">
        <v>95</v>
      </c>
      <c r="N113" t="s">
        <v>387</v>
      </c>
      <c r="O113">
        <v>171</v>
      </c>
      <c r="P113" s="7">
        <v>10163</v>
      </c>
      <c r="Q113">
        <v>0.08</v>
      </c>
      <c r="R113">
        <v>1.59</v>
      </c>
      <c r="S113" s="5">
        <f t="shared" si="1"/>
        <v>0.23424657534246576</v>
      </c>
      <c r="T113" t="s">
        <v>16</v>
      </c>
      <c r="U113" t="s">
        <v>16</v>
      </c>
    </row>
    <row r="114" spans="1:21" x14ac:dyDescent="0.3">
      <c r="A114" t="s">
        <v>27</v>
      </c>
      <c r="B114" t="s">
        <v>68</v>
      </c>
      <c r="C114">
        <v>143</v>
      </c>
      <c r="D114" t="s">
        <v>14</v>
      </c>
      <c r="E114" t="s">
        <v>45</v>
      </c>
      <c r="F114" s="3" t="s">
        <v>396</v>
      </c>
      <c r="G114">
        <v>20018</v>
      </c>
      <c r="H114" t="s">
        <v>219</v>
      </c>
      <c r="I114" t="s">
        <v>220</v>
      </c>
      <c r="J114" t="s">
        <v>95</v>
      </c>
      <c r="K114" t="s">
        <v>399</v>
      </c>
      <c r="L114" t="s">
        <v>95</v>
      </c>
      <c r="M114" t="s">
        <v>95</v>
      </c>
      <c r="N114" t="s">
        <v>387</v>
      </c>
      <c r="O114">
        <v>30</v>
      </c>
      <c r="P114" s="7">
        <v>5788</v>
      </c>
      <c r="Q114">
        <v>0.1</v>
      </c>
      <c r="R114">
        <v>2.92</v>
      </c>
      <c r="S114" s="5">
        <f t="shared" si="1"/>
        <v>4.1095890410958902E-2</v>
      </c>
      <c r="T114" t="s">
        <v>16</v>
      </c>
      <c r="U114" t="s">
        <v>16</v>
      </c>
    </row>
    <row r="115" spans="1:21" x14ac:dyDescent="0.3">
      <c r="A115" t="s">
        <v>27</v>
      </c>
      <c r="B115" t="s">
        <v>68</v>
      </c>
      <c r="C115">
        <v>143</v>
      </c>
      <c r="D115" t="s">
        <v>14</v>
      </c>
      <c r="E115" t="s">
        <v>45</v>
      </c>
      <c r="F115" s="3" t="s">
        <v>400</v>
      </c>
      <c r="G115">
        <v>20018</v>
      </c>
      <c r="H115" t="s">
        <v>219</v>
      </c>
      <c r="I115" t="s">
        <v>222</v>
      </c>
      <c r="J115" t="s">
        <v>95</v>
      </c>
      <c r="K115" t="s">
        <v>95</v>
      </c>
      <c r="L115" t="s">
        <v>95</v>
      </c>
      <c r="M115" t="s">
        <v>401</v>
      </c>
      <c r="N115" t="s">
        <v>387</v>
      </c>
      <c r="O115">
        <v>53</v>
      </c>
      <c r="P115" s="7">
        <v>5685</v>
      </c>
      <c r="Q115">
        <v>0.24</v>
      </c>
      <c r="R115">
        <v>2.0699999999999998</v>
      </c>
      <c r="S115" s="5">
        <f t="shared" si="1"/>
        <v>7.260273972602739E-2</v>
      </c>
      <c r="T115" t="s">
        <v>16</v>
      </c>
      <c r="U115" t="s">
        <v>16</v>
      </c>
    </row>
    <row r="116" spans="1:21" x14ac:dyDescent="0.3">
      <c r="A116" t="s">
        <v>27</v>
      </c>
      <c r="B116" t="s">
        <v>68</v>
      </c>
      <c r="C116">
        <v>143</v>
      </c>
      <c r="D116" t="s">
        <v>14</v>
      </c>
      <c r="E116" t="s">
        <v>45</v>
      </c>
      <c r="F116" s="3" t="s">
        <v>400</v>
      </c>
      <c r="G116">
        <v>20018</v>
      </c>
      <c r="H116" t="s">
        <v>219</v>
      </c>
      <c r="I116" t="s">
        <v>220</v>
      </c>
      <c r="J116" t="s">
        <v>95</v>
      </c>
      <c r="K116" t="s">
        <v>402</v>
      </c>
      <c r="L116" t="s">
        <v>95</v>
      </c>
      <c r="M116" t="s">
        <v>95</v>
      </c>
      <c r="N116" t="s">
        <v>387</v>
      </c>
      <c r="O116">
        <v>44</v>
      </c>
      <c r="P116" s="7">
        <v>2529</v>
      </c>
      <c r="Q116">
        <v>0.11</v>
      </c>
      <c r="R116">
        <v>1.57</v>
      </c>
      <c r="S116" s="5">
        <f t="shared" si="1"/>
        <v>6.0273972602739728E-2</v>
      </c>
      <c r="T116" t="s">
        <v>16</v>
      </c>
      <c r="U116" t="s">
        <v>16</v>
      </c>
    </row>
    <row r="117" spans="1:21" x14ac:dyDescent="0.3">
      <c r="A117" t="s">
        <v>27</v>
      </c>
      <c r="B117" t="s">
        <v>68</v>
      </c>
      <c r="C117">
        <v>143</v>
      </c>
      <c r="D117" t="s">
        <v>14</v>
      </c>
      <c r="E117" t="s">
        <v>45</v>
      </c>
      <c r="F117" s="3" t="s">
        <v>403</v>
      </c>
      <c r="G117">
        <v>20018</v>
      </c>
      <c r="H117" t="s">
        <v>219</v>
      </c>
      <c r="I117" t="s">
        <v>225</v>
      </c>
      <c r="J117" t="s">
        <v>404</v>
      </c>
      <c r="K117" t="s">
        <v>95</v>
      </c>
      <c r="L117" t="s">
        <v>95</v>
      </c>
      <c r="M117" t="s">
        <v>95</v>
      </c>
      <c r="N117" t="s">
        <v>387</v>
      </c>
      <c r="O117">
        <v>42</v>
      </c>
      <c r="P117" s="7">
        <v>2359</v>
      </c>
      <c r="Q117">
        <v>0.14000000000000001</v>
      </c>
      <c r="R117">
        <v>1.56</v>
      </c>
      <c r="S117" s="5">
        <f t="shared" si="1"/>
        <v>5.7534246575342465E-2</v>
      </c>
      <c r="T117" t="s">
        <v>16</v>
      </c>
      <c r="U117" t="s">
        <v>16</v>
      </c>
    </row>
    <row r="118" spans="1:21" x14ac:dyDescent="0.3">
      <c r="A118" t="s">
        <v>27</v>
      </c>
      <c r="B118" t="s">
        <v>68</v>
      </c>
      <c r="C118">
        <v>143</v>
      </c>
      <c r="D118" t="s">
        <v>14</v>
      </c>
      <c r="E118" t="s">
        <v>45</v>
      </c>
      <c r="F118" s="3" t="s">
        <v>403</v>
      </c>
      <c r="G118">
        <v>20018</v>
      </c>
      <c r="H118" t="s">
        <v>219</v>
      </c>
      <c r="I118" t="s">
        <v>222</v>
      </c>
      <c r="J118" t="s">
        <v>95</v>
      </c>
      <c r="K118" t="s">
        <v>95</v>
      </c>
      <c r="L118" t="s">
        <v>95</v>
      </c>
      <c r="M118" t="s">
        <v>95</v>
      </c>
      <c r="N118" t="s">
        <v>405</v>
      </c>
      <c r="O118">
        <v>39</v>
      </c>
      <c r="P118" s="7">
        <v>1159</v>
      </c>
      <c r="Q118">
        <v>0.12</v>
      </c>
      <c r="R118">
        <v>1.29</v>
      </c>
      <c r="S118" s="5">
        <f t="shared" si="1"/>
        <v>5.3424657534246578E-2</v>
      </c>
      <c r="T118" t="s">
        <v>16</v>
      </c>
      <c r="U118" t="s">
        <v>16</v>
      </c>
    </row>
    <row r="119" spans="1:21" x14ac:dyDescent="0.3">
      <c r="A119" t="s">
        <v>27</v>
      </c>
      <c r="B119" t="s">
        <v>68</v>
      </c>
      <c r="C119">
        <v>143</v>
      </c>
      <c r="D119" t="s">
        <v>14</v>
      </c>
      <c r="E119" t="s">
        <v>45</v>
      </c>
      <c r="F119" s="3" t="s">
        <v>406</v>
      </c>
      <c r="G119">
        <v>20018</v>
      </c>
      <c r="H119" t="s">
        <v>219</v>
      </c>
      <c r="I119" t="s">
        <v>222</v>
      </c>
      <c r="J119" t="s">
        <v>95</v>
      </c>
      <c r="K119" t="s">
        <v>95</v>
      </c>
      <c r="L119" t="s">
        <v>407</v>
      </c>
      <c r="M119" t="s">
        <v>95</v>
      </c>
      <c r="N119" t="s">
        <v>95</v>
      </c>
      <c r="O119">
        <v>27</v>
      </c>
      <c r="P119" s="7">
        <v>3917</v>
      </c>
      <c r="Q119">
        <v>0.22</v>
      </c>
      <c r="R119">
        <v>2.4500000000000002</v>
      </c>
      <c r="S119" s="5">
        <f t="shared" si="1"/>
        <v>3.6986301369863014E-2</v>
      </c>
      <c r="T119" t="s">
        <v>16</v>
      </c>
      <c r="U119" t="s">
        <v>16</v>
      </c>
    </row>
    <row r="120" spans="1:21" x14ac:dyDescent="0.3">
      <c r="A120" t="s">
        <v>27</v>
      </c>
      <c r="B120" t="s">
        <v>68</v>
      </c>
      <c r="C120">
        <v>143</v>
      </c>
      <c r="D120" t="s">
        <v>14</v>
      </c>
      <c r="E120" t="s">
        <v>45</v>
      </c>
      <c r="F120" s="3" t="s">
        <v>408</v>
      </c>
      <c r="G120">
        <v>20018</v>
      </c>
      <c r="H120" t="s">
        <v>219</v>
      </c>
      <c r="I120" t="s">
        <v>225</v>
      </c>
      <c r="J120" t="s">
        <v>409</v>
      </c>
      <c r="K120" t="s">
        <v>95</v>
      </c>
      <c r="L120" t="s">
        <v>95</v>
      </c>
      <c r="M120" t="s">
        <v>95</v>
      </c>
      <c r="N120" t="s">
        <v>95</v>
      </c>
      <c r="O120">
        <v>22</v>
      </c>
      <c r="P120" s="7">
        <v>4779</v>
      </c>
      <c r="Q120">
        <v>0.18</v>
      </c>
      <c r="R120">
        <v>3.17</v>
      </c>
      <c r="S120" s="5">
        <f t="shared" si="1"/>
        <v>3.0136986301369864E-2</v>
      </c>
      <c r="T120" t="s">
        <v>16</v>
      </c>
      <c r="U120" t="s">
        <v>16</v>
      </c>
    </row>
    <row r="121" spans="1:21" x14ac:dyDescent="0.3">
      <c r="A121" t="s">
        <v>27</v>
      </c>
      <c r="B121" t="s">
        <v>68</v>
      </c>
      <c r="C121">
        <v>143</v>
      </c>
      <c r="D121" t="s">
        <v>14</v>
      </c>
      <c r="E121" t="s">
        <v>45</v>
      </c>
      <c r="F121" s="3" t="s">
        <v>408</v>
      </c>
      <c r="G121">
        <v>20018</v>
      </c>
      <c r="H121" t="s">
        <v>219</v>
      </c>
      <c r="I121" t="s">
        <v>222</v>
      </c>
      <c r="J121" t="s">
        <v>344</v>
      </c>
      <c r="K121" t="s">
        <v>95</v>
      </c>
      <c r="L121" t="s">
        <v>95</v>
      </c>
      <c r="M121" t="s">
        <v>95</v>
      </c>
      <c r="N121" t="s">
        <v>410</v>
      </c>
      <c r="O121">
        <v>72</v>
      </c>
      <c r="P121" s="7">
        <v>8759</v>
      </c>
      <c r="Q121">
        <v>0.06</v>
      </c>
      <c r="R121">
        <v>2.21</v>
      </c>
      <c r="S121" s="5">
        <f t="shared" si="1"/>
        <v>9.8630136986301367E-2</v>
      </c>
      <c r="T121" t="s">
        <v>16</v>
      </c>
      <c r="U121" t="s">
        <v>16</v>
      </c>
    </row>
    <row r="122" spans="1:21" x14ac:dyDescent="0.3">
      <c r="A122" t="s">
        <v>27</v>
      </c>
      <c r="B122" t="s">
        <v>68</v>
      </c>
      <c r="C122">
        <v>143</v>
      </c>
      <c r="D122" t="s">
        <v>14</v>
      </c>
      <c r="E122" t="s">
        <v>45</v>
      </c>
      <c r="F122" s="3" t="s">
        <v>408</v>
      </c>
      <c r="G122">
        <v>20018</v>
      </c>
      <c r="H122" t="s">
        <v>219</v>
      </c>
      <c r="I122" t="s">
        <v>220</v>
      </c>
      <c r="J122" t="s">
        <v>344</v>
      </c>
      <c r="K122" t="s">
        <v>95</v>
      </c>
      <c r="L122" t="s">
        <v>95</v>
      </c>
      <c r="M122" t="s">
        <v>95</v>
      </c>
      <c r="N122" t="s">
        <v>411</v>
      </c>
      <c r="O122">
        <v>61</v>
      </c>
      <c r="P122" s="7">
        <v>4108</v>
      </c>
      <c r="Q122">
        <v>0.06</v>
      </c>
      <c r="R122">
        <v>2.21</v>
      </c>
      <c r="S122" s="5">
        <f t="shared" si="1"/>
        <v>8.3561643835616442E-2</v>
      </c>
      <c r="T122" t="s">
        <v>16</v>
      </c>
      <c r="U122" t="s">
        <v>16</v>
      </c>
    </row>
    <row r="123" spans="1:21" x14ac:dyDescent="0.3">
      <c r="A123" t="s">
        <v>27</v>
      </c>
      <c r="B123" t="s">
        <v>68</v>
      </c>
      <c r="C123">
        <v>143</v>
      </c>
      <c r="D123" t="s">
        <v>14</v>
      </c>
      <c r="E123" t="s">
        <v>45</v>
      </c>
      <c r="F123" s="3" t="s">
        <v>87</v>
      </c>
      <c r="G123">
        <v>20018</v>
      </c>
      <c r="H123" t="s">
        <v>219</v>
      </c>
      <c r="I123" t="s">
        <v>225</v>
      </c>
      <c r="J123" t="s">
        <v>344</v>
      </c>
      <c r="K123" t="s">
        <v>412</v>
      </c>
      <c r="L123" t="s">
        <v>95</v>
      </c>
      <c r="M123" t="s">
        <v>95</v>
      </c>
      <c r="N123" t="s">
        <v>95</v>
      </c>
      <c r="O123">
        <v>94</v>
      </c>
      <c r="P123" s="7">
        <v>3202</v>
      </c>
      <c r="Q123">
        <v>0.13</v>
      </c>
      <c r="R123">
        <v>1.34</v>
      </c>
      <c r="S123" s="5">
        <f t="shared" si="1"/>
        <v>0.12876712328767123</v>
      </c>
      <c r="T123" t="s">
        <v>16</v>
      </c>
      <c r="U123" t="s">
        <v>16</v>
      </c>
    </row>
    <row r="124" spans="1:21" x14ac:dyDescent="0.3">
      <c r="A124" t="s">
        <v>27</v>
      </c>
      <c r="B124" t="s">
        <v>68</v>
      </c>
      <c r="C124">
        <v>143</v>
      </c>
      <c r="D124" t="s">
        <v>14</v>
      </c>
      <c r="E124" t="s">
        <v>45</v>
      </c>
      <c r="F124" s="3" t="s">
        <v>87</v>
      </c>
      <c r="G124">
        <v>20018</v>
      </c>
      <c r="H124" t="s">
        <v>219</v>
      </c>
      <c r="I124" t="s">
        <v>222</v>
      </c>
      <c r="J124" t="s">
        <v>344</v>
      </c>
      <c r="K124" t="s">
        <v>95</v>
      </c>
      <c r="L124" t="s">
        <v>95</v>
      </c>
      <c r="M124" t="s">
        <v>95</v>
      </c>
      <c r="N124" t="s">
        <v>413</v>
      </c>
      <c r="O124">
        <v>164</v>
      </c>
      <c r="P124" s="7">
        <v>9926</v>
      </c>
      <c r="Q124">
        <v>0.06</v>
      </c>
      <c r="R124">
        <v>1.6</v>
      </c>
      <c r="S124" s="5">
        <f t="shared" si="1"/>
        <v>0.22465753424657534</v>
      </c>
      <c r="T124" t="s">
        <v>16</v>
      </c>
      <c r="U124" t="s">
        <v>16</v>
      </c>
    </row>
    <row r="125" spans="1:21" x14ac:dyDescent="0.3">
      <c r="A125" t="s">
        <v>27</v>
      </c>
      <c r="B125" t="s">
        <v>68</v>
      </c>
      <c r="C125">
        <v>143</v>
      </c>
      <c r="D125" t="s">
        <v>14</v>
      </c>
      <c r="E125" t="s">
        <v>45</v>
      </c>
      <c r="F125" s="3" t="s">
        <v>87</v>
      </c>
      <c r="G125">
        <v>20018</v>
      </c>
      <c r="H125" t="s">
        <v>219</v>
      </c>
      <c r="I125" t="s">
        <v>414</v>
      </c>
      <c r="J125" t="s">
        <v>344</v>
      </c>
      <c r="K125" t="s">
        <v>95</v>
      </c>
      <c r="L125" t="s">
        <v>95</v>
      </c>
      <c r="M125" t="s">
        <v>95</v>
      </c>
      <c r="N125" t="s">
        <v>415</v>
      </c>
      <c r="O125">
        <v>164</v>
      </c>
      <c r="P125" s="7">
        <v>30166</v>
      </c>
      <c r="Q125">
        <v>7.0000000000000007E-2</v>
      </c>
      <c r="R125">
        <v>2.83</v>
      </c>
      <c r="S125" s="5">
        <f t="shared" si="1"/>
        <v>0.22465753424657534</v>
      </c>
      <c r="T125" t="s">
        <v>16</v>
      </c>
      <c r="U125" t="s">
        <v>16</v>
      </c>
    </row>
    <row r="126" spans="1:21" x14ac:dyDescent="0.3">
      <c r="A126" t="s">
        <v>27</v>
      </c>
      <c r="B126" t="s">
        <v>68</v>
      </c>
      <c r="C126">
        <v>143</v>
      </c>
      <c r="D126" t="s">
        <v>14</v>
      </c>
      <c r="E126" t="s">
        <v>45</v>
      </c>
      <c r="F126" s="3" t="s">
        <v>416</v>
      </c>
      <c r="G126">
        <v>20018</v>
      </c>
      <c r="H126" t="s">
        <v>219</v>
      </c>
      <c r="I126" t="s">
        <v>417</v>
      </c>
      <c r="J126" t="s">
        <v>344</v>
      </c>
      <c r="K126" t="s">
        <v>418</v>
      </c>
      <c r="L126" t="s">
        <v>95</v>
      </c>
      <c r="M126" t="s">
        <v>95</v>
      </c>
      <c r="N126" t="s">
        <v>95</v>
      </c>
      <c r="O126">
        <v>216</v>
      </c>
      <c r="P126" s="7">
        <v>8178</v>
      </c>
      <c r="Q126">
        <v>0.13</v>
      </c>
      <c r="R126">
        <v>1.37</v>
      </c>
      <c r="S126" s="5">
        <f t="shared" si="1"/>
        <v>0.29589041095890412</v>
      </c>
      <c r="T126" t="s">
        <v>16</v>
      </c>
      <c r="U126" t="s">
        <v>16</v>
      </c>
    </row>
    <row r="127" spans="1:21" x14ac:dyDescent="0.3">
      <c r="A127" t="s">
        <v>27</v>
      </c>
      <c r="B127" t="s">
        <v>68</v>
      </c>
      <c r="C127">
        <v>143</v>
      </c>
      <c r="D127" t="s">
        <v>14</v>
      </c>
      <c r="E127" t="s">
        <v>45</v>
      </c>
      <c r="F127" s="3" t="s">
        <v>416</v>
      </c>
      <c r="G127">
        <v>20018</v>
      </c>
      <c r="H127" t="s">
        <v>219</v>
      </c>
      <c r="I127" t="s">
        <v>222</v>
      </c>
      <c r="J127" t="s">
        <v>344</v>
      </c>
      <c r="K127" t="s">
        <v>419</v>
      </c>
      <c r="L127" t="s">
        <v>95</v>
      </c>
      <c r="M127" t="s">
        <v>95</v>
      </c>
      <c r="N127" t="s">
        <v>95</v>
      </c>
      <c r="O127">
        <v>320</v>
      </c>
      <c r="P127" s="7">
        <v>12390</v>
      </c>
      <c r="Q127">
        <v>0.06</v>
      </c>
      <c r="R127">
        <v>1.38</v>
      </c>
      <c r="S127" s="5">
        <f t="shared" si="1"/>
        <v>0.43835616438356162</v>
      </c>
      <c r="T127" t="s">
        <v>16</v>
      </c>
      <c r="U127" t="s">
        <v>16</v>
      </c>
    </row>
    <row r="128" spans="1:21" x14ac:dyDescent="0.3">
      <c r="A128" t="s">
        <v>27</v>
      </c>
      <c r="B128" t="s">
        <v>47</v>
      </c>
      <c r="C128">
        <v>143</v>
      </c>
      <c r="D128" t="s">
        <v>14</v>
      </c>
      <c r="E128" t="s">
        <v>45</v>
      </c>
      <c r="F128" s="3" t="s">
        <v>416</v>
      </c>
      <c r="G128">
        <v>20018</v>
      </c>
      <c r="H128" t="s">
        <v>219</v>
      </c>
      <c r="I128" t="s">
        <v>220</v>
      </c>
      <c r="J128" t="s">
        <v>344</v>
      </c>
      <c r="K128" t="s">
        <v>95</v>
      </c>
      <c r="L128" t="s">
        <v>95</v>
      </c>
      <c r="M128" t="s">
        <v>95</v>
      </c>
      <c r="N128" t="s">
        <v>267</v>
      </c>
      <c r="O128">
        <v>119</v>
      </c>
      <c r="P128" s="7">
        <v>3284</v>
      </c>
      <c r="Q128">
        <v>0.1</v>
      </c>
      <c r="R128">
        <v>1.27</v>
      </c>
      <c r="S128" s="5">
        <f t="shared" si="1"/>
        <v>0.16301369863013698</v>
      </c>
      <c r="T128" t="s">
        <v>16</v>
      </c>
      <c r="U128" t="s">
        <v>16</v>
      </c>
    </row>
    <row r="129" spans="1:21" x14ac:dyDescent="0.3">
      <c r="A129" t="s">
        <v>27</v>
      </c>
      <c r="B129" t="s">
        <v>68</v>
      </c>
      <c r="C129">
        <v>143</v>
      </c>
      <c r="D129" t="s">
        <v>14</v>
      </c>
      <c r="E129" t="s">
        <v>45</v>
      </c>
      <c r="F129" s="3" t="s">
        <v>420</v>
      </c>
      <c r="G129">
        <v>20018</v>
      </c>
      <c r="H129" t="s">
        <v>219</v>
      </c>
      <c r="I129" t="s">
        <v>225</v>
      </c>
      <c r="J129" t="s">
        <v>421</v>
      </c>
      <c r="K129" t="s">
        <v>95</v>
      </c>
      <c r="L129" t="s">
        <v>95</v>
      </c>
      <c r="M129" t="s">
        <v>95</v>
      </c>
      <c r="N129" t="s">
        <v>392</v>
      </c>
      <c r="O129">
        <v>76</v>
      </c>
      <c r="P129" s="7">
        <v>6556</v>
      </c>
      <c r="Q129">
        <v>0.13</v>
      </c>
      <c r="R129">
        <v>1.86</v>
      </c>
      <c r="S129" s="5">
        <f t="shared" si="1"/>
        <v>0.10410958904109589</v>
      </c>
      <c r="T129" t="s">
        <v>16</v>
      </c>
      <c r="U129" t="s">
        <v>16</v>
      </c>
    </row>
    <row r="130" spans="1:21" x14ac:dyDescent="0.3">
      <c r="A130" t="s">
        <v>27</v>
      </c>
      <c r="B130" t="s">
        <v>68</v>
      </c>
      <c r="C130">
        <v>143</v>
      </c>
      <c r="D130" t="s">
        <v>14</v>
      </c>
      <c r="E130" t="s">
        <v>45</v>
      </c>
      <c r="F130" s="3" t="s">
        <v>420</v>
      </c>
      <c r="G130">
        <v>20018</v>
      </c>
      <c r="H130" t="s">
        <v>219</v>
      </c>
      <c r="I130" t="s">
        <v>422</v>
      </c>
      <c r="J130" t="s">
        <v>95</v>
      </c>
      <c r="K130" t="s">
        <v>423</v>
      </c>
      <c r="L130" t="s">
        <v>95</v>
      </c>
      <c r="M130" t="s">
        <v>95</v>
      </c>
      <c r="N130" t="s">
        <v>392</v>
      </c>
      <c r="O130">
        <v>220</v>
      </c>
      <c r="P130" s="7">
        <v>12362</v>
      </c>
      <c r="Q130">
        <v>0.11</v>
      </c>
      <c r="R130">
        <v>1.56</v>
      </c>
      <c r="S130" s="5">
        <f t="shared" si="1"/>
        <v>0.30136986301369861</v>
      </c>
      <c r="T130" t="s">
        <v>16</v>
      </c>
      <c r="U130" t="s">
        <v>16</v>
      </c>
    </row>
    <row r="131" spans="1:21" x14ac:dyDescent="0.3">
      <c r="A131" t="s">
        <v>27</v>
      </c>
      <c r="B131" t="s">
        <v>68</v>
      </c>
      <c r="C131">
        <v>143</v>
      </c>
      <c r="D131" t="s">
        <v>14</v>
      </c>
      <c r="E131" t="s">
        <v>45</v>
      </c>
      <c r="F131" s="3" t="s">
        <v>420</v>
      </c>
      <c r="G131">
        <v>20018</v>
      </c>
      <c r="H131" t="s">
        <v>219</v>
      </c>
      <c r="I131" t="s">
        <v>424</v>
      </c>
      <c r="J131" t="s">
        <v>95</v>
      </c>
      <c r="K131" t="s">
        <v>425</v>
      </c>
      <c r="L131" t="s">
        <v>426</v>
      </c>
      <c r="M131" t="s">
        <v>95</v>
      </c>
      <c r="N131" t="s">
        <v>392</v>
      </c>
      <c r="O131">
        <v>50</v>
      </c>
      <c r="P131" s="7">
        <v>6558</v>
      </c>
      <c r="Q131">
        <v>0.1</v>
      </c>
      <c r="R131">
        <v>2.31</v>
      </c>
      <c r="S131" s="5">
        <f t="shared" ref="S131:S194" si="2">O131/730</f>
        <v>6.8493150684931503E-2</v>
      </c>
      <c r="T131" t="s">
        <v>16</v>
      </c>
      <c r="U131" t="s">
        <v>16</v>
      </c>
    </row>
    <row r="132" spans="1:21" x14ac:dyDescent="0.3">
      <c r="A132" t="s">
        <v>27</v>
      </c>
      <c r="B132" t="s">
        <v>68</v>
      </c>
      <c r="C132">
        <v>143</v>
      </c>
      <c r="D132" t="s">
        <v>14</v>
      </c>
      <c r="E132" t="s">
        <v>45</v>
      </c>
      <c r="F132" s="3" t="s">
        <v>427</v>
      </c>
      <c r="G132">
        <v>20018</v>
      </c>
      <c r="H132" t="s">
        <v>219</v>
      </c>
      <c r="I132" t="s">
        <v>428</v>
      </c>
      <c r="J132" t="s">
        <v>95</v>
      </c>
      <c r="K132" t="s">
        <v>425</v>
      </c>
      <c r="L132" t="s">
        <v>95</v>
      </c>
      <c r="M132" t="s">
        <v>429</v>
      </c>
      <c r="N132" t="s">
        <v>392</v>
      </c>
      <c r="O132">
        <v>67</v>
      </c>
      <c r="P132" s="7">
        <v>4546</v>
      </c>
      <c r="Q132">
        <v>0.13</v>
      </c>
      <c r="R132">
        <v>1.67</v>
      </c>
      <c r="S132" s="5">
        <f t="shared" si="2"/>
        <v>9.1780821917808217E-2</v>
      </c>
      <c r="T132" t="s">
        <v>16</v>
      </c>
      <c r="U132" t="s">
        <v>16</v>
      </c>
    </row>
    <row r="133" spans="1:21" x14ac:dyDescent="0.3">
      <c r="A133" t="s">
        <v>27</v>
      </c>
      <c r="B133" t="s">
        <v>68</v>
      </c>
      <c r="C133">
        <v>143</v>
      </c>
      <c r="D133" t="s">
        <v>14</v>
      </c>
      <c r="E133" t="s">
        <v>45</v>
      </c>
      <c r="F133" s="3" t="s">
        <v>430</v>
      </c>
      <c r="G133">
        <v>20018</v>
      </c>
      <c r="H133" t="s">
        <v>219</v>
      </c>
      <c r="I133" t="s">
        <v>225</v>
      </c>
      <c r="J133" t="s">
        <v>95</v>
      </c>
      <c r="K133" t="s">
        <v>431</v>
      </c>
      <c r="L133" t="s">
        <v>95</v>
      </c>
      <c r="M133" t="s">
        <v>95</v>
      </c>
      <c r="N133" t="s">
        <v>392</v>
      </c>
      <c r="O133">
        <v>127</v>
      </c>
      <c r="P133" s="7">
        <v>6026</v>
      </c>
      <c r="Q133">
        <v>0.1</v>
      </c>
      <c r="R133">
        <v>1.47</v>
      </c>
      <c r="S133" s="5">
        <f t="shared" si="2"/>
        <v>0.17397260273972603</v>
      </c>
      <c r="T133" t="s">
        <v>16</v>
      </c>
      <c r="U133" t="s">
        <v>16</v>
      </c>
    </row>
    <row r="134" spans="1:21" x14ac:dyDescent="0.3">
      <c r="A134" t="s">
        <v>27</v>
      </c>
      <c r="B134" t="s">
        <v>47</v>
      </c>
      <c r="C134">
        <v>143</v>
      </c>
      <c r="D134" t="s">
        <v>14</v>
      </c>
      <c r="E134" t="s">
        <v>45</v>
      </c>
      <c r="F134" s="3" t="s">
        <v>430</v>
      </c>
      <c r="G134">
        <v>20018</v>
      </c>
      <c r="H134" t="s">
        <v>219</v>
      </c>
      <c r="I134" t="s">
        <v>222</v>
      </c>
      <c r="J134" t="s">
        <v>95</v>
      </c>
      <c r="K134" t="s">
        <v>95</v>
      </c>
      <c r="L134" t="s">
        <v>95</v>
      </c>
      <c r="M134" t="s">
        <v>432</v>
      </c>
      <c r="N134" t="s">
        <v>392</v>
      </c>
      <c r="O134">
        <v>97</v>
      </c>
      <c r="P134" s="7">
        <v>3978</v>
      </c>
      <c r="Q134">
        <v>0.08</v>
      </c>
      <c r="R134">
        <v>1.41</v>
      </c>
      <c r="S134" s="5">
        <f t="shared" si="2"/>
        <v>0.13287671232876713</v>
      </c>
      <c r="T134" t="s">
        <v>16</v>
      </c>
      <c r="U134" t="s">
        <v>16</v>
      </c>
    </row>
    <row r="135" spans="1:21" x14ac:dyDescent="0.3">
      <c r="A135" t="s">
        <v>27</v>
      </c>
      <c r="B135" t="s">
        <v>68</v>
      </c>
      <c r="C135">
        <v>143</v>
      </c>
      <c r="D135" t="s">
        <v>14</v>
      </c>
      <c r="E135" t="s">
        <v>45</v>
      </c>
      <c r="F135" s="3" t="s">
        <v>430</v>
      </c>
      <c r="G135">
        <v>20018</v>
      </c>
      <c r="H135" t="s">
        <v>219</v>
      </c>
      <c r="I135" t="s">
        <v>220</v>
      </c>
      <c r="J135" t="s">
        <v>95</v>
      </c>
      <c r="K135" t="s">
        <v>433</v>
      </c>
      <c r="L135" t="s">
        <v>95</v>
      </c>
      <c r="M135" t="s">
        <v>344</v>
      </c>
      <c r="N135" t="s">
        <v>392</v>
      </c>
      <c r="O135">
        <v>178</v>
      </c>
      <c r="P135" s="7">
        <v>8752</v>
      </c>
      <c r="Q135">
        <v>7.0000000000000007E-2</v>
      </c>
      <c r="R135">
        <v>1.49</v>
      </c>
      <c r="S135" s="5">
        <f t="shared" si="2"/>
        <v>0.24383561643835616</v>
      </c>
      <c r="T135" t="s">
        <v>16</v>
      </c>
      <c r="U135" t="s">
        <v>16</v>
      </c>
    </row>
    <row r="136" spans="1:21" x14ac:dyDescent="0.3">
      <c r="A136" t="s">
        <v>27</v>
      </c>
      <c r="B136" t="s">
        <v>68</v>
      </c>
      <c r="C136">
        <v>143</v>
      </c>
      <c r="D136" t="s">
        <v>14</v>
      </c>
      <c r="E136" t="s">
        <v>45</v>
      </c>
      <c r="F136" s="3" t="s">
        <v>434</v>
      </c>
      <c r="G136">
        <v>20018</v>
      </c>
      <c r="H136" t="s">
        <v>219</v>
      </c>
      <c r="I136" t="s">
        <v>435</v>
      </c>
      <c r="J136" t="s">
        <v>95</v>
      </c>
      <c r="K136" t="s">
        <v>95</v>
      </c>
      <c r="L136" t="s">
        <v>95</v>
      </c>
      <c r="M136" t="s">
        <v>436</v>
      </c>
      <c r="N136" t="s">
        <v>392</v>
      </c>
      <c r="O136">
        <v>27</v>
      </c>
      <c r="P136" s="7">
        <v>6249</v>
      </c>
      <c r="Q136">
        <v>0.11</v>
      </c>
      <c r="R136">
        <v>3.31</v>
      </c>
      <c r="S136" s="5">
        <f t="shared" si="2"/>
        <v>3.6986301369863014E-2</v>
      </c>
      <c r="T136" t="s">
        <v>16</v>
      </c>
      <c r="U136" t="s">
        <v>16</v>
      </c>
    </row>
    <row r="137" spans="1:21" x14ac:dyDescent="0.3">
      <c r="A137" t="s">
        <v>27</v>
      </c>
      <c r="B137" t="s">
        <v>68</v>
      </c>
      <c r="C137">
        <v>143</v>
      </c>
      <c r="D137" t="s">
        <v>14</v>
      </c>
      <c r="E137" t="s">
        <v>45</v>
      </c>
      <c r="F137" s="3" t="s">
        <v>434</v>
      </c>
      <c r="G137">
        <v>20018</v>
      </c>
      <c r="H137" t="s">
        <v>219</v>
      </c>
      <c r="I137" t="s">
        <v>222</v>
      </c>
      <c r="J137" t="s">
        <v>437</v>
      </c>
      <c r="K137" t="s">
        <v>95</v>
      </c>
      <c r="L137" t="s">
        <v>95</v>
      </c>
      <c r="M137" t="s">
        <v>95</v>
      </c>
      <c r="N137" t="s">
        <v>392</v>
      </c>
      <c r="O137">
        <v>147</v>
      </c>
      <c r="P137" s="7">
        <v>3697</v>
      </c>
      <c r="Q137">
        <v>0.08</v>
      </c>
      <c r="R137">
        <v>1.25</v>
      </c>
      <c r="S137" s="5">
        <f t="shared" si="2"/>
        <v>0.20136986301369864</v>
      </c>
      <c r="T137" t="s">
        <v>16</v>
      </c>
      <c r="U137" t="s">
        <v>16</v>
      </c>
    </row>
    <row r="138" spans="1:21" x14ac:dyDescent="0.3">
      <c r="A138" t="s">
        <v>27</v>
      </c>
      <c r="B138" t="s">
        <v>68</v>
      </c>
      <c r="C138">
        <v>143</v>
      </c>
      <c r="D138" t="s">
        <v>14</v>
      </c>
      <c r="E138" t="s">
        <v>45</v>
      </c>
      <c r="F138" s="3" t="s">
        <v>434</v>
      </c>
      <c r="G138">
        <v>20018</v>
      </c>
      <c r="H138" t="s">
        <v>219</v>
      </c>
      <c r="I138" t="s">
        <v>220</v>
      </c>
      <c r="J138" t="s">
        <v>438</v>
      </c>
      <c r="K138" t="s">
        <v>95</v>
      </c>
      <c r="L138" t="s">
        <v>95</v>
      </c>
      <c r="M138" t="s">
        <v>95</v>
      </c>
      <c r="N138" t="s">
        <v>392</v>
      </c>
      <c r="O138">
        <v>70</v>
      </c>
      <c r="P138" s="7">
        <v>11597</v>
      </c>
      <c r="Q138">
        <v>0.1</v>
      </c>
      <c r="R138">
        <v>2.65</v>
      </c>
      <c r="S138" s="5">
        <f t="shared" si="2"/>
        <v>9.5890410958904104E-2</v>
      </c>
      <c r="T138" t="s">
        <v>16</v>
      </c>
      <c r="U138" t="s">
        <v>16</v>
      </c>
    </row>
    <row r="139" spans="1:21" x14ac:dyDescent="0.3">
      <c r="A139" t="s">
        <v>27</v>
      </c>
      <c r="B139" t="s">
        <v>68</v>
      </c>
      <c r="C139">
        <v>143</v>
      </c>
      <c r="D139" t="s">
        <v>14</v>
      </c>
      <c r="E139" t="s">
        <v>45</v>
      </c>
      <c r="F139" s="3" t="s">
        <v>439</v>
      </c>
      <c r="G139">
        <v>20018</v>
      </c>
      <c r="H139" t="s">
        <v>219</v>
      </c>
      <c r="I139" t="s">
        <v>220</v>
      </c>
      <c r="J139" t="s">
        <v>95</v>
      </c>
      <c r="K139" t="s">
        <v>95</v>
      </c>
      <c r="L139" t="s">
        <v>440</v>
      </c>
      <c r="M139" t="s">
        <v>95</v>
      </c>
      <c r="N139" t="s">
        <v>392</v>
      </c>
      <c r="O139">
        <v>27</v>
      </c>
      <c r="P139" s="7">
        <v>7298</v>
      </c>
      <c r="Q139">
        <v>0.18</v>
      </c>
      <c r="R139">
        <v>3.7</v>
      </c>
      <c r="S139" s="5">
        <f t="shared" si="2"/>
        <v>3.6986301369863014E-2</v>
      </c>
      <c r="T139" t="s">
        <v>16</v>
      </c>
      <c r="U139" t="s">
        <v>16</v>
      </c>
    </row>
    <row r="140" spans="1:21" x14ac:dyDescent="0.3">
      <c r="A140" t="s">
        <v>27</v>
      </c>
      <c r="B140" t="s">
        <v>68</v>
      </c>
      <c r="C140">
        <v>143</v>
      </c>
      <c r="D140" t="s">
        <v>14</v>
      </c>
      <c r="E140" t="s">
        <v>45</v>
      </c>
      <c r="F140" s="3" t="s">
        <v>441</v>
      </c>
      <c r="G140">
        <v>20018</v>
      </c>
      <c r="H140" t="s">
        <v>219</v>
      </c>
      <c r="I140" t="s">
        <v>225</v>
      </c>
      <c r="J140" t="s">
        <v>442</v>
      </c>
      <c r="K140" t="s">
        <v>95</v>
      </c>
      <c r="L140" t="s">
        <v>95</v>
      </c>
      <c r="M140" t="s">
        <v>95</v>
      </c>
      <c r="N140" t="s">
        <v>392</v>
      </c>
      <c r="O140">
        <v>47</v>
      </c>
      <c r="P140" s="7">
        <v>8758</v>
      </c>
      <c r="Q140">
        <v>0.14000000000000001</v>
      </c>
      <c r="R140">
        <v>2.86</v>
      </c>
      <c r="S140" s="5">
        <f t="shared" si="2"/>
        <v>6.4383561643835616E-2</v>
      </c>
      <c r="T140" t="s">
        <v>16</v>
      </c>
      <c r="U140" t="s">
        <v>16</v>
      </c>
    </row>
    <row r="141" spans="1:21" x14ac:dyDescent="0.3">
      <c r="A141" t="s">
        <v>27</v>
      </c>
      <c r="B141" t="s">
        <v>68</v>
      </c>
      <c r="C141">
        <v>143</v>
      </c>
      <c r="D141" t="s">
        <v>14</v>
      </c>
      <c r="E141" t="s">
        <v>45</v>
      </c>
      <c r="F141" s="3" t="s">
        <v>441</v>
      </c>
      <c r="G141">
        <v>20018</v>
      </c>
      <c r="H141" t="s">
        <v>219</v>
      </c>
      <c r="I141" t="s">
        <v>222</v>
      </c>
      <c r="J141" t="s">
        <v>443</v>
      </c>
      <c r="K141" t="s">
        <v>95</v>
      </c>
      <c r="L141" t="s">
        <v>95</v>
      </c>
      <c r="M141" t="s">
        <v>95</v>
      </c>
      <c r="N141" t="s">
        <v>392</v>
      </c>
      <c r="O141">
        <v>42</v>
      </c>
      <c r="P141" s="7">
        <v>5438</v>
      </c>
      <c r="Q141">
        <v>0.09</v>
      </c>
      <c r="R141">
        <v>2.29</v>
      </c>
      <c r="S141" s="5">
        <f t="shared" si="2"/>
        <v>5.7534246575342465E-2</v>
      </c>
      <c r="T141" t="s">
        <v>16</v>
      </c>
      <c r="U141" t="s">
        <v>16</v>
      </c>
    </row>
    <row r="142" spans="1:21" x14ac:dyDescent="0.3">
      <c r="A142" t="s">
        <v>27</v>
      </c>
      <c r="B142" t="s">
        <v>68</v>
      </c>
      <c r="C142">
        <v>143</v>
      </c>
      <c r="D142" t="s">
        <v>14</v>
      </c>
      <c r="E142" t="s">
        <v>45</v>
      </c>
      <c r="F142" s="3" t="s">
        <v>103</v>
      </c>
      <c r="G142">
        <v>20018</v>
      </c>
      <c r="H142" t="s">
        <v>219</v>
      </c>
      <c r="I142" t="s">
        <v>372</v>
      </c>
      <c r="J142" t="s">
        <v>95</v>
      </c>
      <c r="K142" t="s">
        <v>95</v>
      </c>
      <c r="L142" t="s">
        <v>95</v>
      </c>
      <c r="M142" t="s">
        <v>444</v>
      </c>
      <c r="N142" t="s">
        <v>392</v>
      </c>
      <c r="O142">
        <v>597</v>
      </c>
      <c r="P142" s="7">
        <v>17921</v>
      </c>
      <c r="Q142">
        <v>0.05</v>
      </c>
      <c r="R142">
        <v>1.3</v>
      </c>
      <c r="S142" s="5">
        <f t="shared" si="2"/>
        <v>0.81780821917808222</v>
      </c>
      <c r="T142" t="s">
        <v>16</v>
      </c>
      <c r="U142" t="s">
        <v>16</v>
      </c>
    </row>
    <row r="143" spans="1:21" x14ac:dyDescent="0.3">
      <c r="A143" t="s">
        <v>27</v>
      </c>
      <c r="B143" t="s">
        <v>68</v>
      </c>
      <c r="C143">
        <v>143</v>
      </c>
      <c r="D143" t="s">
        <v>14</v>
      </c>
      <c r="E143" t="s">
        <v>45</v>
      </c>
      <c r="F143" s="3" t="s">
        <v>103</v>
      </c>
      <c r="G143">
        <v>20018</v>
      </c>
      <c r="H143" t="s">
        <v>219</v>
      </c>
      <c r="I143" t="s">
        <v>221</v>
      </c>
      <c r="J143" t="s">
        <v>95</v>
      </c>
      <c r="K143" t="s">
        <v>95</v>
      </c>
      <c r="L143" t="s">
        <v>95</v>
      </c>
      <c r="M143" t="s">
        <v>445</v>
      </c>
      <c r="N143" t="s">
        <v>267</v>
      </c>
      <c r="O143">
        <v>19</v>
      </c>
      <c r="P143" s="7">
        <v>2907</v>
      </c>
      <c r="Q143">
        <v>0.21</v>
      </c>
      <c r="R143">
        <v>2.52</v>
      </c>
      <c r="S143" s="5">
        <f t="shared" si="2"/>
        <v>2.6027397260273973E-2</v>
      </c>
      <c r="T143" t="s">
        <v>16</v>
      </c>
      <c r="U143" t="s">
        <v>16</v>
      </c>
    </row>
    <row r="144" spans="1:21" x14ac:dyDescent="0.3">
      <c r="A144" t="s">
        <v>27</v>
      </c>
      <c r="B144" t="s">
        <v>68</v>
      </c>
      <c r="C144">
        <v>143</v>
      </c>
      <c r="D144" t="s">
        <v>14</v>
      </c>
      <c r="E144" t="s">
        <v>45</v>
      </c>
      <c r="F144" s="3" t="s">
        <v>446</v>
      </c>
      <c r="G144">
        <v>20018</v>
      </c>
      <c r="H144" t="s">
        <v>219</v>
      </c>
      <c r="I144" t="s">
        <v>222</v>
      </c>
      <c r="J144" t="s">
        <v>95</v>
      </c>
      <c r="K144" t="s">
        <v>447</v>
      </c>
      <c r="L144" t="s">
        <v>95</v>
      </c>
      <c r="M144" t="s">
        <v>445</v>
      </c>
      <c r="N144" t="s">
        <v>95</v>
      </c>
      <c r="O144">
        <v>44</v>
      </c>
      <c r="P144" s="7">
        <v>4207</v>
      </c>
      <c r="Q144">
        <v>0.15</v>
      </c>
      <c r="R144">
        <v>1.95</v>
      </c>
      <c r="S144" s="5">
        <f t="shared" si="2"/>
        <v>6.0273972602739728E-2</v>
      </c>
      <c r="T144" t="s">
        <v>16</v>
      </c>
      <c r="U144" t="s">
        <v>16</v>
      </c>
    </row>
    <row r="145" spans="1:21" x14ac:dyDescent="0.3">
      <c r="A145" t="s">
        <v>27</v>
      </c>
      <c r="B145" t="s">
        <v>68</v>
      </c>
      <c r="C145">
        <v>143</v>
      </c>
      <c r="D145" t="s">
        <v>14</v>
      </c>
      <c r="E145" t="s">
        <v>45</v>
      </c>
      <c r="F145" s="3" t="s">
        <v>446</v>
      </c>
      <c r="G145">
        <v>20018</v>
      </c>
      <c r="H145" t="s">
        <v>219</v>
      </c>
      <c r="I145" t="s">
        <v>448</v>
      </c>
      <c r="J145" t="s">
        <v>450</v>
      </c>
      <c r="K145" t="s">
        <v>449</v>
      </c>
      <c r="L145" t="s">
        <v>95</v>
      </c>
      <c r="M145" t="s">
        <v>445</v>
      </c>
      <c r="N145" t="s">
        <v>95</v>
      </c>
      <c r="O145">
        <v>142</v>
      </c>
      <c r="P145" s="7">
        <v>12164</v>
      </c>
      <c r="Q145">
        <v>0.09</v>
      </c>
      <c r="R145">
        <v>1.85</v>
      </c>
      <c r="S145" s="5">
        <f t="shared" si="2"/>
        <v>0.19452054794520549</v>
      </c>
      <c r="T145" t="s">
        <v>16</v>
      </c>
      <c r="U145" t="s">
        <v>16</v>
      </c>
    </row>
    <row r="146" spans="1:21" x14ac:dyDescent="0.3">
      <c r="A146" t="s">
        <v>27</v>
      </c>
      <c r="B146" t="s">
        <v>68</v>
      </c>
      <c r="C146">
        <v>143</v>
      </c>
      <c r="D146" t="s">
        <v>14</v>
      </c>
      <c r="E146" t="s">
        <v>45</v>
      </c>
      <c r="F146" s="3" t="s">
        <v>451</v>
      </c>
      <c r="G146">
        <v>20018</v>
      </c>
      <c r="H146" t="s">
        <v>219</v>
      </c>
      <c r="I146" t="s">
        <v>222</v>
      </c>
      <c r="J146" t="s">
        <v>95</v>
      </c>
      <c r="K146" t="s">
        <v>449</v>
      </c>
      <c r="L146" t="s">
        <v>95</v>
      </c>
      <c r="M146" t="s">
        <v>445</v>
      </c>
      <c r="N146" t="s">
        <v>452</v>
      </c>
      <c r="O146">
        <v>28</v>
      </c>
      <c r="P146" s="7">
        <v>4358</v>
      </c>
      <c r="Q146">
        <v>0.17</v>
      </c>
      <c r="R146">
        <v>2.5499999999999998</v>
      </c>
      <c r="S146" s="5">
        <f t="shared" si="2"/>
        <v>3.8356164383561646E-2</v>
      </c>
      <c r="T146" t="s">
        <v>16</v>
      </c>
      <c r="U146" t="s">
        <v>16</v>
      </c>
    </row>
    <row r="147" spans="1:21" x14ac:dyDescent="0.3">
      <c r="A147" t="s">
        <v>27</v>
      </c>
      <c r="B147" t="s">
        <v>68</v>
      </c>
      <c r="C147">
        <v>143</v>
      </c>
      <c r="D147" t="s">
        <v>14</v>
      </c>
      <c r="E147" t="s">
        <v>45</v>
      </c>
      <c r="F147" s="3" t="s">
        <v>451</v>
      </c>
      <c r="G147">
        <v>20018</v>
      </c>
      <c r="H147" t="s">
        <v>219</v>
      </c>
      <c r="I147" t="s">
        <v>453</v>
      </c>
      <c r="J147" t="s">
        <v>95</v>
      </c>
      <c r="K147" t="s">
        <v>455</v>
      </c>
      <c r="L147" t="s">
        <v>95</v>
      </c>
      <c r="M147" t="s">
        <v>445</v>
      </c>
      <c r="N147" t="s">
        <v>454</v>
      </c>
      <c r="O147">
        <v>228</v>
      </c>
      <c r="P147" s="7">
        <v>9402</v>
      </c>
      <c r="Q147">
        <v>0.06</v>
      </c>
      <c r="R147">
        <v>1.41</v>
      </c>
      <c r="S147" s="5">
        <f t="shared" si="2"/>
        <v>0.31232876712328766</v>
      </c>
      <c r="T147" t="s">
        <v>16</v>
      </c>
      <c r="U147" t="s">
        <v>16</v>
      </c>
    </row>
    <row r="148" spans="1:21" x14ac:dyDescent="0.3">
      <c r="A148" t="s">
        <v>27</v>
      </c>
      <c r="B148" t="s">
        <v>47</v>
      </c>
      <c r="C148">
        <v>143</v>
      </c>
      <c r="D148" t="s">
        <v>14</v>
      </c>
      <c r="E148" t="s">
        <v>45</v>
      </c>
      <c r="F148" s="3" t="s">
        <v>456</v>
      </c>
      <c r="G148">
        <v>20018</v>
      </c>
      <c r="H148" t="s">
        <v>219</v>
      </c>
      <c r="I148" t="s">
        <v>222</v>
      </c>
      <c r="J148" t="s">
        <v>95</v>
      </c>
      <c r="K148" t="s">
        <v>95</v>
      </c>
      <c r="L148" t="s">
        <v>95</v>
      </c>
      <c r="M148" t="s">
        <v>445</v>
      </c>
      <c r="N148" t="s">
        <v>457</v>
      </c>
      <c r="O148">
        <v>52</v>
      </c>
      <c r="P148" s="7">
        <v>3647</v>
      </c>
      <c r="Q148">
        <v>0.11</v>
      </c>
      <c r="R148">
        <v>1.7</v>
      </c>
      <c r="S148" s="5">
        <f t="shared" si="2"/>
        <v>7.1232876712328766E-2</v>
      </c>
      <c r="T148" t="s">
        <v>16</v>
      </c>
      <c r="U148" t="s">
        <v>16</v>
      </c>
    </row>
    <row r="149" spans="1:21" x14ac:dyDescent="0.3">
      <c r="A149" t="s">
        <v>27</v>
      </c>
      <c r="B149" t="s">
        <v>47</v>
      </c>
      <c r="C149">
        <v>143</v>
      </c>
      <c r="D149" t="s">
        <v>14</v>
      </c>
      <c r="E149" t="s">
        <v>45</v>
      </c>
      <c r="F149" s="3" t="s">
        <v>456</v>
      </c>
      <c r="G149">
        <v>20018</v>
      </c>
      <c r="H149" t="s">
        <v>219</v>
      </c>
      <c r="I149" t="s">
        <v>220</v>
      </c>
      <c r="J149" t="s">
        <v>95</v>
      </c>
      <c r="K149" t="s">
        <v>95</v>
      </c>
      <c r="L149" t="s">
        <v>95</v>
      </c>
      <c r="M149" t="s">
        <v>445</v>
      </c>
      <c r="N149" t="s">
        <v>458</v>
      </c>
      <c r="O149">
        <v>210</v>
      </c>
      <c r="P149" s="7">
        <v>9115</v>
      </c>
      <c r="Q149">
        <v>0.08</v>
      </c>
      <c r="R149">
        <v>1.43</v>
      </c>
      <c r="S149" s="5">
        <f t="shared" si="2"/>
        <v>0.28767123287671231</v>
      </c>
      <c r="T149" t="s">
        <v>16</v>
      </c>
      <c r="U149" t="s">
        <v>16</v>
      </c>
    </row>
    <row r="150" spans="1:21" x14ac:dyDescent="0.3">
      <c r="A150" t="s">
        <v>27</v>
      </c>
      <c r="B150" t="s">
        <v>459</v>
      </c>
      <c r="C150">
        <v>143</v>
      </c>
      <c r="D150" t="s">
        <v>14</v>
      </c>
      <c r="E150" t="s">
        <v>45</v>
      </c>
      <c r="F150" s="3" t="s">
        <v>111</v>
      </c>
      <c r="G150">
        <v>20018</v>
      </c>
      <c r="H150" t="s">
        <v>219</v>
      </c>
      <c r="I150" t="s">
        <v>220</v>
      </c>
      <c r="J150" t="s">
        <v>95</v>
      </c>
      <c r="K150" t="s">
        <v>95</v>
      </c>
      <c r="L150" t="s">
        <v>460</v>
      </c>
      <c r="M150" t="s">
        <v>445</v>
      </c>
      <c r="N150" t="s">
        <v>95</v>
      </c>
      <c r="O150">
        <v>102</v>
      </c>
      <c r="P150" s="7">
        <v>11266</v>
      </c>
      <c r="Q150">
        <v>7.0000000000000007E-2</v>
      </c>
      <c r="R150">
        <v>2.1</v>
      </c>
      <c r="S150" s="5">
        <f t="shared" si="2"/>
        <v>0.13972602739726028</v>
      </c>
      <c r="T150" t="s">
        <v>16</v>
      </c>
      <c r="U150" t="s">
        <v>16</v>
      </c>
    </row>
    <row r="151" spans="1:21" x14ac:dyDescent="0.3">
      <c r="A151" t="s">
        <v>27</v>
      </c>
      <c r="B151" t="s">
        <v>459</v>
      </c>
      <c r="C151">
        <v>143</v>
      </c>
      <c r="D151" t="s">
        <v>14</v>
      </c>
      <c r="E151" t="s">
        <v>45</v>
      </c>
      <c r="F151" s="3" t="s">
        <v>461</v>
      </c>
      <c r="G151">
        <v>20018</v>
      </c>
      <c r="H151" t="s">
        <v>219</v>
      </c>
      <c r="I151" t="s">
        <v>220</v>
      </c>
      <c r="J151" t="s">
        <v>95</v>
      </c>
      <c r="K151" t="s">
        <v>95</v>
      </c>
      <c r="L151" t="s">
        <v>462</v>
      </c>
      <c r="M151" t="s">
        <v>445</v>
      </c>
      <c r="N151" t="s">
        <v>95</v>
      </c>
      <c r="O151">
        <v>58</v>
      </c>
      <c r="P151" s="7">
        <v>14839</v>
      </c>
      <c r="Q151">
        <v>0.1</v>
      </c>
      <c r="R151">
        <v>3.55</v>
      </c>
      <c r="S151" s="5">
        <f t="shared" si="2"/>
        <v>7.9452054794520555E-2</v>
      </c>
      <c r="T151" t="s">
        <v>16</v>
      </c>
      <c r="U151" t="s">
        <v>16</v>
      </c>
    </row>
    <row r="152" spans="1:21" x14ac:dyDescent="0.3">
      <c r="A152" t="s">
        <v>27</v>
      </c>
      <c r="B152" t="s">
        <v>459</v>
      </c>
      <c r="C152">
        <v>143</v>
      </c>
      <c r="D152" t="s">
        <v>14</v>
      </c>
      <c r="E152" t="s">
        <v>45</v>
      </c>
      <c r="F152" s="3" t="s">
        <v>116</v>
      </c>
      <c r="G152">
        <v>20018</v>
      </c>
      <c r="H152" t="s">
        <v>219</v>
      </c>
      <c r="I152" t="s">
        <v>220</v>
      </c>
      <c r="J152" t="s">
        <v>95</v>
      </c>
      <c r="K152" t="s">
        <v>95</v>
      </c>
      <c r="L152" t="s">
        <v>95</v>
      </c>
      <c r="M152" t="s">
        <v>463</v>
      </c>
      <c r="N152" t="s">
        <v>95</v>
      </c>
      <c r="O152">
        <v>39</v>
      </c>
      <c r="P152" s="7">
        <v>2338</v>
      </c>
      <c r="Q152">
        <v>0.17</v>
      </c>
      <c r="R152">
        <v>1.59</v>
      </c>
      <c r="S152" s="5">
        <f t="shared" si="2"/>
        <v>5.3424657534246578E-2</v>
      </c>
      <c r="T152" t="s">
        <v>16</v>
      </c>
      <c r="U152" t="s">
        <v>16</v>
      </c>
    </row>
    <row r="153" spans="1:21" x14ac:dyDescent="0.3">
      <c r="A153" t="s">
        <v>27</v>
      </c>
      <c r="B153" t="s">
        <v>459</v>
      </c>
      <c r="C153">
        <v>143</v>
      </c>
      <c r="D153" t="s">
        <v>14</v>
      </c>
      <c r="E153" t="s">
        <v>45</v>
      </c>
      <c r="F153" s="3" t="s">
        <v>464</v>
      </c>
      <c r="G153">
        <v>20018</v>
      </c>
      <c r="H153" t="s">
        <v>219</v>
      </c>
      <c r="I153" t="s">
        <v>220</v>
      </c>
      <c r="J153" t="s">
        <v>95</v>
      </c>
      <c r="K153" t="s">
        <v>95</v>
      </c>
      <c r="L153" t="s">
        <v>95</v>
      </c>
      <c r="M153" t="s">
        <v>465</v>
      </c>
      <c r="N153" t="s">
        <v>95</v>
      </c>
      <c r="O153">
        <v>97</v>
      </c>
      <c r="P153" s="7">
        <v>4584</v>
      </c>
      <c r="Q153">
        <v>0.17</v>
      </c>
      <c r="R153">
        <v>1.47</v>
      </c>
      <c r="S153" s="5">
        <f t="shared" si="2"/>
        <v>0.13287671232876713</v>
      </c>
      <c r="T153" t="s">
        <v>16</v>
      </c>
      <c r="U153" t="s">
        <v>16</v>
      </c>
    </row>
    <row r="154" spans="1:21" x14ac:dyDescent="0.3">
      <c r="A154" t="s">
        <v>27</v>
      </c>
      <c r="B154" t="s">
        <v>459</v>
      </c>
      <c r="C154">
        <v>143</v>
      </c>
      <c r="D154" t="s">
        <v>14</v>
      </c>
      <c r="E154" t="s">
        <v>45</v>
      </c>
      <c r="F154" s="3" t="s">
        <v>118</v>
      </c>
      <c r="G154">
        <v>20018</v>
      </c>
      <c r="H154" t="s">
        <v>219</v>
      </c>
      <c r="I154" t="s">
        <v>220</v>
      </c>
      <c r="J154" t="s">
        <v>95</v>
      </c>
      <c r="K154" t="s">
        <v>95</v>
      </c>
      <c r="L154" t="s">
        <v>95</v>
      </c>
      <c r="M154" t="s">
        <v>466</v>
      </c>
      <c r="N154" t="s">
        <v>95</v>
      </c>
      <c r="O154">
        <v>88</v>
      </c>
      <c r="P154" s="7">
        <v>12807</v>
      </c>
      <c r="Q154">
        <v>0.09</v>
      </c>
      <c r="R154">
        <v>2.4500000000000002</v>
      </c>
      <c r="S154" s="5">
        <f t="shared" si="2"/>
        <v>0.12054794520547946</v>
      </c>
      <c r="T154" t="s">
        <v>16</v>
      </c>
      <c r="U154" t="s">
        <v>16</v>
      </c>
    </row>
    <row r="155" spans="1:21" x14ac:dyDescent="0.3">
      <c r="A155" t="s">
        <v>27</v>
      </c>
      <c r="B155" t="s">
        <v>459</v>
      </c>
      <c r="C155">
        <v>143</v>
      </c>
      <c r="D155" t="s">
        <v>14</v>
      </c>
      <c r="E155" t="s">
        <v>45</v>
      </c>
      <c r="F155" s="3" t="s">
        <v>467</v>
      </c>
      <c r="G155">
        <v>20018</v>
      </c>
      <c r="H155" t="s">
        <v>219</v>
      </c>
      <c r="I155" t="s">
        <v>220</v>
      </c>
      <c r="J155" t="s">
        <v>468</v>
      </c>
      <c r="K155" t="s">
        <v>95</v>
      </c>
      <c r="L155" t="s">
        <v>95</v>
      </c>
      <c r="M155" t="s">
        <v>344</v>
      </c>
      <c r="N155" t="s">
        <v>95</v>
      </c>
      <c r="O155">
        <v>103</v>
      </c>
      <c r="P155" s="7">
        <v>5566</v>
      </c>
      <c r="Q155">
        <v>0.09</v>
      </c>
      <c r="R155">
        <v>1.54</v>
      </c>
      <c r="S155" s="5">
        <f t="shared" si="2"/>
        <v>0.14109589041095891</v>
      </c>
      <c r="T155" t="s">
        <v>16</v>
      </c>
      <c r="U155" t="s">
        <v>16</v>
      </c>
    </row>
    <row r="156" spans="1:21" x14ac:dyDescent="0.3">
      <c r="A156" t="s">
        <v>27</v>
      </c>
      <c r="B156" t="s">
        <v>469</v>
      </c>
      <c r="C156">
        <v>143</v>
      </c>
      <c r="D156" t="s">
        <v>14</v>
      </c>
      <c r="E156" t="s">
        <v>45</v>
      </c>
      <c r="F156" s="3" t="s">
        <v>470</v>
      </c>
      <c r="G156">
        <v>20018</v>
      </c>
      <c r="H156" t="s">
        <v>219</v>
      </c>
      <c r="I156" t="s">
        <v>220</v>
      </c>
      <c r="J156" t="s">
        <v>95</v>
      </c>
      <c r="K156" t="s">
        <v>95</v>
      </c>
      <c r="L156" t="s">
        <v>95</v>
      </c>
      <c r="M156" t="s">
        <v>471</v>
      </c>
      <c r="N156" t="s">
        <v>95</v>
      </c>
      <c r="O156">
        <v>108</v>
      </c>
      <c r="P156" s="7">
        <v>10507</v>
      </c>
      <c r="Q156">
        <v>0.09</v>
      </c>
      <c r="R156">
        <v>1.97</v>
      </c>
      <c r="S156" s="5">
        <f t="shared" si="2"/>
        <v>0.14794520547945206</v>
      </c>
      <c r="T156" t="s">
        <v>16</v>
      </c>
      <c r="U156" t="s">
        <v>16</v>
      </c>
    </row>
    <row r="157" spans="1:21" x14ac:dyDescent="0.3">
      <c r="A157" t="s">
        <v>27</v>
      </c>
      <c r="B157" t="s">
        <v>469</v>
      </c>
      <c r="C157">
        <v>143</v>
      </c>
      <c r="D157" t="s">
        <v>14</v>
      </c>
      <c r="E157" t="s">
        <v>45</v>
      </c>
      <c r="F157" s="3" t="s">
        <v>472</v>
      </c>
      <c r="G157">
        <v>20018</v>
      </c>
      <c r="H157" t="s">
        <v>219</v>
      </c>
      <c r="I157" t="s">
        <v>220</v>
      </c>
      <c r="J157" t="s">
        <v>95</v>
      </c>
      <c r="K157" t="s">
        <v>95</v>
      </c>
      <c r="L157" t="s">
        <v>95</v>
      </c>
      <c r="M157" t="s">
        <v>95</v>
      </c>
      <c r="N157" t="s">
        <v>473</v>
      </c>
      <c r="O157">
        <v>74</v>
      </c>
      <c r="P157" s="7">
        <v>4175</v>
      </c>
      <c r="Q157">
        <v>0.12</v>
      </c>
      <c r="R157">
        <v>1.56</v>
      </c>
      <c r="S157" s="5">
        <f t="shared" si="2"/>
        <v>0.10136986301369863</v>
      </c>
      <c r="T157" t="s">
        <v>16</v>
      </c>
      <c r="U157" t="s">
        <v>16</v>
      </c>
    </row>
    <row r="158" spans="1:21" x14ac:dyDescent="0.3">
      <c r="A158" t="s">
        <v>27</v>
      </c>
      <c r="B158" t="s">
        <v>68</v>
      </c>
      <c r="C158">
        <v>143</v>
      </c>
      <c r="D158" t="s">
        <v>14</v>
      </c>
      <c r="E158" t="s">
        <v>45</v>
      </c>
      <c r="F158" s="3" t="s">
        <v>474</v>
      </c>
      <c r="G158">
        <v>20018</v>
      </c>
      <c r="H158" t="s">
        <v>219</v>
      </c>
      <c r="I158" t="s">
        <v>220</v>
      </c>
      <c r="J158" t="s">
        <v>95</v>
      </c>
      <c r="K158" t="s">
        <v>95</v>
      </c>
      <c r="L158" t="s">
        <v>475</v>
      </c>
      <c r="M158" t="s">
        <v>95</v>
      </c>
      <c r="N158" t="s">
        <v>95</v>
      </c>
      <c r="O158">
        <v>170</v>
      </c>
      <c r="P158" s="7">
        <v>11067</v>
      </c>
      <c r="Q158">
        <v>7.0000000000000007E-2</v>
      </c>
      <c r="R158">
        <v>1.65</v>
      </c>
      <c r="S158" s="5">
        <f t="shared" si="2"/>
        <v>0.23287671232876711</v>
      </c>
      <c r="T158" t="s">
        <v>16</v>
      </c>
      <c r="U158" t="s">
        <v>16</v>
      </c>
    </row>
    <row r="159" spans="1:21" x14ac:dyDescent="0.3">
      <c r="A159" t="s">
        <v>27</v>
      </c>
      <c r="B159" t="s">
        <v>68</v>
      </c>
      <c r="C159">
        <v>143</v>
      </c>
      <c r="D159" t="s">
        <v>14</v>
      </c>
      <c r="E159" t="s">
        <v>45</v>
      </c>
      <c r="F159" s="3" t="s">
        <v>474</v>
      </c>
      <c r="G159">
        <v>20018</v>
      </c>
      <c r="H159" t="s">
        <v>219</v>
      </c>
      <c r="I159" t="s">
        <v>476</v>
      </c>
      <c r="J159" t="s">
        <v>95</v>
      </c>
      <c r="K159" t="s">
        <v>95</v>
      </c>
      <c r="L159" t="s">
        <v>477</v>
      </c>
      <c r="M159" t="s">
        <v>95</v>
      </c>
      <c r="N159" t="s">
        <v>478</v>
      </c>
      <c r="O159">
        <v>23</v>
      </c>
      <c r="P159" s="7">
        <v>2067</v>
      </c>
      <c r="Q159">
        <v>0.17</v>
      </c>
      <c r="R159">
        <v>1.89</v>
      </c>
      <c r="S159" s="5">
        <f t="shared" si="2"/>
        <v>3.1506849315068496E-2</v>
      </c>
      <c r="T159" t="s">
        <v>16</v>
      </c>
      <c r="U159" t="s">
        <v>16</v>
      </c>
    </row>
    <row r="160" spans="1:21" x14ac:dyDescent="0.3">
      <c r="A160" t="s">
        <v>27</v>
      </c>
      <c r="B160" t="s">
        <v>68</v>
      </c>
      <c r="C160">
        <v>143</v>
      </c>
      <c r="D160" t="s">
        <v>14</v>
      </c>
      <c r="E160" t="s">
        <v>45</v>
      </c>
      <c r="F160" s="3" t="s">
        <v>479</v>
      </c>
      <c r="G160">
        <v>20018</v>
      </c>
      <c r="H160" t="s">
        <v>219</v>
      </c>
      <c r="I160" t="s">
        <v>220</v>
      </c>
      <c r="J160" t="s">
        <v>95</v>
      </c>
      <c r="K160" t="s">
        <v>480</v>
      </c>
      <c r="L160" t="s">
        <v>477</v>
      </c>
      <c r="M160" t="s">
        <v>95</v>
      </c>
      <c r="N160" t="s">
        <v>95</v>
      </c>
      <c r="O160">
        <v>267</v>
      </c>
      <c r="P160" s="7">
        <v>14597</v>
      </c>
      <c r="Q160">
        <v>0.08</v>
      </c>
      <c r="R160">
        <v>1.54</v>
      </c>
      <c r="S160" s="5">
        <f t="shared" si="2"/>
        <v>0.36575342465753424</v>
      </c>
      <c r="T160" t="s">
        <v>16</v>
      </c>
      <c r="U160" t="s">
        <v>16</v>
      </c>
    </row>
    <row r="161" spans="1:21" x14ac:dyDescent="0.3">
      <c r="A161" t="s">
        <v>27</v>
      </c>
      <c r="B161" t="s">
        <v>47</v>
      </c>
      <c r="C161">
        <v>143</v>
      </c>
      <c r="D161" t="s">
        <v>14</v>
      </c>
      <c r="E161" t="s">
        <v>45</v>
      </c>
      <c r="F161" s="3" t="s">
        <v>124</v>
      </c>
      <c r="G161">
        <v>20018</v>
      </c>
      <c r="H161" t="s">
        <v>219</v>
      </c>
      <c r="I161" t="s">
        <v>220</v>
      </c>
      <c r="J161" t="s">
        <v>390</v>
      </c>
      <c r="K161" t="s">
        <v>95</v>
      </c>
      <c r="L161" t="s">
        <v>477</v>
      </c>
      <c r="M161" t="s">
        <v>95</v>
      </c>
      <c r="N161" t="s">
        <v>95</v>
      </c>
      <c r="O161">
        <v>30</v>
      </c>
      <c r="P161" s="7">
        <v>1929</v>
      </c>
      <c r="Q161">
        <v>0.2</v>
      </c>
      <c r="R161">
        <v>1.64</v>
      </c>
      <c r="S161" s="5">
        <f t="shared" si="2"/>
        <v>4.1095890410958902E-2</v>
      </c>
      <c r="T161" t="s">
        <v>16</v>
      </c>
      <c r="U161" t="s">
        <v>16</v>
      </c>
    </row>
    <row r="162" spans="1:21" x14ac:dyDescent="0.3">
      <c r="A162" t="s">
        <v>27</v>
      </c>
      <c r="B162" t="s">
        <v>47</v>
      </c>
      <c r="C162">
        <v>143</v>
      </c>
      <c r="D162" t="s">
        <v>14</v>
      </c>
      <c r="E162" t="s">
        <v>45</v>
      </c>
      <c r="F162" s="3" t="s">
        <v>481</v>
      </c>
      <c r="G162">
        <v>20018</v>
      </c>
      <c r="H162" t="s">
        <v>219</v>
      </c>
      <c r="I162" t="s">
        <v>220</v>
      </c>
      <c r="J162" t="s">
        <v>482</v>
      </c>
      <c r="K162" t="s">
        <v>95</v>
      </c>
      <c r="L162" t="s">
        <v>477</v>
      </c>
      <c r="M162" t="s">
        <v>95</v>
      </c>
      <c r="N162" t="s">
        <v>95</v>
      </c>
      <c r="O162">
        <v>44</v>
      </c>
      <c r="P162" s="7">
        <v>2278</v>
      </c>
      <c r="Q162">
        <v>0.13</v>
      </c>
      <c r="R162">
        <v>1.51</v>
      </c>
      <c r="S162" s="5">
        <f t="shared" si="2"/>
        <v>6.0273972602739728E-2</v>
      </c>
      <c r="T162" t="s">
        <v>16</v>
      </c>
      <c r="U162" t="s">
        <v>16</v>
      </c>
    </row>
    <row r="163" spans="1:21" x14ac:dyDescent="0.3">
      <c r="A163" t="s">
        <v>27</v>
      </c>
      <c r="B163" t="s">
        <v>47</v>
      </c>
      <c r="C163">
        <v>143</v>
      </c>
      <c r="D163" t="s">
        <v>14</v>
      </c>
      <c r="E163" t="s">
        <v>45</v>
      </c>
      <c r="F163" s="3" t="s">
        <v>483</v>
      </c>
      <c r="G163">
        <v>20018</v>
      </c>
      <c r="H163" t="s">
        <v>219</v>
      </c>
      <c r="I163" t="s">
        <v>220</v>
      </c>
      <c r="J163" t="s">
        <v>95</v>
      </c>
      <c r="K163" t="s">
        <v>95</v>
      </c>
      <c r="L163" t="s">
        <v>477</v>
      </c>
      <c r="M163" t="s">
        <v>484</v>
      </c>
      <c r="N163" t="s">
        <v>95</v>
      </c>
      <c r="O163">
        <v>124</v>
      </c>
      <c r="P163" s="7">
        <v>9109</v>
      </c>
      <c r="Q163">
        <v>0.06</v>
      </c>
      <c r="R163">
        <v>1.73</v>
      </c>
      <c r="S163" s="5">
        <f t="shared" si="2"/>
        <v>0.16986301369863013</v>
      </c>
      <c r="T163" t="s">
        <v>16</v>
      </c>
      <c r="U163" t="s">
        <v>16</v>
      </c>
    </row>
    <row r="164" spans="1:21" x14ac:dyDescent="0.3">
      <c r="A164" t="s">
        <v>27</v>
      </c>
      <c r="B164" t="s">
        <v>68</v>
      </c>
      <c r="C164">
        <v>143</v>
      </c>
      <c r="D164" t="s">
        <v>14</v>
      </c>
      <c r="E164" t="s">
        <v>45</v>
      </c>
      <c r="F164" s="3" t="s">
        <v>485</v>
      </c>
      <c r="G164">
        <v>20018</v>
      </c>
      <c r="H164" t="s">
        <v>219</v>
      </c>
      <c r="I164" t="s">
        <v>220</v>
      </c>
      <c r="J164" t="s">
        <v>486</v>
      </c>
      <c r="K164" t="s">
        <v>95</v>
      </c>
      <c r="L164" t="s">
        <v>477</v>
      </c>
      <c r="M164" t="s">
        <v>477</v>
      </c>
      <c r="N164" t="s">
        <v>95</v>
      </c>
      <c r="O164">
        <v>25</v>
      </c>
      <c r="P164" s="7">
        <v>7508</v>
      </c>
      <c r="Q164">
        <v>0.16</v>
      </c>
      <c r="R164">
        <v>4</v>
      </c>
      <c r="S164" s="5">
        <f t="shared" si="2"/>
        <v>3.4246575342465752E-2</v>
      </c>
      <c r="T164" t="s">
        <v>16</v>
      </c>
      <c r="U164" t="s">
        <v>16</v>
      </c>
    </row>
    <row r="165" spans="1:21" x14ac:dyDescent="0.3">
      <c r="A165" t="s">
        <v>27</v>
      </c>
      <c r="B165" t="s">
        <v>68</v>
      </c>
      <c r="C165">
        <v>143</v>
      </c>
      <c r="D165" t="s">
        <v>14</v>
      </c>
      <c r="E165" t="s">
        <v>45</v>
      </c>
      <c r="F165" s="3" t="s">
        <v>487</v>
      </c>
      <c r="G165">
        <v>20018</v>
      </c>
      <c r="H165" t="s">
        <v>219</v>
      </c>
      <c r="I165" t="s">
        <v>220</v>
      </c>
      <c r="J165" t="s">
        <v>468</v>
      </c>
      <c r="K165" t="s">
        <v>95</v>
      </c>
      <c r="L165" t="s">
        <v>477</v>
      </c>
      <c r="M165" t="s">
        <v>477</v>
      </c>
      <c r="N165" t="s">
        <v>95</v>
      </c>
      <c r="O165">
        <v>33</v>
      </c>
      <c r="P165" s="7">
        <v>4318</v>
      </c>
      <c r="Q165">
        <v>0.12</v>
      </c>
      <c r="R165">
        <v>2.2999999999999998</v>
      </c>
      <c r="S165" s="5">
        <f t="shared" si="2"/>
        <v>4.5205479452054796E-2</v>
      </c>
      <c r="T165" t="s">
        <v>16</v>
      </c>
      <c r="U165" t="s">
        <v>16</v>
      </c>
    </row>
    <row r="166" spans="1:21" x14ac:dyDescent="0.3">
      <c r="A166" t="s">
        <v>27</v>
      </c>
      <c r="B166" t="s">
        <v>68</v>
      </c>
      <c r="C166">
        <v>143</v>
      </c>
      <c r="D166" t="s">
        <v>14</v>
      </c>
      <c r="E166" t="s">
        <v>45</v>
      </c>
      <c r="F166" s="3" t="s">
        <v>130</v>
      </c>
      <c r="G166">
        <v>20018</v>
      </c>
      <c r="H166" t="s">
        <v>219</v>
      </c>
      <c r="I166" t="s">
        <v>220</v>
      </c>
      <c r="J166" t="s">
        <v>95</v>
      </c>
      <c r="K166" t="s">
        <v>95</v>
      </c>
      <c r="L166" t="s">
        <v>477</v>
      </c>
      <c r="M166" t="s">
        <v>477</v>
      </c>
      <c r="N166" t="s">
        <v>488</v>
      </c>
      <c r="O166">
        <v>31</v>
      </c>
      <c r="P166" s="7">
        <v>7637</v>
      </c>
      <c r="Q166">
        <v>0.09</v>
      </c>
      <c r="R166">
        <v>3.46</v>
      </c>
      <c r="S166" s="5">
        <f t="shared" si="2"/>
        <v>4.2465753424657533E-2</v>
      </c>
      <c r="T166" t="s">
        <v>16</v>
      </c>
      <c r="U166" t="s">
        <v>16</v>
      </c>
    </row>
    <row r="167" spans="1:21" x14ac:dyDescent="0.3">
      <c r="A167" t="s">
        <v>27</v>
      </c>
      <c r="B167" t="s">
        <v>68</v>
      </c>
      <c r="C167">
        <v>143</v>
      </c>
      <c r="D167" t="s">
        <v>14</v>
      </c>
      <c r="E167" t="s">
        <v>45</v>
      </c>
      <c r="F167" s="3" t="s">
        <v>134</v>
      </c>
      <c r="G167">
        <v>20018</v>
      </c>
      <c r="H167" t="s">
        <v>219</v>
      </c>
      <c r="I167" t="s">
        <v>220</v>
      </c>
      <c r="J167" t="s">
        <v>95</v>
      </c>
      <c r="K167" t="s">
        <v>95</v>
      </c>
      <c r="L167" t="s">
        <v>477</v>
      </c>
      <c r="M167" t="s">
        <v>489</v>
      </c>
      <c r="N167" t="s">
        <v>477</v>
      </c>
      <c r="O167">
        <v>49</v>
      </c>
      <c r="P167" s="7">
        <v>5729</v>
      </c>
      <c r="Q167">
        <v>0.1</v>
      </c>
      <c r="R167">
        <v>2.16</v>
      </c>
      <c r="S167" s="5">
        <f t="shared" si="2"/>
        <v>6.7123287671232879E-2</v>
      </c>
      <c r="T167" t="s">
        <v>16</v>
      </c>
      <c r="U167" t="s">
        <v>16</v>
      </c>
    </row>
    <row r="168" spans="1:21" x14ac:dyDescent="0.3">
      <c r="A168" t="s">
        <v>27</v>
      </c>
      <c r="B168" t="s">
        <v>68</v>
      </c>
      <c r="C168">
        <v>143</v>
      </c>
      <c r="D168" t="s">
        <v>14</v>
      </c>
      <c r="E168" t="s">
        <v>45</v>
      </c>
      <c r="F168" s="3" t="s">
        <v>490</v>
      </c>
      <c r="G168">
        <v>20018</v>
      </c>
      <c r="H168" t="s">
        <v>219</v>
      </c>
      <c r="I168" t="s">
        <v>220</v>
      </c>
      <c r="J168" t="s">
        <v>95</v>
      </c>
      <c r="K168" t="s">
        <v>95</v>
      </c>
      <c r="L168" t="s">
        <v>491</v>
      </c>
      <c r="M168" t="s">
        <v>95</v>
      </c>
      <c r="N168" t="s">
        <v>477</v>
      </c>
      <c r="O168">
        <v>69</v>
      </c>
      <c r="P168" s="7">
        <v>9046</v>
      </c>
      <c r="Q168">
        <v>0.1</v>
      </c>
      <c r="R168">
        <v>2.31</v>
      </c>
      <c r="S168" s="5">
        <f t="shared" si="2"/>
        <v>9.452054794520548E-2</v>
      </c>
      <c r="T168" t="s">
        <v>16</v>
      </c>
      <c r="U168" t="s">
        <v>16</v>
      </c>
    </row>
    <row r="169" spans="1:21" x14ac:dyDescent="0.3">
      <c r="A169" t="s">
        <v>27</v>
      </c>
      <c r="B169" t="s">
        <v>68</v>
      </c>
      <c r="C169">
        <v>143</v>
      </c>
      <c r="D169" t="s">
        <v>14</v>
      </c>
      <c r="E169" t="s">
        <v>45</v>
      </c>
      <c r="F169" s="3" t="s">
        <v>492</v>
      </c>
      <c r="G169">
        <v>20018</v>
      </c>
      <c r="H169" t="s">
        <v>219</v>
      </c>
      <c r="I169" t="s">
        <v>220</v>
      </c>
      <c r="J169" t="s">
        <v>95</v>
      </c>
      <c r="K169" t="s">
        <v>95</v>
      </c>
      <c r="L169" t="s">
        <v>95</v>
      </c>
      <c r="M169" t="s">
        <v>95</v>
      </c>
      <c r="N169" t="s">
        <v>493</v>
      </c>
      <c r="O169">
        <v>13</v>
      </c>
      <c r="P169" s="7">
        <v>4488</v>
      </c>
      <c r="Q169">
        <v>0.3</v>
      </c>
      <c r="R169">
        <v>4.45</v>
      </c>
      <c r="S169" s="5">
        <f t="shared" si="2"/>
        <v>1.7808219178082191E-2</v>
      </c>
      <c r="T169" t="s">
        <v>16</v>
      </c>
      <c r="U169" t="s">
        <v>16</v>
      </c>
    </row>
    <row r="170" spans="1:21" x14ac:dyDescent="0.3">
      <c r="A170" t="s">
        <v>27</v>
      </c>
      <c r="B170" t="s">
        <v>68</v>
      </c>
      <c r="C170">
        <v>143</v>
      </c>
      <c r="D170" t="s">
        <v>14</v>
      </c>
      <c r="E170" t="s">
        <v>45</v>
      </c>
      <c r="F170" s="3" t="s">
        <v>494</v>
      </c>
      <c r="G170">
        <v>20018</v>
      </c>
      <c r="H170" t="s">
        <v>219</v>
      </c>
      <c r="I170" t="s">
        <v>220</v>
      </c>
      <c r="J170" t="s">
        <v>95</v>
      </c>
      <c r="K170" t="s">
        <v>496</v>
      </c>
      <c r="L170" t="s">
        <v>95</v>
      </c>
      <c r="M170" t="s">
        <v>95</v>
      </c>
      <c r="N170" t="s">
        <v>495</v>
      </c>
      <c r="O170">
        <v>30</v>
      </c>
      <c r="P170" s="7">
        <v>8117</v>
      </c>
      <c r="Q170">
        <v>0.1</v>
      </c>
      <c r="R170">
        <v>3.7</v>
      </c>
      <c r="S170" s="5">
        <f t="shared" si="2"/>
        <v>4.1095890410958902E-2</v>
      </c>
      <c r="T170" t="s">
        <v>16</v>
      </c>
      <c r="U170" t="s">
        <v>16</v>
      </c>
    </row>
    <row r="171" spans="1:21" x14ac:dyDescent="0.3">
      <c r="A171" t="s">
        <v>27</v>
      </c>
      <c r="B171" t="s">
        <v>68</v>
      </c>
      <c r="C171">
        <v>143</v>
      </c>
      <c r="D171" t="s">
        <v>14</v>
      </c>
      <c r="E171" t="s">
        <v>45</v>
      </c>
      <c r="F171" s="3" t="s">
        <v>497</v>
      </c>
      <c r="G171">
        <v>20018</v>
      </c>
      <c r="H171" t="s">
        <v>219</v>
      </c>
      <c r="I171" t="s">
        <v>220</v>
      </c>
      <c r="J171" t="s">
        <v>95</v>
      </c>
      <c r="K171" t="s">
        <v>498</v>
      </c>
      <c r="L171" t="s">
        <v>95</v>
      </c>
      <c r="M171" t="s">
        <v>95</v>
      </c>
      <c r="N171" t="s">
        <v>495</v>
      </c>
      <c r="O171">
        <v>104</v>
      </c>
      <c r="P171" s="7">
        <v>13007</v>
      </c>
      <c r="Q171">
        <v>0.05</v>
      </c>
      <c r="R171">
        <v>2.25</v>
      </c>
      <c r="S171" s="5">
        <f t="shared" si="2"/>
        <v>0.14246575342465753</v>
      </c>
      <c r="T171" t="s">
        <v>16</v>
      </c>
      <c r="U171" t="s">
        <v>16</v>
      </c>
    </row>
    <row r="172" spans="1:21" x14ac:dyDescent="0.3">
      <c r="A172" t="s">
        <v>27</v>
      </c>
      <c r="B172" t="s">
        <v>68</v>
      </c>
      <c r="C172">
        <v>143</v>
      </c>
      <c r="D172" t="s">
        <v>14</v>
      </c>
      <c r="E172" t="s">
        <v>45</v>
      </c>
      <c r="F172" s="3" t="s">
        <v>499</v>
      </c>
      <c r="G172">
        <v>20018</v>
      </c>
      <c r="H172" t="s">
        <v>219</v>
      </c>
      <c r="I172" t="s">
        <v>500</v>
      </c>
      <c r="J172" t="s">
        <v>95</v>
      </c>
      <c r="K172" t="s">
        <v>501</v>
      </c>
      <c r="L172" t="s">
        <v>95</v>
      </c>
      <c r="M172" t="s">
        <v>95</v>
      </c>
      <c r="N172" t="s">
        <v>495</v>
      </c>
      <c r="O172">
        <v>63</v>
      </c>
      <c r="P172" s="7">
        <v>9637</v>
      </c>
      <c r="Q172">
        <v>0.09</v>
      </c>
      <c r="R172">
        <v>2.52</v>
      </c>
      <c r="S172" s="5">
        <f t="shared" si="2"/>
        <v>8.6301369863013705E-2</v>
      </c>
      <c r="T172" t="s">
        <v>16</v>
      </c>
      <c r="U172" t="s">
        <v>16</v>
      </c>
    </row>
    <row r="173" spans="1:21" x14ac:dyDescent="0.3">
      <c r="A173" t="s">
        <v>27</v>
      </c>
      <c r="B173" t="s">
        <v>68</v>
      </c>
      <c r="C173">
        <v>143</v>
      </c>
      <c r="D173" t="s">
        <v>14</v>
      </c>
      <c r="E173" t="s">
        <v>45</v>
      </c>
      <c r="F173" s="3" t="s">
        <v>499</v>
      </c>
      <c r="G173">
        <v>20018</v>
      </c>
      <c r="H173" t="s">
        <v>219</v>
      </c>
      <c r="I173" t="s">
        <v>502</v>
      </c>
      <c r="J173" t="s">
        <v>95</v>
      </c>
      <c r="K173" t="s">
        <v>477</v>
      </c>
      <c r="L173" t="s">
        <v>95</v>
      </c>
      <c r="M173" t="s">
        <v>95</v>
      </c>
      <c r="N173" t="s">
        <v>503</v>
      </c>
      <c r="O173">
        <v>85</v>
      </c>
      <c r="P173" s="7">
        <v>9237</v>
      </c>
      <c r="Q173">
        <v>0.05</v>
      </c>
      <c r="R173">
        <v>2.08</v>
      </c>
      <c r="S173" s="5">
        <f t="shared" si="2"/>
        <v>0.11643835616438356</v>
      </c>
      <c r="T173" t="s">
        <v>16</v>
      </c>
      <c r="U173" t="s">
        <v>16</v>
      </c>
    </row>
    <row r="174" spans="1:21" x14ac:dyDescent="0.3">
      <c r="A174" t="s">
        <v>27</v>
      </c>
      <c r="B174" t="s">
        <v>68</v>
      </c>
      <c r="C174">
        <v>143</v>
      </c>
      <c r="D174" t="s">
        <v>14</v>
      </c>
      <c r="E174" t="s">
        <v>45</v>
      </c>
      <c r="F174" s="3" t="s">
        <v>504</v>
      </c>
      <c r="G174">
        <v>20018</v>
      </c>
      <c r="H174" t="s">
        <v>219</v>
      </c>
      <c r="I174" t="s">
        <v>376</v>
      </c>
      <c r="J174" t="s">
        <v>95</v>
      </c>
      <c r="K174" t="s">
        <v>477</v>
      </c>
      <c r="L174" t="s">
        <v>95</v>
      </c>
      <c r="M174" t="s">
        <v>95</v>
      </c>
      <c r="N174" t="s">
        <v>505</v>
      </c>
      <c r="O174">
        <v>48</v>
      </c>
      <c r="P174" s="7">
        <v>6155</v>
      </c>
      <c r="Q174">
        <v>0.16</v>
      </c>
      <c r="R174">
        <v>2.2799999999999998</v>
      </c>
      <c r="S174" s="5">
        <f t="shared" si="2"/>
        <v>6.575342465753424E-2</v>
      </c>
      <c r="T174" t="s">
        <v>16</v>
      </c>
      <c r="U174" t="s">
        <v>16</v>
      </c>
    </row>
    <row r="175" spans="1:21" x14ac:dyDescent="0.3">
      <c r="A175" t="s">
        <v>27</v>
      </c>
      <c r="B175" t="s">
        <v>68</v>
      </c>
      <c r="C175">
        <v>143</v>
      </c>
      <c r="D175" t="s">
        <v>14</v>
      </c>
      <c r="E175" t="s">
        <v>45</v>
      </c>
      <c r="F175" s="3" t="s">
        <v>504</v>
      </c>
      <c r="G175">
        <v>20018</v>
      </c>
      <c r="H175" t="s">
        <v>219</v>
      </c>
      <c r="I175" t="s">
        <v>220</v>
      </c>
      <c r="J175" t="s">
        <v>95</v>
      </c>
      <c r="K175" t="s">
        <v>477</v>
      </c>
      <c r="L175" t="s">
        <v>506</v>
      </c>
      <c r="M175" t="s">
        <v>95</v>
      </c>
      <c r="N175" t="s">
        <v>95</v>
      </c>
      <c r="O175">
        <v>70</v>
      </c>
      <c r="P175" s="7">
        <v>8398</v>
      </c>
      <c r="Q175">
        <v>7.0000000000000007E-2</v>
      </c>
      <c r="R175">
        <v>2.19</v>
      </c>
      <c r="S175" s="5">
        <f t="shared" si="2"/>
        <v>9.5890410958904104E-2</v>
      </c>
      <c r="T175" t="s">
        <v>16</v>
      </c>
      <c r="U175" t="s">
        <v>16</v>
      </c>
    </row>
    <row r="176" spans="1:21" x14ac:dyDescent="0.3">
      <c r="A176" t="s">
        <v>27</v>
      </c>
      <c r="B176" t="s">
        <v>68</v>
      </c>
      <c r="C176">
        <v>143</v>
      </c>
      <c r="D176" t="s">
        <v>14</v>
      </c>
      <c r="E176" t="s">
        <v>45</v>
      </c>
      <c r="F176" s="3" t="s">
        <v>145</v>
      </c>
      <c r="G176">
        <v>20018</v>
      </c>
      <c r="H176" t="s">
        <v>219</v>
      </c>
      <c r="I176" t="s">
        <v>507</v>
      </c>
      <c r="J176" t="s">
        <v>95</v>
      </c>
      <c r="K176" t="s">
        <v>477</v>
      </c>
      <c r="L176" t="s">
        <v>508</v>
      </c>
      <c r="M176" t="s">
        <v>95</v>
      </c>
      <c r="N176" t="s">
        <v>95</v>
      </c>
      <c r="O176">
        <v>21</v>
      </c>
      <c r="P176" s="7">
        <v>9769</v>
      </c>
      <c r="Q176">
        <v>0.23</v>
      </c>
      <c r="R176">
        <v>5.65</v>
      </c>
      <c r="S176" s="5">
        <f t="shared" si="2"/>
        <v>2.8767123287671233E-2</v>
      </c>
      <c r="T176" t="s">
        <v>16</v>
      </c>
      <c r="U176" t="s">
        <v>16</v>
      </c>
    </row>
    <row r="177" spans="1:21" x14ac:dyDescent="0.3">
      <c r="A177" t="s">
        <v>27</v>
      </c>
      <c r="B177" t="s">
        <v>68</v>
      </c>
      <c r="C177">
        <v>143</v>
      </c>
      <c r="D177" t="s">
        <v>14</v>
      </c>
      <c r="E177" t="s">
        <v>45</v>
      </c>
      <c r="F177" s="3" t="s">
        <v>145</v>
      </c>
      <c r="G177">
        <v>20018</v>
      </c>
      <c r="H177" t="s">
        <v>219</v>
      </c>
      <c r="I177" t="s">
        <v>220</v>
      </c>
      <c r="J177" t="s">
        <v>95</v>
      </c>
      <c r="K177" t="s">
        <v>477</v>
      </c>
      <c r="L177" t="s">
        <v>509</v>
      </c>
      <c r="M177" t="s">
        <v>95</v>
      </c>
      <c r="N177" t="s">
        <v>95</v>
      </c>
      <c r="O177">
        <v>74</v>
      </c>
      <c r="P177" s="7">
        <v>1799</v>
      </c>
      <c r="Q177">
        <v>0.1</v>
      </c>
      <c r="R177">
        <v>1.24</v>
      </c>
      <c r="S177" s="5">
        <f t="shared" si="2"/>
        <v>0.10136986301369863</v>
      </c>
      <c r="T177" t="s">
        <v>16</v>
      </c>
      <c r="U177" t="s">
        <v>16</v>
      </c>
    </row>
    <row r="178" spans="1:21" x14ac:dyDescent="0.3">
      <c r="A178" t="s">
        <v>27</v>
      </c>
      <c r="B178" t="s">
        <v>47</v>
      </c>
      <c r="C178">
        <v>143</v>
      </c>
      <c r="D178" t="s">
        <v>14</v>
      </c>
      <c r="E178" t="s">
        <v>45</v>
      </c>
      <c r="F178" s="3" t="s">
        <v>510</v>
      </c>
      <c r="G178">
        <v>20018</v>
      </c>
      <c r="H178" t="s">
        <v>219</v>
      </c>
      <c r="I178" t="s">
        <v>220</v>
      </c>
      <c r="J178" t="s">
        <v>95</v>
      </c>
      <c r="K178" t="s">
        <v>477</v>
      </c>
      <c r="L178" t="s">
        <v>95</v>
      </c>
      <c r="M178" t="s">
        <v>511</v>
      </c>
      <c r="N178" t="s">
        <v>95</v>
      </c>
      <c r="O178">
        <v>40</v>
      </c>
      <c r="P178" s="7">
        <v>3779</v>
      </c>
      <c r="Q178">
        <v>0.12</v>
      </c>
      <c r="R178">
        <v>1.94</v>
      </c>
      <c r="S178" s="5">
        <f t="shared" si="2"/>
        <v>5.4794520547945202E-2</v>
      </c>
      <c r="T178" t="s">
        <v>16</v>
      </c>
      <c r="U178" t="s">
        <v>16</v>
      </c>
    </row>
    <row r="179" spans="1:21" x14ac:dyDescent="0.3">
      <c r="A179" t="s">
        <v>27</v>
      </c>
      <c r="B179" t="s">
        <v>512</v>
      </c>
      <c r="C179">
        <v>143</v>
      </c>
      <c r="D179" t="s">
        <v>14</v>
      </c>
      <c r="E179" t="s">
        <v>45</v>
      </c>
      <c r="F179" s="3" t="s">
        <v>513</v>
      </c>
      <c r="G179">
        <v>20018</v>
      </c>
      <c r="H179" t="s">
        <v>219</v>
      </c>
      <c r="I179" t="s">
        <v>220</v>
      </c>
      <c r="J179" t="s">
        <v>95</v>
      </c>
      <c r="K179" t="s">
        <v>477</v>
      </c>
      <c r="L179" t="s">
        <v>95</v>
      </c>
      <c r="M179" t="s">
        <v>344</v>
      </c>
      <c r="N179" t="s">
        <v>514</v>
      </c>
      <c r="O179">
        <v>159</v>
      </c>
      <c r="P179" s="7">
        <v>8487</v>
      </c>
      <c r="Q179">
        <v>0.06</v>
      </c>
      <c r="R179">
        <v>1.53</v>
      </c>
      <c r="S179" s="5">
        <f t="shared" si="2"/>
        <v>0.21780821917808219</v>
      </c>
      <c r="T179" t="s">
        <v>16</v>
      </c>
      <c r="U179" t="s">
        <v>16</v>
      </c>
    </row>
    <row r="180" spans="1:21" x14ac:dyDescent="0.3">
      <c r="A180" t="s">
        <v>27</v>
      </c>
      <c r="B180" t="s">
        <v>512</v>
      </c>
      <c r="C180">
        <v>143</v>
      </c>
      <c r="D180" t="s">
        <v>14</v>
      </c>
      <c r="E180" t="s">
        <v>45</v>
      </c>
      <c r="F180" s="3" t="s">
        <v>515</v>
      </c>
      <c r="G180">
        <v>20018</v>
      </c>
      <c r="H180" t="s">
        <v>219</v>
      </c>
      <c r="I180" t="s">
        <v>220</v>
      </c>
      <c r="J180" t="s">
        <v>95</v>
      </c>
      <c r="K180" t="s">
        <v>516</v>
      </c>
      <c r="L180" t="s">
        <v>95</v>
      </c>
      <c r="M180" t="s">
        <v>344</v>
      </c>
      <c r="N180" t="s">
        <v>392</v>
      </c>
      <c r="O180">
        <v>67</v>
      </c>
      <c r="P180" s="7">
        <v>20398</v>
      </c>
      <c r="Q180">
        <v>0.1</v>
      </c>
      <c r="R180">
        <v>4.04</v>
      </c>
      <c r="S180" s="5">
        <f t="shared" si="2"/>
        <v>9.1780821917808217E-2</v>
      </c>
      <c r="T180" t="s">
        <v>16</v>
      </c>
      <c r="U180" t="s">
        <v>16</v>
      </c>
    </row>
    <row r="181" spans="1:21" x14ac:dyDescent="0.3">
      <c r="A181" t="s">
        <v>27</v>
      </c>
      <c r="B181" t="s">
        <v>512</v>
      </c>
      <c r="C181">
        <v>143</v>
      </c>
      <c r="D181" t="s">
        <v>14</v>
      </c>
      <c r="E181" t="s">
        <v>45</v>
      </c>
      <c r="F181" s="3" t="s">
        <v>517</v>
      </c>
      <c r="G181">
        <v>20018</v>
      </c>
      <c r="H181" t="s">
        <v>219</v>
      </c>
      <c r="I181" t="s">
        <v>220</v>
      </c>
      <c r="J181" t="s">
        <v>518</v>
      </c>
      <c r="K181" t="s">
        <v>477</v>
      </c>
      <c r="L181" t="s">
        <v>95</v>
      </c>
      <c r="M181" t="s">
        <v>344</v>
      </c>
      <c r="N181" t="s">
        <v>392</v>
      </c>
      <c r="O181">
        <v>162</v>
      </c>
      <c r="P181" s="7">
        <v>14053</v>
      </c>
      <c r="Q181">
        <v>0.08</v>
      </c>
      <c r="R181">
        <v>1.86</v>
      </c>
      <c r="S181" s="5">
        <f t="shared" si="2"/>
        <v>0.22191780821917809</v>
      </c>
      <c r="T181" t="s">
        <v>16</v>
      </c>
      <c r="U181" t="s">
        <v>16</v>
      </c>
    </row>
    <row r="182" spans="1:21" x14ac:dyDescent="0.3">
      <c r="A182" t="s">
        <v>27</v>
      </c>
      <c r="B182" t="s">
        <v>47</v>
      </c>
      <c r="C182">
        <v>143</v>
      </c>
      <c r="D182" t="s">
        <v>14</v>
      </c>
      <c r="E182" t="s">
        <v>45</v>
      </c>
      <c r="F182" s="3" t="s">
        <v>519</v>
      </c>
      <c r="G182">
        <v>20018</v>
      </c>
      <c r="H182" t="s">
        <v>219</v>
      </c>
      <c r="I182" t="s">
        <v>220</v>
      </c>
      <c r="J182" t="s">
        <v>95</v>
      </c>
      <c r="K182" t="s">
        <v>477</v>
      </c>
      <c r="L182" t="s">
        <v>520</v>
      </c>
      <c r="M182" t="s">
        <v>344</v>
      </c>
      <c r="N182" t="s">
        <v>392</v>
      </c>
      <c r="O182">
        <v>93</v>
      </c>
      <c r="P182" s="7">
        <v>6745</v>
      </c>
      <c r="Q182">
        <v>7.0000000000000007E-2</v>
      </c>
      <c r="R182">
        <v>1.72</v>
      </c>
      <c r="S182" s="5">
        <f t="shared" si="2"/>
        <v>0.12739726027397261</v>
      </c>
      <c r="T182" t="s">
        <v>16</v>
      </c>
      <c r="U182" t="s">
        <v>16</v>
      </c>
    </row>
    <row r="183" spans="1:21" x14ac:dyDescent="0.3">
      <c r="A183" t="s">
        <v>27</v>
      </c>
      <c r="B183" t="s">
        <v>68</v>
      </c>
      <c r="C183">
        <v>143</v>
      </c>
      <c r="D183" t="s">
        <v>14</v>
      </c>
      <c r="E183" t="s">
        <v>45</v>
      </c>
      <c r="F183" s="3" t="s">
        <v>521</v>
      </c>
      <c r="G183">
        <v>20018</v>
      </c>
      <c r="H183" t="s">
        <v>219</v>
      </c>
      <c r="I183" t="s">
        <v>220</v>
      </c>
      <c r="J183" t="s">
        <v>522</v>
      </c>
      <c r="K183" t="s">
        <v>477</v>
      </c>
      <c r="L183" t="s">
        <v>477</v>
      </c>
      <c r="M183" t="s">
        <v>344</v>
      </c>
      <c r="N183" t="s">
        <v>392</v>
      </c>
      <c r="O183">
        <v>108</v>
      </c>
      <c r="P183" s="7">
        <v>9646</v>
      </c>
      <c r="Q183">
        <v>0.08</v>
      </c>
      <c r="R183">
        <v>1.89</v>
      </c>
      <c r="S183" s="5">
        <f t="shared" si="2"/>
        <v>0.14794520547945206</v>
      </c>
      <c r="T183" t="s">
        <v>16</v>
      </c>
      <c r="U183" t="s">
        <v>16</v>
      </c>
    </row>
    <row r="184" spans="1:21" x14ac:dyDescent="0.3">
      <c r="A184" t="s">
        <v>27</v>
      </c>
      <c r="B184" t="s">
        <v>68</v>
      </c>
      <c r="C184">
        <v>143</v>
      </c>
      <c r="D184" t="s">
        <v>14</v>
      </c>
      <c r="E184" t="s">
        <v>45</v>
      </c>
      <c r="F184" s="3" t="s">
        <v>523</v>
      </c>
      <c r="G184">
        <v>20018</v>
      </c>
      <c r="H184" t="s">
        <v>219</v>
      </c>
      <c r="I184" t="s">
        <v>220</v>
      </c>
      <c r="J184" t="s">
        <v>95</v>
      </c>
      <c r="K184" t="s">
        <v>524</v>
      </c>
      <c r="L184" t="s">
        <v>477</v>
      </c>
      <c r="M184" t="s">
        <v>344</v>
      </c>
      <c r="N184" t="s">
        <v>392</v>
      </c>
      <c r="O184">
        <v>28</v>
      </c>
      <c r="P184" s="7">
        <v>7788</v>
      </c>
      <c r="Q184">
        <v>0.14000000000000001</v>
      </c>
      <c r="R184">
        <v>3.78</v>
      </c>
      <c r="S184" s="5">
        <f t="shared" si="2"/>
        <v>3.8356164383561646E-2</v>
      </c>
      <c r="T184" t="s">
        <v>16</v>
      </c>
      <c r="U184" t="s">
        <v>16</v>
      </c>
    </row>
    <row r="185" spans="1:21" x14ac:dyDescent="0.3">
      <c r="A185" t="s">
        <v>27</v>
      </c>
      <c r="B185" t="s">
        <v>68</v>
      </c>
      <c r="C185">
        <v>143</v>
      </c>
      <c r="D185" t="s">
        <v>14</v>
      </c>
      <c r="E185" t="s">
        <v>45</v>
      </c>
      <c r="F185" s="3" t="s">
        <v>525</v>
      </c>
      <c r="G185">
        <v>20018</v>
      </c>
      <c r="H185" t="s">
        <v>219</v>
      </c>
      <c r="I185" t="s">
        <v>220</v>
      </c>
      <c r="J185" t="s">
        <v>526</v>
      </c>
      <c r="K185" t="s">
        <v>477</v>
      </c>
      <c r="L185" t="s">
        <v>477</v>
      </c>
      <c r="M185" t="s">
        <v>344</v>
      </c>
      <c r="N185" t="s">
        <v>392</v>
      </c>
      <c r="O185">
        <v>94</v>
      </c>
      <c r="P185" s="7">
        <v>11908</v>
      </c>
      <c r="Q185">
        <v>0.09</v>
      </c>
      <c r="R185">
        <v>2.2599999999999998</v>
      </c>
      <c r="S185" s="5">
        <f t="shared" si="2"/>
        <v>0.12876712328767123</v>
      </c>
      <c r="T185" t="s">
        <v>16</v>
      </c>
      <c r="U185" t="s">
        <v>16</v>
      </c>
    </row>
    <row r="186" spans="1:21" x14ac:dyDescent="0.3">
      <c r="A186" t="s">
        <v>27</v>
      </c>
      <c r="B186" t="s">
        <v>68</v>
      </c>
      <c r="C186">
        <v>143</v>
      </c>
      <c r="D186" t="s">
        <v>14</v>
      </c>
      <c r="E186" t="s">
        <v>45</v>
      </c>
      <c r="F186" s="3" t="s">
        <v>157</v>
      </c>
      <c r="G186">
        <v>20018</v>
      </c>
      <c r="H186" t="s">
        <v>219</v>
      </c>
      <c r="I186" t="s">
        <v>220</v>
      </c>
      <c r="J186" t="s">
        <v>95</v>
      </c>
      <c r="K186" t="s">
        <v>527</v>
      </c>
      <c r="L186" t="s">
        <v>477</v>
      </c>
      <c r="M186" t="s">
        <v>344</v>
      </c>
      <c r="N186" t="s">
        <v>392</v>
      </c>
      <c r="O186">
        <v>75</v>
      </c>
      <c r="P186" s="7">
        <v>9844</v>
      </c>
      <c r="Q186">
        <v>0.13</v>
      </c>
      <c r="R186">
        <v>2.31</v>
      </c>
      <c r="S186" s="5">
        <f t="shared" si="2"/>
        <v>0.10273972602739725</v>
      </c>
      <c r="T186" t="s">
        <v>16</v>
      </c>
      <c r="U186" t="s">
        <v>16</v>
      </c>
    </row>
    <row r="187" spans="1:21" x14ac:dyDescent="0.3">
      <c r="A187" t="s">
        <v>27</v>
      </c>
      <c r="B187" t="s">
        <v>47</v>
      </c>
      <c r="C187">
        <v>143</v>
      </c>
      <c r="D187" t="s">
        <v>14</v>
      </c>
      <c r="E187" t="s">
        <v>45</v>
      </c>
      <c r="F187" s="3" t="s">
        <v>528</v>
      </c>
      <c r="G187">
        <v>20018</v>
      </c>
      <c r="H187" t="s">
        <v>219</v>
      </c>
      <c r="I187" t="s">
        <v>220</v>
      </c>
      <c r="J187" t="s">
        <v>95</v>
      </c>
      <c r="K187" t="s">
        <v>95</v>
      </c>
      <c r="L187" t="s">
        <v>477</v>
      </c>
      <c r="M187" t="s">
        <v>344</v>
      </c>
      <c r="N187" t="s">
        <v>529</v>
      </c>
      <c r="O187">
        <v>97</v>
      </c>
      <c r="P187" s="7">
        <v>4815</v>
      </c>
      <c r="Q187">
        <v>0.1</v>
      </c>
      <c r="R187">
        <v>1.49</v>
      </c>
      <c r="S187" s="5">
        <f t="shared" si="2"/>
        <v>0.13287671232876713</v>
      </c>
      <c r="T187" t="s">
        <v>16</v>
      </c>
      <c r="U187" t="s">
        <v>16</v>
      </c>
    </row>
    <row r="188" spans="1:21" x14ac:dyDescent="0.3">
      <c r="A188" t="s">
        <v>27</v>
      </c>
      <c r="B188" t="s">
        <v>47</v>
      </c>
      <c r="C188">
        <v>143</v>
      </c>
      <c r="D188" t="s">
        <v>14</v>
      </c>
      <c r="E188" t="s">
        <v>45</v>
      </c>
      <c r="F188" s="3" t="s">
        <v>159</v>
      </c>
      <c r="G188">
        <v>20018</v>
      </c>
      <c r="H188" t="s">
        <v>219</v>
      </c>
      <c r="I188" t="s">
        <v>220</v>
      </c>
      <c r="J188" t="s">
        <v>95</v>
      </c>
      <c r="K188" t="s">
        <v>95</v>
      </c>
      <c r="L188" t="s">
        <v>477</v>
      </c>
      <c r="M188" t="s">
        <v>344</v>
      </c>
      <c r="N188" t="s">
        <v>267</v>
      </c>
      <c r="O188">
        <v>65</v>
      </c>
      <c r="P188" s="7">
        <v>1828</v>
      </c>
      <c r="Q188">
        <v>0.1</v>
      </c>
      <c r="R188">
        <v>1.28</v>
      </c>
      <c r="S188" s="5">
        <f t="shared" si="2"/>
        <v>8.9041095890410954E-2</v>
      </c>
      <c r="T188" t="s">
        <v>16</v>
      </c>
      <c r="U188" t="s">
        <v>16</v>
      </c>
    </row>
    <row r="189" spans="1:21" x14ac:dyDescent="0.3">
      <c r="A189" t="s">
        <v>27</v>
      </c>
      <c r="B189" t="s">
        <v>530</v>
      </c>
      <c r="C189">
        <v>143</v>
      </c>
      <c r="D189" t="s">
        <v>14</v>
      </c>
      <c r="E189" t="s">
        <v>45</v>
      </c>
      <c r="F189" s="3" t="s">
        <v>531</v>
      </c>
      <c r="G189">
        <v>20018</v>
      </c>
      <c r="H189" t="s">
        <v>219</v>
      </c>
      <c r="I189" t="s">
        <v>220</v>
      </c>
      <c r="J189" t="s">
        <v>532</v>
      </c>
      <c r="K189" t="s">
        <v>95</v>
      </c>
      <c r="L189" t="s">
        <v>477</v>
      </c>
      <c r="M189" t="s">
        <v>344</v>
      </c>
      <c r="N189" t="s">
        <v>95</v>
      </c>
      <c r="O189">
        <v>136</v>
      </c>
      <c r="P189" s="7">
        <v>13105</v>
      </c>
      <c r="Q189">
        <v>7.0000000000000007E-2</v>
      </c>
      <c r="R189">
        <v>1.96</v>
      </c>
      <c r="S189" s="5">
        <f t="shared" si="2"/>
        <v>0.18630136986301371</v>
      </c>
      <c r="T189" t="s">
        <v>16</v>
      </c>
      <c r="U189" t="s">
        <v>16</v>
      </c>
    </row>
    <row r="190" spans="1:21" x14ac:dyDescent="0.3">
      <c r="A190" t="s">
        <v>27</v>
      </c>
      <c r="B190" t="s">
        <v>469</v>
      </c>
      <c r="C190">
        <v>143</v>
      </c>
      <c r="D190" t="s">
        <v>14</v>
      </c>
      <c r="E190" t="s">
        <v>45</v>
      </c>
      <c r="F190" s="3" t="s">
        <v>533</v>
      </c>
      <c r="G190">
        <v>20018</v>
      </c>
      <c r="H190" t="s">
        <v>219</v>
      </c>
      <c r="I190" t="s">
        <v>220</v>
      </c>
      <c r="J190" t="s">
        <v>534</v>
      </c>
      <c r="K190" t="s">
        <v>95</v>
      </c>
      <c r="L190" t="s">
        <v>477</v>
      </c>
      <c r="M190" t="s">
        <v>344</v>
      </c>
      <c r="N190" t="s">
        <v>535</v>
      </c>
      <c r="O190">
        <v>33</v>
      </c>
      <c r="P190" s="7">
        <v>9828</v>
      </c>
      <c r="Q190">
        <v>0.15</v>
      </c>
      <c r="R190">
        <v>3.97</v>
      </c>
      <c r="S190" s="5">
        <f t="shared" si="2"/>
        <v>4.5205479452054796E-2</v>
      </c>
      <c r="T190" t="s">
        <v>16</v>
      </c>
      <c r="U190" t="s">
        <v>16</v>
      </c>
    </row>
    <row r="191" spans="1:21" x14ac:dyDescent="0.3">
      <c r="A191" t="s">
        <v>27</v>
      </c>
      <c r="B191" t="s">
        <v>536</v>
      </c>
      <c r="C191">
        <v>143</v>
      </c>
      <c r="D191" t="s">
        <v>14</v>
      </c>
      <c r="E191" t="s">
        <v>45</v>
      </c>
      <c r="F191" s="3" t="s">
        <v>537</v>
      </c>
      <c r="G191">
        <v>20018</v>
      </c>
      <c r="H191" t="s">
        <v>219</v>
      </c>
      <c r="I191" t="s">
        <v>222</v>
      </c>
      <c r="J191" t="s">
        <v>534</v>
      </c>
      <c r="K191" t="s">
        <v>538</v>
      </c>
      <c r="L191" t="s">
        <v>477</v>
      </c>
      <c r="M191" t="s">
        <v>344</v>
      </c>
      <c r="N191" t="s">
        <v>95</v>
      </c>
      <c r="O191">
        <v>65</v>
      </c>
      <c r="P191" s="7">
        <v>3144</v>
      </c>
      <c r="Q191">
        <v>0.12</v>
      </c>
      <c r="R191">
        <v>1.48</v>
      </c>
      <c r="S191" s="5">
        <f t="shared" si="2"/>
        <v>8.9041095890410954E-2</v>
      </c>
      <c r="T191" t="s">
        <v>16</v>
      </c>
      <c r="U191" t="s">
        <v>16</v>
      </c>
    </row>
    <row r="192" spans="1:21" x14ac:dyDescent="0.3">
      <c r="A192" t="s">
        <v>27</v>
      </c>
      <c r="B192" t="s">
        <v>536</v>
      </c>
      <c r="C192">
        <v>143</v>
      </c>
      <c r="D192" t="s">
        <v>14</v>
      </c>
      <c r="E192" t="s">
        <v>45</v>
      </c>
      <c r="F192" s="3" t="s">
        <v>169</v>
      </c>
      <c r="G192">
        <v>20018</v>
      </c>
      <c r="H192" t="s">
        <v>219</v>
      </c>
      <c r="I192" t="s">
        <v>220</v>
      </c>
      <c r="J192" t="s">
        <v>540</v>
      </c>
      <c r="K192" t="s">
        <v>539</v>
      </c>
      <c r="L192" t="s">
        <v>477</v>
      </c>
      <c r="M192" t="s">
        <v>344</v>
      </c>
      <c r="N192" t="s">
        <v>95</v>
      </c>
      <c r="O192">
        <v>137</v>
      </c>
      <c r="P192" s="7">
        <v>26461</v>
      </c>
      <c r="Q192">
        <v>0.11</v>
      </c>
      <c r="R192">
        <v>2.93</v>
      </c>
      <c r="S192" s="5">
        <f t="shared" si="2"/>
        <v>0.18767123287671234</v>
      </c>
      <c r="T192" t="s">
        <v>16</v>
      </c>
      <c r="U192" t="s">
        <v>16</v>
      </c>
    </row>
    <row r="193" spans="1:21" x14ac:dyDescent="0.3">
      <c r="A193" t="s">
        <v>27</v>
      </c>
      <c r="B193" t="s">
        <v>536</v>
      </c>
      <c r="C193">
        <v>143</v>
      </c>
      <c r="D193" t="s">
        <v>14</v>
      </c>
      <c r="E193" t="s">
        <v>45</v>
      </c>
      <c r="F193" s="3" t="s">
        <v>541</v>
      </c>
      <c r="G193">
        <v>20018</v>
      </c>
      <c r="H193" t="s">
        <v>219</v>
      </c>
      <c r="I193" t="s">
        <v>220</v>
      </c>
      <c r="J193" t="s">
        <v>542</v>
      </c>
      <c r="K193" t="s">
        <v>539</v>
      </c>
      <c r="L193" t="s">
        <v>477</v>
      </c>
      <c r="M193" t="s">
        <v>344</v>
      </c>
      <c r="N193" t="s">
        <v>95</v>
      </c>
      <c r="O193">
        <v>183</v>
      </c>
      <c r="P193" s="7">
        <v>13834</v>
      </c>
      <c r="Q193">
        <v>0.08</v>
      </c>
      <c r="R193">
        <v>1.75</v>
      </c>
      <c r="S193" s="5">
        <f t="shared" si="2"/>
        <v>0.25068493150684934</v>
      </c>
      <c r="T193" t="s">
        <v>16</v>
      </c>
      <c r="U193" t="s">
        <v>16</v>
      </c>
    </row>
    <row r="194" spans="1:21" x14ac:dyDescent="0.3">
      <c r="A194" t="s">
        <v>27</v>
      </c>
      <c r="B194" t="s">
        <v>536</v>
      </c>
      <c r="C194">
        <v>143</v>
      </c>
      <c r="D194" t="s">
        <v>14</v>
      </c>
      <c r="E194" t="s">
        <v>45</v>
      </c>
      <c r="F194" s="3" t="s">
        <v>543</v>
      </c>
      <c r="G194">
        <v>20018</v>
      </c>
      <c r="H194" t="s">
        <v>219</v>
      </c>
      <c r="I194" t="s">
        <v>220</v>
      </c>
      <c r="J194" t="s">
        <v>95</v>
      </c>
      <c r="K194" t="s">
        <v>539</v>
      </c>
      <c r="L194" t="s">
        <v>477</v>
      </c>
      <c r="M194" t="s">
        <v>544</v>
      </c>
      <c r="N194" t="s">
        <v>95</v>
      </c>
      <c r="O194">
        <v>42</v>
      </c>
      <c r="P194" s="7">
        <v>7378</v>
      </c>
      <c r="Q194">
        <v>0.09</v>
      </c>
      <c r="R194">
        <v>2.75</v>
      </c>
      <c r="S194" s="5">
        <f t="shared" si="2"/>
        <v>5.7534246575342465E-2</v>
      </c>
      <c r="T194" t="s">
        <v>16</v>
      </c>
      <c r="U194" t="s">
        <v>16</v>
      </c>
    </row>
    <row r="195" spans="1:21" x14ac:dyDescent="0.3">
      <c r="A195" t="s">
        <v>27</v>
      </c>
      <c r="B195" t="s">
        <v>536</v>
      </c>
      <c r="C195">
        <v>143</v>
      </c>
      <c r="D195" t="s">
        <v>14</v>
      </c>
      <c r="E195" t="s">
        <v>45</v>
      </c>
      <c r="F195" s="3" t="s">
        <v>545</v>
      </c>
      <c r="G195">
        <v>20018</v>
      </c>
      <c r="H195" t="s">
        <v>219</v>
      </c>
      <c r="I195" t="s">
        <v>220</v>
      </c>
      <c r="J195" t="s">
        <v>95</v>
      </c>
      <c r="K195" t="s">
        <v>539</v>
      </c>
      <c r="L195" t="s">
        <v>477</v>
      </c>
      <c r="M195" t="s">
        <v>95</v>
      </c>
      <c r="N195" t="s">
        <v>229</v>
      </c>
      <c r="O195">
        <v>33</v>
      </c>
      <c r="P195" s="7">
        <v>2228</v>
      </c>
      <c r="Q195">
        <v>0.15</v>
      </c>
      <c r="R195">
        <v>1.67</v>
      </c>
      <c r="S195" s="5">
        <f t="shared" ref="S195:S219" si="3">O195/730</f>
        <v>4.5205479452054796E-2</v>
      </c>
      <c r="T195" t="s">
        <v>16</v>
      </c>
      <c r="U195" t="s">
        <v>16</v>
      </c>
    </row>
    <row r="196" spans="1:21" x14ac:dyDescent="0.3">
      <c r="A196" t="s">
        <v>27</v>
      </c>
      <c r="B196" t="s">
        <v>536</v>
      </c>
      <c r="C196">
        <v>143</v>
      </c>
      <c r="D196" t="s">
        <v>14</v>
      </c>
      <c r="E196" t="s">
        <v>45</v>
      </c>
      <c r="F196" s="3" t="s">
        <v>546</v>
      </c>
      <c r="G196">
        <v>20018</v>
      </c>
      <c r="H196" t="s">
        <v>219</v>
      </c>
      <c r="I196" t="s">
        <v>220</v>
      </c>
      <c r="J196" t="s">
        <v>547</v>
      </c>
      <c r="K196" t="s">
        <v>539</v>
      </c>
      <c r="L196" t="s">
        <v>477</v>
      </c>
      <c r="M196" t="s">
        <v>95</v>
      </c>
      <c r="N196" t="s">
        <v>95</v>
      </c>
      <c r="O196">
        <v>67</v>
      </c>
      <c r="P196" s="7">
        <v>9967</v>
      </c>
      <c r="Q196">
        <v>7.0000000000000007E-2</v>
      </c>
      <c r="R196">
        <v>1.89</v>
      </c>
      <c r="S196" s="5">
        <f t="shared" si="3"/>
        <v>9.1780821917808217E-2</v>
      </c>
      <c r="T196" t="s">
        <v>16</v>
      </c>
      <c r="U196" t="s">
        <v>16</v>
      </c>
    </row>
    <row r="197" spans="1:21" x14ac:dyDescent="0.3">
      <c r="A197" t="s">
        <v>27</v>
      </c>
      <c r="B197" t="s">
        <v>536</v>
      </c>
      <c r="C197">
        <v>143</v>
      </c>
      <c r="D197" t="s">
        <v>14</v>
      </c>
      <c r="E197" t="s">
        <v>45</v>
      </c>
      <c r="F197" s="3" t="s">
        <v>548</v>
      </c>
      <c r="G197">
        <v>20018</v>
      </c>
      <c r="H197" t="s">
        <v>219</v>
      </c>
      <c r="I197" t="s">
        <v>220</v>
      </c>
      <c r="J197" t="s">
        <v>454</v>
      </c>
      <c r="K197" t="s">
        <v>539</v>
      </c>
      <c r="L197" t="s">
        <v>477</v>
      </c>
      <c r="M197" t="s">
        <v>95</v>
      </c>
      <c r="N197" t="s">
        <v>549</v>
      </c>
      <c r="O197">
        <v>98</v>
      </c>
      <c r="P197" s="7">
        <v>7026</v>
      </c>
      <c r="Q197">
        <v>0.08</v>
      </c>
      <c r="R197">
        <v>1.71</v>
      </c>
      <c r="S197" s="5">
        <f t="shared" si="3"/>
        <v>0.13424657534246576</v>
      </c>
      <c r="T197" t="s">
        <v>16</v>
      </c>
      <c r="U197" t="s">
        <v>16</v>
      </c>
    </row>
    <row r="198" spans="1:21" x14ac:dyDescent="0.3">
      <c r="A198" t="s">
        <v>27</v>
      </c>
      <c r="B198" t="s">
        <v>536</v>
      </c>
      <c r="C198">
        <v>143</v>
      </c>
      <c r="D198" t="s">
        <v>14</v>
      </c>
      <c r="E198" t="s">
        <v>45</v>
      </c>
      <c r="F198" s="3" t="s">
        <v>550</v>
      </c>
      <c r="G198">
        <v>20018</v>
      </c>
      <c r="H198" t="s">
        <v>219</v>
      </c>
      <c r="I198" t="s">
        <v>220</v>
      </c>
      <c r="J198" t="s">
        <v>551</v>
      </c>
      <c r="K198" t="s">
        <v>539</v>
      </c>
      <c r="L198" t="s">
        <v>477</v>
      </c>
      <c r="M198" t="s">
        <v>95</v>
      </c>
      <c r="N198" t="s">
        <v>95</v>
      </c>
      <c r="O198">
        <v>31</v>
      </c>
      <c r="P198" s="7">
        <v>8668</v>
      </c>
      <c r="Q198">
        <v>0.12</v>
      </c>
      <c r="R198">
        <v>3.79</v>
      </c>
      <c r="S198" s="5">
        <f t="shared" si="3"/>
        <v>4.2465753424657533E-2</v>
      </c>
      <c r="T198" t="s">
        <v>16</v>
      </c>
      <c r="U198" t="s">
        <v>16</v>
      </c>
    </row>
    <row r="199" spans="1:21" x14ac:dyDescent="0.3">
      <c r="A199" t="s">
        <v>27</v>
      </c>
      <c r="B199" t="s">
        <v>536</v>
      </c>
      <c r="C199">
        <v>143</v>
      </c>
      <c r="D199" t="s">
        <v>14</v>
      </c>
      <c r="E199" t="s">
        <v>45</v>
      </c>
      <c r="F199" s="3" t="s">
        <v>552</v>
      </c>
      <c r="G199">
        <v>20018</v>
      </c>
      <c r="H199" t="s">
        <v>219</v>
      </c>
      <c r="I199" t="s">
        <v>220</v>
      </c>
      <c r="J199" t="s">
        <v>95</v>
      </c>
      <c r="K199" t="s">
        <v>539</v>
      </c>
      <c r="L199" t="s">
        <v>477</v>
      </c>
      <c r="M199" t="s">
        <v>553</v>
      </c>
      <c r="N199" t="s">
        <v>95</v>
      </c>
      <c r="O199">
        <v>52</v>
      </c>
      <c r="P199" s="7">
        <v>6848</v>
      </c>
      <c r="Q199">
        <v>0.09</v>
      </c>
      <c r="R199">
        <v>2.31</v>
      </c>
      <c r="S199" s="5">
        <f t="shared" si="3"/>
        <v>7.1232876712328766E-2</v>
      </c>
      <c r="T199" t="s">
        <v>16</v>
      </c>
      <c r="U199" t="s">
        <v>16</v>
      </c>
    </row>
    <row r="200" spans="1:21" x14ac:dyDescent="0.3">
      <c r="A200" t="s">
        <v>27</v>
      </c>
      <c r="B200" t="s">
        <v>536</v>
      </c>
      <c r="C200">
        <v>143</v>
      </c>
      <c r="D200" t="s">
        <v>14</v>
      </c>
      <c r="E200" t="s">
        <v>45</v>
      </c>
      <c r="F200" s="3" t="s">
        <v>554</v>
      </c>
      <c r="G200">
        <v>20018</v>
      </c>
      <c r="H200" t="s">
        <v>219</v>
      </c>
      <c r="I200" t="s">
        <v>220</v>
      </c>
      <c r="J200" t="s">
        <v>95</v>
      </c>
      <c r="K200" t="s">
        <v>539</v>
      </c>
      <c r="L200" t="s">
        <v>477</v>
      </c>
      <c r="M200" t="s">
        <v>555</v>
      </c>
      <c r="N200" t="s">
        <v>556</v>
      </c>
      <c r="O200">
        <v>18</v>
      </c>
      <c r="P200" s="7">
        <v>3198</v>
      </c>
      <c r="Q200">
        <v>0.27</v>
      </c>
      <c r="R200">
        <v>2.77</v>
      </c>
      <c r="S200" s="5">
        <f t="shared" si="3"/>
        <v>2.4657534246575342E-2</v>
      </c>
      <c r="T200" t="s">
        <v>16</v>
      </c>
      <c r="U200" t="s">
        <v>16</v>
      </c>
    </row>
    <row r="201" spans="1:21" x14ac:dyDescent="0.3">
      <c r="A201" t="s">
        <v>27</v>
      </c>
      <c r="B201" t="s">
        <v>536</v>
      </c>
      <c r="C201">
        <v>143</v>
      </c>
      <c r="D201" t="s">
        <v>14</v>
      </c>
      <c r="E201" t="s">
        <v>45</v>
      </c>
      <c r="F201" s="3" t="s">
        <v>557</v>
      </c>
      <c r="G201">
        <v>20018</v>
      </c>
      <c r="H201" t="s">
        <v>219</v>
      </c>
      <c r="I201" t="s">
        <v>220</v>
      </c>
      <c r="J201" t="s">
        <v>95</v>
      </c>
      <c r="K201" t="s">
        <v>539</v>
      </c>
      <c r="L201" t="s">
        <v>477</v>
      </c>
      <c r="M201" t="s">
        <v>558</v>
      </c>
      <c r="N201" t="s">
        <v>95</v>
      </c>
      <c r="O201">
        <v>90</v>
      </c>
      <c r="P201" s="7">
        <v>8378</v>
      </c>
      <c r="Q201">
        <v>0.05</v>
      </c>
      <c r="R201">
        <v>1.93</v>
      </c>
      <c r="S201" s="5">
        <f t="shared" si="3"/>
        <v>0.12328767123287671</v>
      </c>
      <c r="T201" t="s">
        <v>16</v>
      </c>
      <c r="U201" t="s">
        <v>16</v>
      </c>
    </row>
    <row r="202" spans="1:21" x14ac:dyDescent="0.3">
      <c r="A202" t="s">
        <v>27</v>
      </c>
      <c r="B202" t="s">
        <v>536</v>
      </c>
      <c r="C202">
        <v>143</v>
      </c>
      <c r="D202" t="s">
        <v>14</v>
      </c>
      <c r="E202" t="s">
        <v>45</v>
      </c>
      <c r="F202" s="3" t="s">
        <v>559</v>
      </c>
      <c r="G202">
        <v>20018</v>
      </c>
      <c r="H202" t="s">
        <v>219</v>
      </c>
      <c r="I202" t="s">
        <v>220</v>
      </c>
      <c r="J202" t="s">
        <v>95</v>
      </c>
      <c r="K202" t="s">
        <v>539</v>
      </c>
      <c r="L202" t="s">
        <v>560</v>
      </c>
      <c r="M202" t="s">
        <v>95</v>
      </c>
      <c r="N202" t="s">
        <v>95</v>
      </c>
      <c r="O202">
        <v>29</v>
      </c>
      <c r="P202" s="7">
        <v>2916</v>
      </c>
      <c r="Q202">
        <v>0.1</v>
      </c>
      <c r="R202">
        <v>2</v>
      </c>
      <c r="S202" s="5">
        <f t="shared" si="3"/>
        <v>3.9726027397260277E-2</v>
      </c>
      <c r="T202" t="s">
        <v>16</v>
      </c>
      <c r="U202" t="s">
        <v>16</v>
      </c>
    </row>
    <row r="203" spans="1:21" x14ac:dyDescent="0.3">
      <c r="A203" t="s">
        <v>27</v>
      </c>
      <c r="B203" t="s">
        <v>536</v>
      </c>
      <c r="C203">
        <v>143</v>
      </c>
      <c r="D203" t="s">
        <v>14</v>
      </c>
      <c r="E203" t="s">
        <v>45</v>
      </c>
      <c r="F203" s="3" t="s">
        <v>561</v>
      </c>
      <c r="G203">
        <v>20018</v>
      </c>
      <c r="H203" t="s">
        <v>219</v>
      </c>
      <c r="I203" t="s">
        <v>220</v>
      </c>
      <c r="J203" t="s">
        <v>95</v>
      </c>
      <c r="K203" t="s">
        <v>539</v>
      </c>
      <c r="L203" t="s">
        <v>562</v>
      </c>
      <c r="M203" t="s">
        <v>95</v>
      </c>
      <c r="N203" t="s">
        <v>95</v>
      </c>
      <c r="O203">
        <v>12</v>
      </c>
      <c r="P203" s="7">
        <v>5869</v>
      </c>
      <c r="Q203">
        <v>0.33</v>
      </c>
      <c r="R203">
        <v>5.89</v>
      </c>
      <c r="S203" s="5">
        <f t="shared" si="3"/>
        <v>1.643835616438356E-2</v>
      </c>
      <c r="T203" t="s">
        <v>16</v>
      </c>
      <c r="U203" t="s">
        <v>16</v>
      </c>
    </row>
    <row r="204" spans="1:21" x14ac:dyDescent="0.3">
      <c r="A204" t="s">
        <v>27</v>
      </c>
      <c r="B204" t="s">
        <v>536</v>
      </c>
      <c r="C204">
        <v>143</v>
      </c>
      <c r="D204" t="s">
        <v>14</v>
      </c>
      <c r="E204" t="s">
        <v>45</v>
      </c>
      <c r="F204" s="3" t="s">
        <v>563</v>
      </c>
      <c r="G204">
        <v>20018</v>
      </c>
      <c r="H204" t="s">
        <v>219</v>
      </c>
      <c r="I204" t="s">
        <v>220</v>
      </c>
      <c r="J204" t="s">
        <v>95</v>
      </c>
      <c r="K204" t="s">
        <v>539</v>
      </c>
      <c r="L204" t="s">
        <v>564</v>
      </c>
      <c r="M204" t="s">
        <v>95</v>
      </c>
      <c r="N204" t="s">
        <v>565</v>
      </c>
      <c r="O204">
        <v>25</v>
      </c>
      <c r="P204" s="7">
        <v>5797</v>
      </c>
      <c r="Q204">
        <v>0.16</v>
      </c>
      <c r="R204">
        <v>3.31</v>
      </c>
      <c r="S204" s="5">
        <f t="shared" si="3"/>
        <v>3.4246575342465752E-2</v>
      </c>
      <c r="T204" t="s">
        <v>16</v>
      </c>
      <c r="U204" t="s">
        <v>16</v>
      </c>
    </row>
    <row r="205" spans="1:21" x14ac:dyDescent="0.3">
      <c r="A205" t="s">
        <v>27</v>
      </c>
      <c r="B205" t="s">
        <v>536</v>
      </c>
      <c r="C205">
        <v>143</v>
      </c>
      <c r="D205" t="s">
        <v>14</v>
      </c>
      <c r="E205" t="s">
        <v>45</v>
      </c>
      <c r="F205" s="3" t="s">
        <v>566</v>
      </c>
      <c r="G205">
        <v>20018</v>
      </c>
      <c r="H205" t="s">
        <v>219</v>
      </c>
      <c r="I205" t="s">
        <v>220</v>
      </c>
      <c r="J205" t="s">
        <v>95</v>
      </c>
      <c r="K205" t="s">
        <v>539</v>
      </c>
      <c r="L205" t="s">
        <v>564</v>
      </c>
      <c r="M205" t="s">
        <v>567</v>
      </c>
      <c r="N205" t="s">
        <v>95</v>
      </c>
      <c r="O205">
        <v>41</v>
      </c>
      <c r="P205" s="7">
        <v>7359</v>
      </c>
      <c r="Q205">
        <v>0.09</v>
      </c>
      <c r="R205">
        <v>2.79</v>
      </c>
      <c r="S205" s="5">
        <f t="shared" si="3"/>
        <v>5.6164383561643834E-2</v>
      </c>
      <c r="T205" t="s">
        <v>16</v>
      </c>
      <c r="U205" t="s">
        <v>16</v>
      </c>
    </row>
    <row r="206" spans="1:21" x14ac:dyDescent="0.3">
      <c r="A206" t="s">
        <v>27</v>
      </c>
      <c r="B206" t="s">
        <v>536</v>
      </c>
      <c r="C206">
        <v>143</v>
      </c>
      <c r="D206" t="s">
        <v>14</v>
      </c>
      <c r="E206" t="s">
        <v>45</v>
      </c>
      <c r="F206" s="3" t="s">
        <v>568</v>
      </c>
      <c r="G206">
        <v>20018</v>
      </c>
      <c r="H206" t="s">
        <v>219</v>
      </c>
      <c r="I206" t="s">
        <v>220</v>
      </c>
      <c r="J206" t="s">
        <v>95</v>
      </c>
      <c r="K206" t="s">
        <v>539</v>
      </c>
      <c r="L206" t="s">
        <v>569</v>
      </c>
      <c r="M206" t="s">
        <v>477</v>
      </c>
      <c r="N206" t="s">
        <v>95</v>
      </c>
      <c r="O206">
        <v>55</v>
      </c>
      <c r="P206" s="7">
        <v>12318</v>
      </c>
      <c r="Q206">
        <v>0.09</v>
      </c>
      <c r="R206">
        <v>3.23</v>
      </c>
      <c r="S206" s="5">
        <f t="shared" si="3"/>
        <v>7.5342465753424653E-2</v>
      </c>
      <c r="T206" t="s">
        <v>16</v>
      </c>
      <c r="U206" t="s">
        <v>16</v>
      </c>
    </row>
    <row r="207" spans="1:21" x14ac:dyDescent="0.3">
      <c r="A207" t="s">
        <v>27</v>
      </c>
      <c r="B207" t="s">
        <v>536</v>
      </c>
      <c r="C207">
        <v>143</v>
      </c>
      <c r="D207" t="s">
        <v>182</v>
      </c>
      <c r="E207" t="s">
        <v>45</v>
      </c>
      <c r="F207" s="3" t="s">
        <v>576</v>
      </c>
      <c r="G207">
        <v>20018</v>
      </c>
      <c r="H207" t="s">
        <v>219</v>
      </c>
      <c r="I207" t="s">
        <v>225</v>
      </c>
      <c r="J207" t="s">
        <v>95</v>
      </c>
      <c r="K207" t="s">
        <v>539</v>
      </c>
      <c r="L207" t="s">
        <v>577</v>
      </c>
      <c r="M207" t="s">
        <v>477</v>
      </c>
      <c r="N207" t="s">
        <v>95</v>
      </c>
      <c r="O207">
        <v>390</v>
      </c>
      <c r="P207" s="7">
        <v>16432</v>
      </c>
      <c r="Q207">
        <v>0.08</v>
      </c>
      <c r="R207">
        <v>1.42</v>
      </c>
      <c r="S207" s="5">
        <f t="shared" si="3"/>
        <v>0.53424657534246578</v>
      </c>
      <c r="T207" t="s">
        <v>16</v>
      </c>
      <c r="U207" t="s">
        <v>16</v>
      </c>
    </row>
    <row r="208" spans="1:21" x14ac:dyDescent="0.3">
      <c r="A208" t="s">
        <v>27</v>
      </c>
      <c r="B208" t="s">
        <v>536</v>
      </c>
      <c r="C208">
        <v>143</v>
      </c>
      <c r="D208" t="s">
        <v>182</v>
      </c>
      <c r="E208" t="s">
        <v>45</v>
      </c>
      <c r="F208" s="3" t="s">
        <v>576</v>
      </c>
      <c r="G208">
        <v>20018</v>
      </c>
      <c r="H208" t="s">
        <v>219</v>
      </c>
      <c r="I208" t="s">
        <v>222</v>
      </c>
      <c r="J208" t="s">
        <v>95</v>
      </c>
      <c r="K208" t="s">
        <v>539</v>
      </c>
      <c r="L208" t="s">
        <v>578</v>
      </c>
      <c r="M208" t="s">
        <v>477</v>
      </c>
      <c r="N208" t="s">
        <v>95</v>
      </c>
      <c r="O208">
        <v>140</v>
      </c>
      <c r="P208" s="7">
        <v>9157</v>
      </c>
      <c r="Q208">
        <v>7.0000000000000007E-2</v>
      </c>
      <c r="R208">
        <v>1.65</v>
      </c>
      <c r="S208" s="5">
        <f t="shared" si="3"/>
        <v>0.19178082191780821</v>
      </c>
      <c r="T208" t="s">
        <v>16</v>
      </c>
      <c r="U208" t="s">
        <v>16</v>
      </c>
    </row>
    <row r="209" spans="1:21" x14ac:dyDescent="0.3">
      <c r="A209" t="s">
        <v>27</v>
      </c>
      <c r="B209" t="s">
        <v>536</v>
      </c>
      <c r="C209">
        <v>143</v>
      </c>
      <c r="D209" t="s">
        <v>182</v>
      </c>
      <c r="E209" t="s">
        <v>45</v>
      </c>
      <c r="F209" s="3" t="s">
        <v>183</v>
      </c>
      <c r="G209">
        <v>20018</v>
      </c>
      <c r="H209" t="s">
        <v>219</v>
      </c>
      <c r="I209" t="s">
        <v>222</v>
      </c>
      <c r="J209" t="s">
        <v>95</v>
      </c>
      <c r="K209" t="s">
        <v>580</v>
      </c>
      <c r="L209" t="s">
        <v>579</v>
      </c>
      <c r="M209" t="s">
        <v>477</v>
      </c>
      <c r="N209" t="s">
        <v>95</v>
      </c>
      <c r="O209">
        <v>38</v>
      </c>
      <c r="P209" s="7">
        <v>5246</v>
      </c>
      <c r="Q209">
        <v>0.15</v>
      </c>
      <c r="R209">
        <v>2.38</v>
      </c>
      <c r="S209" s="5">
        <f t="shared" si="3"/>
        <v>5.2054794520547946E-2</v>
      </c>
      <c r="T209" t="s">
        <v>16</v>
      </c>
      <c r="U209" t="s">
        <v>16</v>
      </c>
    </row>
    <row r="210" spans="1:21" x14ac:dyDescent="0.3">
      <c r="A210" t="s">
        <v>27</v>
      </c>
      <c r="B210" t="s">
        <v>536</v>
      </c>
      <c r="C210">
        <v>143</v>
      </c>
      <c r="D210" t="s">
        <v>182</v>
      </c>
      <c r="E210" t="s">
        <v>45</v>
      </c>
      <c r="F210" s="3" t="s">
        <v>581</v>
      </c>
      <c r="G210">
        <v>20018</v>
      </c>
      <c r="H210" t="s">
        <v>219</v>
      </c>
      <c r="I210" t="s">
        <v>225</v>
      </c>
      <c r="J210" t="s">
        <v>95</v>
      </c>
      <c r="K210" t="s">
        <v>95</v>
      </c>
      <c r="L210" t="s">
        <v>579</v>
      </c>
      <c r="M210" t="s">
        <v>582</v>
      </c>
      <c r="N210" t="s">
        <v>95</v>
      </c>
      <c r="O210">
        <v>236</v>
      </c>
      <c r="P210" s="7">
        <v>7234</v>
      </c>
      <c r="Q210">
        <v>0.11</v>
      </c>
      <c r="R210">
        <v>1.3</v>
      </c>
      <c r="S210" s="5">
        <f t="shared" si="3"/>
        <v>0.32328767123287672</v>
      </c>
      <c r="T210" t="s">
        <v>16</v>
      </c>
      <c r="U210" t="s">
        <v>16</v>
      </c>
    </row>
    <row r="211" spans="1:21" x14ac:dyDescent="0.3">
      <c r="A211" t="s">
        <v>27</v>
      </c>
      <c r="B211" t="s">
        <v>536</v>
      </c>
      <c r="C211">
        <v>143</v>
      </c>
      <c r="D211" t="s">
        <v>182</v>
      </c>
      <c r="E211" t="s">
        <v>45</v>
      </c>
      <c r="F211" s="3" t="s">
        <v>583</v>
      </c>
      <c r="G211">
        <v>20018</v>
      </c>
      <c r="H211" t="s">
        <v>219</v>
      </c>
      <c r="I211" t="s">
        <v>225</v>
      </c>
      <c r="J211" t="s">
        <v>95</v>
      </c>
      <c r="K211" t="s">
        <v>95</v>
      </c>
      <c r="L211" t="s">
        <v>579</v>
      </c>
      <c r="M211" t="s">
        <v>95</v>
      </c>
      <c r="N211" t="s">
        <v>584</v>
      </c>
      <c r="O211">
        <v>60</v>
      </c>
      <c r="P211" s="7">
        <v>8288</v>
      </c>
      <c r="Q211">
        <v>0.08</v>
      </c>
      <c r="R211">
        <v>2.38</v>
      </c>
      <c r="S211" s="5">
        <f t="shared" si="3"/>
        <v>8.2191780821917804E-2</v>
      </c>
      <c r="T211" t="s">
        <v>16</v>
      </c>
      <c r="U211" t="s">
        <v>16</v>
      </c>
    </row>
    <row r="212" spans="1:21" x14ac:dyDescent="0.3">
      <c r="A212" t="s">
        <v>27</v>
      </c>
      <c r="B212" t="s">
        <v>536</v>
      </c>
      <c r="C212">
        <v>143</v>
      </c>
      <c r="D212" t="s">
        <v>182</v>
      </c>
      <c r="E212" t="s">
        <v>45</v>
      </c>
      <c r="F212" s="3" t="s">
        <v>256</v>
      </c>
      <c r="G212">
        <v>20018</v>
      </c>
      <c r="H212" t="s">
        <v>219</v>
      </c>
      <c r="I212" t="s">
        <v>225</v>
      </c>
      <c r="J212" t="s">
        <v>468</v>
      </c>
      <c r="K212" t="s">
        <v>95</v>
      </c>
      <c r="L212" t="s">
        <v>579</v>
      </c>
      <c r="M212" t="s">
        <v>95</v>
      </c>
      <c r="N212" t="s">
        <v>477</v>
      </c>
      <c r="O212">
        <v>48</v>
      </c>
      <c r="P212" s="7">
        <v>2687</v>
      </c>
      <c r="Q212">
        <v>0.1</v>
      </c>
      <c r="R212">
        <v>1.55</v>
      </c>
      <c r="S212" s="5">
        <f t="shared" si="3"/>
        <v>6.575342465753424E-2</v>
      </c>
      <c r="T212" t="s">
        <v>16</v>
      </c>
      <c r="U212" t="s">
        <v>16</v>
      </c>
    </row>
    <row r="213" spans="1:21" x14ac:dyDescent="0.3">
      <c r="A213" t="s">
        <v>27</v>
      </c>
      <c r="B213" t="s">
        <v>536</v>
      </c>
      <c r="C213">
        <v>143</v>
      </c>
      <c r="D213" t="s">
        <v>182</v>
      </c>
      <c r="E213" t="s">
        <v>45</v>
      </c>
      <c r="F213" s="3" t="s">
        <v>585</v>
      </c>
      <c r="G213">
        <v>20018</v>
      </c>
      <c r="H213" t="s">
        <v>219</v>
      </c>
      <c r="I213" t="s">
        <v>225</v>
      </c>
      <c r="J213" t="s">
        <v>586</v>
      </c>
      <c r="K213" t="s">
        <v>95</v>
      </c>
      <c r="L213" t="s">
        <v>579</v>
      </c>
      <c r="M213" t="s">
        <v>95</v>
      </c>
      <c r="N213" t="s">
        <v>587</v>
      </c>
      <c r="O213">
        <v>503</v>
      </c>
      <c r="P213" s="7">
        <v>11091</v>
      </c>
      <c r="Q213">
        <v>0.04</v>
      </c>
      <c r="R213">
        <v>1.22</v>
      </c>
      <c r="S213" s="5">
        <f t="shared" si="3"/>
        <v>0.68904109589041096</v>
      </c>
      <c r="T213" t="s">
        <v>16</v>
      </c>
      <c r="U213" t="s">
        <v>16</v>
      </c>
    </row>
    <row r="214" spans="1:21" x14ac:dyDescent="0.3">
      <c r="A214" t="s">
        <v>27</v>
      </c>
      <c r="B214" t="s">
        <v>536</v>
      </c>
      <c r="C214">
        <v>143</v>
      </c>
      <c r="D214" t="s">
        <v>182</v>
      </c>
      <c r="E214" t="s">
        <v>45</v>
      </c>
      <c r="F214" s="3" t="s">
        <v>585</v>
      </c>
      <c r="G214">
        <v>20018</v>
      </c>
      <c r="H214" t="s">
        <v>219</v>
      </c>
      <c r="I214" t="s">
        <v>588</v>
      </c>
      <c r="J214" t="s">
        <v>589</v>
      </c>
      <c r="K214" t="s">
        <v>95</v>
      </c>
      <c r="L214" t="s">
        <v>579</v>
      </c>
      <c r="M214" t="s">
        <v>95</v>
      </c>
      <c r="N214" t="s">
        <v>95</v>
      </c>
      <c r="O214">
        <v>36</v>
      </c>
      <c r="P214" s="7">
        <v>7639</v>
      </c>
      <c r="Q214">
        <v>0.16</v>
      </c>
      <c r="R214">
        <v>3.12</v>
      </c>
      <c r="S214" s="5">
        <f t="shared" si="3"/>
        <v>4.9315068493150684E-2</v>
      </c>
      <c r="T214" t="s">
        <v>16</v>
      </c>
      <c r="U214" t="s">
        <v>16</v>
      </c>
    </row>
    <row r="215" spans="1:21" x14ac:dyDescent="0.3">
      <c r="A215" t="s">
        <v>27</v>
      </c>
      <c r="B215" t="s">
        <v>536</v>
      </c>
      <c r="C215">
        <v>143</v>
      </c>
      <c r="D215" t="s">
        <v>182</v>
      </c>
      <c r="E215" t="s">
        <v>45</v>
      </c>
      <c r="F215" s="3" t="s">
        <v>590</v>
      </c>
      <c r="G215">
        <v>20018</v>
      </c>
      <c r="H215" t="s">
        <v>219</v>
      </c>
      <c r="I215" t="s">
        <v>591</v>
      </c>
      <c r="J215" t="s">
        <v>95</v>
      </c>
      <c r="K215" t="s">
        <v>592</v>
      </c>
      <c r="L215" t="s">
        <v>579</v>
      </c>
      <c r="M215" t="s">
        <v>95</v>
      </c>
      <c r="N215" t="s">
        <v>95</v>
      </c>
      <c r="O215">
        <v>59</v>
      </c>
      <c r="P215" s="7">
        <v>8827</v>
      </c>
      <c r="Q215">
        <v>0.1</v>
      </c>
      <c r="R215">
        <v>2.4900000000000002</v>
      </c>
      <c r="S215" s="5">
        <f t="shared" si="3"/>
        <v>8.0821917808219179E-2</v>
      </c>
      <c r="T215" t="s">
        <v>16</v>
      </c>
      <c r="U215" t="s">
        <v>16</v>
      </c>
    </row>
    <row r="216" spans="1:21" x14ac:dyDescent="0.3">
      <c r="A216" t="s">
        <v>27</v>
      </c>
      <c r="B216" t="s">
        <v>536</v>
      </c>
      <c r="C216">
        <v>143</v>
      </c>
      <c r="D216" t="s">
        <v>182</v>
      </c>
      <c r="E216" t="s">
        <v>45</v>
      </c>
      <c r="F216" s="3" t="s">
        <v>593</v>
      </c>
      <c r="G216">
        <v>20018</v>
      </c>
      <c r="H216" t="s">
        <v>219</v>
      </c>
      <c r="I216" t="s">
        <v>591</v>
      </c>
      <c r="J216" t="s">
        <v>95</v>
      </c>
      <c r="K216" t="s">
        <v>594</v>
      </c>
      <c r="L216" t="s">
        <v>579</v>
      </c>
      <c r="M216" t="s">
        <v>95</v>
      </c>
      <c r="N216" t="s">
        <v>595</v>
      </c>
      <c r="O216">
        <v>28</v>
      </c>
      <c r="P216" s="7">
        <v>7578</v>
      </c>
      <c r="Q216">
        <v>0.17</v>
      </c>
      <c r="R216">
        <v>3.7</v>
      </c>
      <c r="S216" s="5">
        <f t="shared" si="3"/>
        <v>3.8356164383561646E-2</v>
      </c>
      <c r="T216" t="s">
        <v>16</v>
      </c>
      <c r="U216" t="s">
        <v>16</v>
      </c>
    </row>
    <row r="217" spans="1:21" x14ac:dyDescent="0.3">
      <c r="A217" t="s">
        <v>27</v>
      </c>
      <c r="B217" t="s">
        <v>536</v>
      </c>
      <c r="C217">
        <v>143</v>
      </c>
      <c r="D217" t="s">
        <v>182</v>
      </c>
      <c r="E217" t="s">
        <v>45</v>
      </c>
      <c r="F217" s="3" t="s">
        <v>57</v>
      </c>
      <c r="G217">
        <v>20018</v>
      </c>
      <c r="H217" t="s">
        <v>219</v>
      </c>
      <c r="I217" t="s">
        <v>591</v>
      </c>
      <c r="J217" t="s">
        <v>95</v>
      </c>
      <c r="K217" t="s">
        <v>594</v>
      </c>
      <c r="L217" t="s">
        <v>579</v>
      </c>
      <c r="M217" t="s">
        <v>95</v>
      </c>
      <c r="N217" t="s">
        <v>596</v>
      </c>
      <c r="O217">
        <v>132</v>
      </c>
      <c r="P217" s="7">
        <v>15064</v>
      </c>
      <c r="Q217">
        <v>0.11</v>
      </c>
      <c r="R217">
        <v>2.14</v>
      </c>
      <c r="S217" s="5">
        <f t="shared" si="3"/>
        <v>0.18082191780821918</v>
      </c>
      <c r="T217" t="s">
        <v>16</v>
      </c>
      <c r="U217" t="s">
        <v>16</v>
      </c>
    </row>
    <row r="218" spans="1:21" x14ac:dyDescent="0.3">
      <c r="A218" t="s">
        <v>27</v>
      </c>
      <c r="B218" t="s">
        <v>536</v>
      </c>
      <c r="C218">
        <v>143</v>
      </c>
      <c r="D218" t="s">
        <v>182</v>
      </c>
      <c r="E218" t="s">
        <v>45</v>
      </c>
      <c r="F218" s="3" t="s">
        <v>57</v>
      </c>
      <c r="G218">
        <v>20018</v>
      </c>
      <c r="H218" t="s">
        <v>219</v>
      </c>
      <c r="I218" t="s">
        <v>507</v>
      </c>
      <c r="J218" t="s">
        <v>95</v>
      </c>
      <c r="K218" t="s">
        <v>594</v>
      </c>
      <c r="L218" t="s">
        <v>579</v>
      </c>
      <c r="M218" t="s">
        <v>95</v>
      </c>
      <c r="N218" t="s">
        <v>597</v>
      </c>
      <c r="O218">
        <v>39</v>
      </c>
      <c r="P218" s="7">
        <v>4165</v>
      </c>
      <c r="Q218">
        <v>0.17</v>
      </c>
      <c r="R218">
        <v>2.06</v>
      </c>
      <c r="S218" s="5">
        <f t="shared" si="3"/>
        <v>5.3424657534246578E-2</v>
      </c>
      <c r="T218" t="s">
        <v>16</v>
      </c>
      <c r="U218" t="s">
        <v>16</v>
      </c>
    </row>
    <row r="219" spans="1:21" x14ac:dyDescent="0.3">
      <c r="A219" t="s">
        <v>27</v>
      </c>
      <c r="B219" t="s">
        <v>536</v>
      </c>
      <c r="C219">
        <v>143</v>
      </c>
      <c r="D219" t="s">
        <v>14</v>
      </c>
      <c r="E219" t="s">
        <v>570</v>
      </c>
      <c r="F219" s="3" t="s">
        <v>571</v>
      </c>
      <c r="G219">
        <v>20018</v>
      </c>
      <c r="H219" t="s">
        <v>219</v>
      </c>
      <c r="I219" t="s">
        <v>222</v>
      </c>
      <c r="J219" t="s">
        <v>95</v>
      </c>
      <c r="K219" t="s">
        <v>539</v>
      </c>
      <c r="L219" t="s">
        <v>572</v>
      </c>
      <c r="M219" t="s">
        <v>573</v>
      </c>
      <c r="N219" t="s">
        <v>95</v>
      </c>
      <c r="O219">
        <v>243</v>
      </c>
      <c r="P219" s="7">
        <v>6157</v>
      </c>
      <c r="Q219">
        <v>0.09</v>
      </c>
      <c r="R219">
        <v>1.25</v>
      </c>
      <c r="S219" s="5">
        <f t="shared" si="3"/>
        <v>0.33287671232876714</v>
      </c>
      <c r="T219" t="s">
        <v>16</v>
      </c>
      <c r="U219" t="s">
        <v>16</v>
      </c>
    </row>
    <row r="220" spans="1:21" x14ac:dyDescent="0.3">
      <c r="A220" t="s">
        <v>27</v>
      </c>
      <c r="B220" t="s">
        <v>536</v>
      </c>
      <c r="C220">
        <v>143</v>
      </c>
      <c r="D220" t="s">
        <v>14</v>
      </c>
      <c r="E220" t="s">
        <v>570</v>
      </c>
      <c r="F220" s="3" t="s">
        <v>571</v>
      </c>
      <c r="G220">
        <v>20018</v>
      </c>
      <c r="H220" t="s">
        <v>219</v>
      </c>
      <c r="I220" t="s">
        <v>220</v>
      </c>
      <c r="J220" t="s">
        <v>95</v>
      </c>
      <c r="K220" t="s">
        <v>575</v>
      </c>
      <c r="L220" t="s">
        <v>572</v>
      </c>
      <c r="M220" t="s">
        <v>574</v>
      </c>
      <c r="N220" t="s">
        <v>95</v>
      </c>
      <c r="O220">
        <v>178</v>
      </c>
      <c r="P220" s="7">
        <v>5703</v>
      </c>
      <c r="Q220">
        <v>0.11</v>
      </c>
      <c r="R220">
        <v>1.32</v>
      </c>
      <c r="S220" s="5">
        <f>O220/730</f>
        <v>0.24383561643835616</v>
      </c>
      <c r="T220" t="s">
        <v>16</v>
      </c>
      <c r="U220" t="s">
        <v>16</v>
      </c>
    </row>
    <row r="221" spans="1:21" x14ac:dyDescent="0.3">
      <c r="A221" t="s">
        <v>27</v>
      </c>
      <c r="B221" t="s">
        <v>536</v>
      </c>
      <c r="C221">
        <v>143</v>
      </c>
      <c r="D221" t="s">
        <v>14</v>
      </c>
      <c r="E221" t="s">
        <v>570</v>
      </c>
      <c r="F221" s="3" t="s">
        <v>598</v>
      </c>
      <c r="G221">
        <v>20018</v>
      </c>
      <c r="H221" t="s">
        <v>219</v>
      </c>
      <c r="I221" t="s">
        <v>225</v>
      </c>
      <c r="J221" t="s">
        <v>95</v>
      </c>
      <c r="K221" t="s">
        <v>95</v>
      </c>
      <c r="L221" t="s">
        <v>572</v>
      </c>
      <c r="M221" t="s">
        <v>574</v>
      </c>
      <c r="N221" t="s">
        <v>599</v>
      </c>
      <c r="O221">
        <v>37</v>
      </c>
      <c r="P221" s="7">
        <v>4166</v>
      </c>
      <c r="Q221">
        <v>0.16</v>
      </c>
      <c r="R221">
        <v>2.12</v>
      </c>
      <c r="S221" s="5">
        <f>O221/730</f>
        <v>5.0684931506849315E-2</v>
      </c>
      <c r="T221" t="s">
        <v>16</v>
      </c>
      <c r="U221" t="s">
        <v>16</v>
      </c>
    </row>
    <row r="222" spans="1:21" x14ac:dyDescent="0.3">
      <c r="A222" t="s">
        <v>27</v>
      </c>
      <c r="B222" t="s">
        <v>536</v>
      </c>
      <c r="C222">
        <v>143</v>
      </c>
      <c r="D222" t="s">
        <v>14</v>
      </c>
      <c r="E222" t="s">
        <v>570</v>
      </c>
      <c r="F222" s="3" t="s">
        <v>598</v>
      </c>
      <c r="G222">
        <v>20018</v>
      </c>
      <c r="H222" t="s">
        <v>219</v>
      </c>
      <c r="I222" t="s">
        <v>221</v>
      </c>
      <c r="J222" t="s">
        <v>95</v>
      </c>
      <c r="K222" t="s">
        <v>95</v>
      </c>
      <c r="L222" t="s">
        <v>600</v>
      </c>
      <c r="M222" t="s">
        <v>574</v>
      </c>
      <c r="N222" t="s">
        <v>477</v>
      </c>
      <c r="O222">
        <v>22</v>
      </c>
      <c r="P222" s="7">
        <v>3398</v>
      </c>
      <c r="Q222">
        <v>0.31</v>
      </c>
      <c r="R222">
        <v>2.54</v>
      </c>
      <c r="S222" s="5">
        <f>O222/730</f>
        <v>3.0136986301369864E-2</v>
      </c>
      <c r="T222" t="s">
        <v>16</v>
      </c>
      <c r="U222" t="s">
        <v>16</v>
      </c>
    </row>
    <row r="223" spans="1:21" x14ac:dyDescent="0.3">
      <c r="A223" t="s">
        <v>27</v>
      </c>
      <c r="B223" t="s">
        <v>536</v>
      </c>
      <c r="C223">
        <v>143</v>
      </c>
      <c r="D223" t="s">
        <v>14</v>
      </c>
      <c r="E223" t="s">
        <v>570</v>
      </c>
      <c r="F223" s="3" t="s">
        <v>601</v>
      </c>
      <c r="G223">
        <v>20018</v>
      </c>
      <c r="H223" t="s">
        <v>219</v>
      </c>
      <c r="I223" t="s">
        <v>591</v>
      </c>
      <c r="J223" t="s">
        <v>95</v>
      </c>
      <c r="K223" t="s">
        <v>95</v>
      </c>
      <c r="L223" t="s">
        <v>95</v>
      </c>
      <c r="M223" t="s">
        <v>602</v>
      </c>
      <c r="N223" t="s">
        <v>477</v>
      </c>
      <c r="O223">
        <v>56</v>
      </c>
      <c r="P223" s="7">
        <v>6858</v>
      </c>
      <c r="Q223">
        <v>0.14000000000000001</v>
      </c>
      <c r="R223">
        <v>2.2200000000000002</v>
      </c>
      <c r="S223" s="5">
        <f>O223/730</f>
        <v>7.6712328767123292E-2</v>
      </c>
      <c r="T223" t="s">
        <v>16</v>
      </c>
      <c r="U223" t="s">
        <v>16</v>
      </c>
    </row>
    <row r="224" spans="1:21" x14ac:dyDescent="0.3">
      <c r="A224" t="s">
        <v>27</v>
      </c>
      <c r="B224" t="s">
        <v>536</v>
      </c>
      <c r="C224">
        <v>143</v>
      </c>
      <c r="D224" t="s">
        <v>14</v>
      </c>
      <c r="E224" t="s">
        <v>570</v>
      </c>
      <c r="F224" s="3" t="s">
        <v>601</v>
      </c>
      <c r="G224">
        <v>20018</v>
      </c>
      <c r="H224" t="s">
        <v>219</v>
      </c>
      <c r="I224" t="s">
        <v>222</v>
      </c>
      <c r="J224" t="s">
        <v>603</v>
      </c>
      <c r="K224" t="s">
        <v>95</v>
      </c>
      <c r="L224" t="s">
        <v>95</v>
      </c>
      <c r="M224" t="s">
        <v>477</v>
      </c>
      <c r="N224" t="s">
        <v>477</v>
      </c>
      <c r="O224">
        <v>172</v>
      </c>
      <c r="P224" s="7">
        <v>7297</v>
      </c>
      <c r="Q224">
        <v>0.26</v>
      </c>
      <c r="R224">
        <v>1.42</v>
      </c>
      <c r="S224" s="5">
        <f>O224/730</f>
        <v>0.23561643835616439</v>
      </c>
      <c r="T224" t="s">
        <v>16</v>
      </c>
      <c r="U224" t="s">
        <v>16</v>
      </c>
    </row>
    <row r="225" spans="1:21" x14ac:dyDescent="0.3">
      <c r="A225" t="s">
        <v>27</v>
      </c>
      <c r="B225" t="s">
        <v>536</v>
      </c>
      <c r="C225">
        <v>143</v>
      </c>
      <c r="D225" t="s">
        <v>14</v>
      </c>
      <c r="E225" t="s">
        <v>570</v>
      </c>
      <c r="F225" s="3" t="s">
        <v>601</v>
      </c>
      <c r="G225">
        <v>20018</v>
      </c>
      <c r="H225" t="s">
        <v>219</v>
      </c>
      <c r="I225" t="s">
        <v>220</v>
      </c>
      <c r="J225" t="s">
        <v>477</v>
      </c>
      <c r="K225" t="s">
        <v>95</v>
      </c>
      <c r="L225" t="s">
        <v>95</v>
      </c>
      <c r="M225" t="s">
        <v>604</v>
      </c>
      <c r="N225" t="s">
        <v>477</v>
      </c>
      <c r="O225">
        <v>128</v>
      </c>
      <c r="P225" s="7">
        <v>4286</v>
      </c>
      <c r="Q225">
        <v>0.08</v>
      </c>
      <c r="R225">
        <v>1.33</v>
      </c>
      <c r="S225" s="5">
        <f>O225/730</f>
        <v>0.17534246575342466</v>
      </c>
      <c r="T225" t="s">
        <v>16</v>
      </c>
      <c r="U225" t="s">
        <v>16</v>
      </c>
    </row>
    <row r="226" spans="1:21" x14ac:dyDescent="0.3">
      <c r="A226" t="s">
        <v>27</v>
      </c>
      <c r="B226" t="s">
        <v>536</v>
      </c>
      <c r="C226">
        <v>143</v>
      </c>
      <c r="D226" t="s">
        <v>14</v>
      </c>
      <c r="E226" t="s">
        <v>570</v>
      </c>
      <c r="F226" s="3" t="s">
        <v>601</v>
      </c>
      <c r="G226">
        <v>20018</v>
      </c>
      <c r="H226" t="s">
        <v>219</v>
      </c>
      <c r="I226" t="s">
        <v>605</v>
      </c>
      <c r="J226" t="s">
        <v>477</v>
      </c>
      <c r="K226" t="s">
        <v>95</v>
      </c>
      <c r="L226" t="s">
        <v>95</v>
      </c>
      <c r="M226" t="s">
        <v>95</v>
      </c>
      <c r="N226" t="s">
        <v>606</v>
      </c>
      <c r="O226">
        <v>65</v>
      </c>
      <c r="P226" s="7">
        <v>5284</v>
      </c>
      <c r="Q226">
        <v>0.18</v>
      </c>
      <c r="R226">
        <v>1.81</v>
      </c>
      <c r="S226" s="5">
        <f>O226/730</f>
        <v>8.9041095890410954E-2</v>
      </c>
      <c r="T226" t="s">
        <v>16</v>
      </c>
      <c r="U226" t="s">
        <v>16</v>
      </c>
    </row>
    <row r="227" spans="1:21" x14ac:dyDescent="0.3">
      <c r="A227" t="s">
        <v>27</v>
      </c>
      <c r="B227" t="s">
        <v>536</v>
      </c>
      <c r="C227">
        <v>143</v>
      </c>
      <c r="D227" t="s">
        <v>14</v>
      </c>
      <c r="E227" t="s">
        <v>570</v>
      </c>
      <c r="F227" s="3" t="s">
        <v>607</v>
      </c>
      <c r="G227">
        <v>20018</v>
      </c>
      <c r="H227" t="s">
        <v>219</v>
      </c>
      <c r="I227" t="s">
        <v>608</v>
      </c>
      <c r="J227" t="s">
        <v>477</v>
      </c>
      <c r="K227" t="s">
        <v>95</v>
      </c>
      <c r="L227" t="s">
        <v>95</v>
      </c>
      <c r="M227" t="s">
        <v>609</v>
      </c>
      <c r="N227" t="s">
        <v>95</v>
      </c>
      <c r="O227">
        <v>376</v>
      </c>
      <c r="P227" s="7">
        <v>12066</v>
      </c>
      <c r="Q227">
        <v>0.11</v>
      </c>
      <c r="R227">
        <v>1.32</v>
      </c>
      <c r="S227" s="5">
        <f>O227/730</f>
        <v>0.51506849315068493</v>
      </c>
      <c r="T227" t="s">
        <v>16</v>
      </c>
      <c r="U227" t="s">
        <v>16</v>
      </c>
    </row>
    <row r="228" spans="1:21" x14ac:dyDescent="0.3">
      <c r="A228" t="s">
        <v>27</v>
      </c>
      <c r="B228" t="s">
        <v>536</v>
      </c>
      <c r="C228">
        <v>143</v>
      </c>
      <c r="D228" t="s">
        <v>14</v>
      </c>
      <c r="E228" t="s">
        <v>570</v>
      </c>
      <c r="F228" s="3" t="s">
        <v>607</v>
      </c>
      <c r="G228">
        <v>20018</v>
      </c>
      <c r="H228" t="s">
        <v>219</v>
      </c>
      <c r="I228" t="s">
        <v>220</v>
      </c>
      <c r="J228" t="s">
        <v>477</v>
      </c>
      <c r="K228" t="s">
        <v>610</v>
      </c>
      <c r="L228" t="s">
        <v>95</v>
      </c>
      <c r="M228" t="s">
        <v>95</v>
      </c>
      <c r="N228" t="s">
        <v>95</v>
      </c>
      <c r="O228">
        <v>39</v>
      </c>
      <c r="P228" s="7">
        <v>6729</v>
      </c>
      <c r="Q228">
        <v>7.0000000000000007E-2</v>
      </c>
      <c r="R228">
        <v>2.72</v>
      </c>
      <c r="S228" s="5">
        <f>O228/730</f>
        <v>5.3424657534246578E-2</v>
      </c>
      <c r="T228" t="s">
        <v>16</v>
      </c>
      <c r="U228" t="s">
        <v>16</v>
      </c>
    </row>
    <row r="229" spans="1:21" x14ac:dyDescent="0.3">
      <c r="A229" t="s">
        <v>27</v>
      </c>
      <c r="B229" t="s">
        <v>536</v>
      </c>
      <c r="C229">
        <v>143</v>
      </c>
      <c r="D229" t="s">
        <v>14</v>
      </c>
      <c r="E229" t="s">
        <v>570</v>
      </c>
      <c r="F229" s="3" t="s">
        <v>607</v>
      </c>
      <c r="G229">
        <v>20018</v>
      </c>
      <c r="H229" t="s">
        <v>219</v>
      </c>
      <c r="I229" t="s">
        <v>221</v>
      </c>
      <c r="J229" t="s">
        <v>477</v>
      </c>
      <c r="K229" t="s">
        <v>95</v>
      </c>
      <c r="L229" t="s">
        <v>95</v>
      </c>
      <c r="M229" t="s">
        <v>611</v>
      </c>
      <c r="N229" t="s">
        <v>95</v>
      </c>
      <c r="O229">
        <v>21</v>
      </c>
      <c r="P229" s="7">
        <v>2485</v>
      </c>
      <c r="Q229">
        <v>0.52</v>
      </c>
      <c r="R229">
        <v>2.1800000000000002</v>
      </c>
      <c r="S229" s="5">
        <f>O229/730</f>
        <v>2.8767123287671233E-2</v>
      </c>
      <c r="T229" t="s">
        <v>16</v>
      </c>
      <c r="U229" t="s">
        <v>16</v>
      </c>
    </row>
    <row r="230" spans="1:21" x14ac:dyDescent="0.3">
      <c r="A230" t="s">
        <v>27</v>
      </c>
      <c r="B230" t="s">
        <v>536</v>
      </c>
      <c r="C230">
        <v>143</v>
      </c>
      <c r="D230" t="s">
        <v>14</v>
      </c>
      <c r="E230" t="s">
        <v>570</v>
      </c>
      <c r="F230" s="3" t="s">
        <v>612</v>
      </c>
      <c r="G230">
        <v>20018</v>
      </c>
      <c r="H230" t="s">
        <v>219</v>
      </c>
      <c r="I230" t="s">
        <v>507</v>
      </c>
      <c r="J230" t="s">
        <v>477</v>
      </c>
      <c r="K230" t="s">
        <v>613</v>
      </c>
      <c r="L230" t="s">
        <v>95</v>
      </c>
      <c r="M230" t="s">
        <v>95</v>
      </c>
      <c r="N230" t="s">
        <v>95</v>
      </c>
      <c r="O230">
        <v>276</v>
      </c>
      <c r="P230" s="7">
        <v>4208</v>
      </c>
      <c r="Q230">
        <v>0.1</v>
      </c>
      <c r="R230">
        <v>1.1499999999999999</v>
      </c>
      <c r="S230" s="5">
        <f>O230/730</f>
        <v>0.37808219178082192</v>
      </c>
      <c r="T230" t="s">
        <v>16</v>
      </c>
      <c r="U230" t="s">
        <v>16</v>
      </c>
    </row>
    <row r="231" spans="1:21" x14ac:dyDescent="0.3">
      <c r="A231" t="s">
        <v>27</v>
      </c>
      <c r="B231" t="s">
        <v>536</v>
      </c>
      <c r="C231">
        <v>143</v>
      </c>
      <c r="D231" t="s">
        <v>14</v>
      </c>
      <c r="E231" t="s">
        <v>570</v>
      </c>
      <c r="F231" s="3" t="s">
        <v>612</v>
      </c>
      <c r="G231">
        <v>20018</v>
      </c>
      <c r="H231" t="s">
        <v>219</v>
      </c>
      <c r="I231" t="s">
        <v>220</v>
      </c>
      <c r="J231" t="s">
        <v>477</v>
      </c>
      <c r="K231" t="s">
        <v>344</v>
      </c>
      <c r="L231" t="s">
        <v>614</v>
      </c>
      <c r="M231" t="s">
        <v>95</v>
      </c>
      <c r="N231" t="s">
        <v>95</v>
      </c>
      <c r="O231">
        <v>71</v>
      </c>
      <c r="P231" s="7">
        <v>5545</v>
      </c>
      <c r="Q231">
        <v>0.11</v>
      </c>
      <c r="R231">
        <v>1.78</v>
      </c>
      <c r="S231" s="5">
        <f>O231/730</f>
        <v>9.7260273972602743E-2</v>
      </c>
      <c r="T231" t="s">
        <v>16</v>
      </c>
      <c r="U231" t="s">
        <v>16</v>
      </c>
    </row>
    <row r="232" spans="1:21" x14ac:dyDescent="0.3">
      <c r="A232" t="s">
        <v>27</v>
      </c>
      <c r="B232" t="s">
        <v>536</v>
      </c>
      <c r="C232">
        <v>143</v>
      </c>
      <c r="D232" t="s">
        <v>14</v>
      </c>
      <c r="E232" t="s">
        <v>570</v>
      </c>
      <c r="F232" s="3" t="s">
        <v>615</v>
      </c>
      <c r="G232">
        <v>20018</v>
      </c>
      <c r="H232" t="s">
        <v>219</v>
      </c>
      <c r="I232" t="s">
        <v>591</v>
      </c>
      <c r="J232" t="s">
        <v>477</v>
      </c>
      <c r="K232" t="s">
        <v>344</v>
      </c>
      <c r="L232" t="s">
        <v>95</v>
      </c>
      <c r="M232" t="s">
        <v>616</v>
      </c>
      <c r="N232" t="s">
        <v>95</v>
      </c>
      <c r="O232">
        <v>338</v>
      </c>
      <c r="P232" s="7">
        <v>5074</v>
      </c>
      <c r="Q232">
        <v>0.12</v>
      </c>
      <c r="R232">
        <v>1.1499999999999999</v>
      </c>
      <c r="S232" s="5">
        <f>O232/730</f>
        <v>0.46301369863013697</v>
      </c>
      <c r="T232" t="s">
        <v>16</v>
      </c>
      <c r="U232" t="s">
        <v>16</v>
      </c>
    </row>
    <row r="233" spans="1:21" x14ac:dyDescent="0.3">
      <c r="A233" t="s">
        <v>27</v>
      </c>
      <c r="B233" t="s">
        <v>536</v>
      </c>
      <c r="C233">
        <v>143</v>
      </c>
      <c r="D233" t="s">
        <v>14</v>
      </c>
      <c r="E233" t="s">
        <v>570</v>
      </c>
      <c r="F233" s="3" t="s">
        <v>615</v>
      </c>
      <c r="G233">
        <v>20018</v>
      </c>
      <c r="H233" t="s">
        <v>219</v>
      </c>
      <c r="I233" t="s">
        <v>617</v>
      </c>
      <c r="J233" t="s">
        <v>477</v>
      </c>
      <c r="K233" t="s">
        <v>344</v>
      </c>
      <c r="L233" t="s">
        <v>618</v>
      </c>
      <c r="M233" t="s">
        <v>95</v>
      </c>
      <c r="N233" t="s">
        <v>95</v>
      </c>
      <c r="O233">
        <v>541</v>
      </c>
      <c r="P233" s="7">
        <v>7244</v>
      </c>
      <c r="Q233">
        <v>0.11</v>
      </c>
      <c r="R233">
        <v>1.1299999999999999</v>
      </c>
      <c r="S233" s="5">
        <f>O233/730</f>
        <v>0.74109589041095891</v>
      </c>
      <c r="T233" t="s">
        <v>16</v>
      </c>
      <c r="U233" t="s">
        <v>16</v>
      </c>
    </row>
    <row r="234" spans="1:21" x14ac:dyDescent="0.3">
      <c r="A234" t="s">
        <v>27</v>
      </c>
      <c r="B234" t="s">
        <v>536</v>
      </c>
      <c r="C234">
        <v>143</v>
      </c>
      <c r="D234" t="s">
        <v>14</v>
      </c>
      <c r="E234" t="s">
        <v>570</v>
      </c>
      <c r="F234" s="3" t="s">
        <v>615</v>
      </c>
      <c r="G234">
        <v>20018</v>
      </c>
      <c r="H234" t="s">
        <v>219</v>
      </c>
      <c r="I234" t="s">
        <v>221</v>
      </c>
      <c r="J234" t="s">
        <v>477</v>
      </c>
      <c r="K234" t="s">
        <v>344</v>
      </c>
      <c r="L234" t="s">
        <v>619</v>
      </c>
      <c r="M234" t="s">
        <v>95</v>
      </c>
      <c r="N234" t="s">
        <v>95</v>
      </c>
      <c r="O234">
        <v>35</v>
      </c>
      <c r="P234" s="7">
        <v>3509</v>
      </c>
      <c r="Q234">
        <v>0.2</v>
      </c>
      <c r="R234">
        <v>2</v>
      </c>
      <c r="S234" s="5">
        <f>O234/730</f>
        <v>4.7945205479452052E-2</v>
      </c>
      <c r="T234" t="s">
        <v>16</v>
      </c>
      <c r="U234" t="s">
        <v>16</v>
      </c>
    </row>
    <row r="235" spans="1:21" x14ac:dyDescent="0.3">
      <c r="A235" t="s">
        <v>27</v>
      </c>
      <c r="B235" t="s">
        <v>536</v>
      </c>
      <c r="C235">
        <v>143</v>
      </c>
      <c r="D235" t="s">
        <v>14</v>
      </c>
      <c r="E235" t="s">
        <v>570</v>
      </c>
      <c r="F235" s="3" t="s">
        <v>620</v>
      </c>
      <c r="G235">
        <v>20018</v>
      </c>
      <c r="H235" t="s">
        <v>219</v>
      </c>
      <c r="I235" t="s">
        <v>591</v>
      </c>
      <c r="J235" t="s">
        <v>477</v>
      </c>
      <c r="K235" t="s">
        <v>344</v>
      </c>
      <c r="L235" t="s">
        <v>95</v>
      </c>
      <c r="M235" t="s">
        <v>95</v>
      </c>
      <c r="N235" t="s">
        <v>349</v>
      </c>
      <c r="O235">
        <v>175</v>
      </c>
      <c r="P235" s="7">
        <v>3931</v>
      </c>
      <c r="Q235">
        <v>0.13</v>
      </c>
      <c r="R235">
        <v>1.22</v>
      </c>
      <c r="S235" s="5">
        <f>O235/730</f>
        <v>0.23972602739726026</v>
      </c>
      <c r="T235" t="s">
        <v>16</v>
      </c>
      <c r="U235" t="s">
        <v>16</v>
      </c>
    </row>
    <row r="236" spans="1:21" x14ac:dyDescent="0.3">
      <c r="A236" t="s">
        <v>27</v>
      </c>
      <c r="B236" t="s">
        <v>536</v>
      </c>
      <c r="C236">
        <v>143</v>
      </c>
      <c r="D236" t="s">
        <v>14</v>
      </c>
      <c r="E236" t="s">
        <v>570</v>
      </c>
      <c r="F236" s="3" t="s">
        <v>620</v>
      </c>
      <c r="G236">
        <v>20018</v>
      </c>
      <c r="H236" t="s">
        <v>219</v>
      </c>
      <c r="I236" t="s">
        <v>222</v>
      </c>
      <c r="J236" t="s">
        <v>477</v>
      </c>
      <c r="K236" t="s">
        <v>621</v>
      </c>
      <c r="L236" t="s">
        <v>95</v>
      </c>
      <c r="M236" t="s">
        <v>95</v>
      </c>
      <c r="N236" t="s">
        <v>95</v>
      </c>
      <c r="O236">
        <v>326</v>
      </c>
      <c r="P236" s="7">
        <v>13996</v>
      </c>
      <c r="Q236">
        <v>0.12</v>
      </c>
      <c r="R236">
        <v>1.42</v>
      </c>
      <c r="S236" s="5">
        <f>O236/730</f>
        <v>0.44657534246575342</v>
      </c>
      <c r="T236" t="s">
        <v>16</v>
      </c>
      <c r="U236" t="s">
        <v>16</v>
      </c>
    </row>
    <row r="237" spans="1:21" x14ac:dyDescent="0.3">
      <c r="A237" t="s">
        <v>27</v>
      </c>
      <c r="B237" t="s">
        <v>536</v>
      </c>
      <c r="C237">
        <v>143</v>
      </c>
      <c r="D237" t="s">
        <v>14</v>
      </c>
      <c r="E237" t="s">
        <v>570</v>
      </c>
      <c r="F237" s="3" t="s">
        <v>622</v>
      </c>
      <c r="G237">
        <v>20018</v>
      </c>
      <c r="H237" t="s">
        <v>219</v>
      </c>
      <c r="I237" t="s">
        <v>623</v>
      </c>
      <c r="J237" t="s">
        <v>624</v>
      </c>
      <c r="K237" t="s">
        <v>449</v>
      </c>
      <c r="L237" t="s">
        <v>95</v>
      </c>
      <c r="M237" t="s">
        <v>95</v>
      </c>
      <c r="N237" t="s">
        <v>95</v>
      </c>
      <c r="O237">
        <v>372</v>
      </c>
      <c r="P237" s="7">
        <v>4317</v>
      </c>
      <c r="Q237">
        <v>0.14000000000000001</v>
      </c>
      <c r="R237">
        <v>1.1100000000000001</v>
      </c>
      <c r="S237" s="5">
        <f>O237/730</f>
        <v>0.50958904109589043</v>
      </c>
      <c r="T237" t="s">
        <v>16</v>
      </c>
      <c r="U237" t="s">
        <v>16</v>
      </c>
    </row>
    <row r="238" spans="1:21" x14ac:dyDescent="0.3">
      <c r="A238" t="s">
        <v>27</v>
      </c>
      <c r="B238" t="s">
        <v>536</v>
      </c>
      <c r="C238">
        <v>143</v>
      </c>
      <c r="D238" t="s">
        <v>14</v>
      </c>
      <c r="E238" t="s">
        <v>570</v>
      </c>
      <c r="F238" s="3" t="s">
        <v>622</v>
      </c>
      <c r="G238">
        <v>20018</v>
      </c>
      <c r="H238" t="s">
        <v>219</v>
      </c>
      <c r="I238" t="s">
        <v>221</v>
      </c>
      <c r="J238" t="s">
        <v>387</v>
      </c>
      <c r="K238" t="s">
        <v>449</v>
      </c>
      <c r="L238" t="s">
        <v>95</v>
      </c>
      <c r="M238" t="s">
        <v>95</v>
      </c>
      <c r="N238" t="s">
        <v>625</v>
      </c>
      <c r="O238">
        <v>20</v>
      </c>
      <c r="P238" s="7">
        <v>1600</v>
      </c>
      <c r="Q238">
        <v>0.2</v>
      </c>
      <c r="R238">
        <v>1.1000000000000001</v>
      </c>
      <c r="S238" s="5">
        <f>O238/730</f>
        <v>2.7397260273972601E-2</v>
      </c>
      <c r="T238" t="s">
        <v>16</v>
      </c>
      <c r="U238" t="s">
        <v>16</v>
      </c>
    </row>
    <row r="239" spans="1:21" x14ac:dyDescent="0.3">
      <c r="A239" t="s">
        <v>27</v>
      </c>
      <c r="B239" t="s">
        <v>536</v>
      </c>
      <c r="C239">
        <v>143</v>
      </c>
      <c r="D239" t="s">
        <v>14</v>
      </c>
      <c r="E239" t="s">
        <v>570</v>
      </c>
      <c r="F239" s="3" t="s">
        <v>626</v>
      </c>
      <c r="G239">
        <v>20018</v>
      </c>
      <c r="H239" t="s">
        <v>219</v>
      </c>
      <c r="I239" t="s">
        <v>507</v>
      </c>
      <c r="J239" t="s">
        <v>387</v>
      </c>
      <c r="K239" t="s">
        <v>449</v>
      </c>
      <c r="L239" t="s">
        <v>628</v>
      </c>
      <c r="M239" t="s">
        <v>95</v>
      </c>
      <c r="N239" t="s">
        <v>627</v>
      </c>
      <c r="O239">
        <v>338</v>
      </c>
      <c r="P239" s="7">
        <v>7156</v>
      </c>
      <c r="Q239">
        <v>0.12</v>
      </c>
      <c r="R239">
        <v>1.21</v>
      </c>
      <c r="S239" s="5">
        <f>O239/730</f>
        <v>0.46301369863013697</v>
      </c>
      <c r="T239" t="s">
        <v>16</v>
      </c>
      <c r="U239" t="s">
        <v>16</v>
      </c>
    </row>
    <row r="240" spans="1:21" x14ac:dyDescent="0.3">
      <c r="A240" t="s">
        <v>27</v>
      </c>
      <c r="B240" t="s">
        <v>536</v>
      </c>
      <c r="C240">
        <v>143</v>
      </c>
      <c r="D240" t="s">
        <v>14</v>
      </c>
      <c r="E240" t="s">
        <v>570</v>
      </c>
      <c r="F240" s="3" t="s">
        <v>626</v>
      </c>
      <c r="G240">
        <v>20018</v>
      </c>
      <c r="H240" t="s">
        <v>219</v>
      </c>
      <c r="I240" t="s">
        <v>605</v>
      </c>
      <c r="J240" t="s">
        <v>629</v>
      </c>
      <c r="K240" t="s">
        <v>449</v>
      </c>
      <c r="L240" t="s">
        <v>95</v>
      </c>
      <c r="M240" t="s">
        <v>95</v>
      </c>
      <c r="N240" t="s">
        <v>627</v>
      </c>
      <c r="O240">
        <v>22</v>
      </c>
      <c r="P240" s="7">
        <v>1890</v>
      </c>
      <c r="Q240">
        <v>0.18</v>
      </c>
      <c r="R240">
        <v>1.85</v>
      </c>
      <c r="S240" s="5">
        <f>O240/730</f>
        <v>3.0136986301369864E-2</v>
      </c>
      <c r="T240" t="s">
        <v>16</v>
      </c>
      <c r="U240" t="s">
        <v>16</v>
      </c>
    </row>
    <row r="241" spans="1:21" x14ac:dyDescent="0.3">
      <c r="A241" t="s">
        <v>27</v>
      </c>
      <c r="B241" t="s">
        <v>536</v>
      </c>
      <c r="C241">
        <v>143</v>
      </c>
      <c r="D241" t="s">
        <v>14</v>
      </c>
      <c r="E241" t="s">
        <v>570</v>
      </c>
      <c r="F241" s="3" t="s">
        <v>196</v>
      </c>
      <c r="G241">
        <v>20018</v>
      </c>
      <c r="H241" t="s">
        <v>219</v>
      </c>
      <c r="I241" t="s">
        <v>630</v>
      </c>
      <c r="J241" t="s">
        <v>95</v>
      </c>
      <c r="K241" t="s">
        <v>449</v>
      </c>
      <c r="L241" t="s">
        <v>631</v>
      </c>
      <c r="M241" t="s">
        <v>95</v>
      </c>
      <c r="N241" t="s">
        <v>627</v>
      </c>
      <c r="O241">
        <v>84</v>
      </c>
      <c r="P241" s="7">
        <v>8864</v>
      </c>
      <c r="Q241">
        <v>0.14000000000000001</v>
      </c>
      <c r="R241">
        <v>2.0499999999999998</v>
      </c>
      <c r="S241" s="5">
        <f>O241/730</f>
        <v>0.11506849315068493</v>
      </c>
      <c r="T241" t="s">
        <v>16</v>
      </c>
      <c r="U241" t="s">
        <v>16</v>
      </c>
    </row>
    <row r="242" spans="1:21" x14ac:dyDescent="0.3">
      <c r="A242" t="s">
        <v>27</v>
      </c>
      <c r="B242" t="s">
        <v>536</v>
      </c>
      <c r="C242">
        <v>143</v>
      </c>
      <c r="D242" t="s">
        <v>14</v>
      </c>
      <c r="E242" t="s">
        <v>570</v>
      </c>
      <c r="F242" s="3" t="s">
        <v>196</v>
      </c>
      <c r="G242">
        <v>20018</v>
      </c>
      <c r="H242" t="s">
        <v>219</v>
      </c>
      <c r="I242" t="s">
        <v>632</v>
      </c>
      <c r="J242" t="s">
        <v>95</v>
      </c>
      <c r="K242" t="s">
        <v>449</v>
      </c>
      <c r="L242" t="s">
        <v>95</v>
      </c>
      <c r="M242" t="s">
        <v>95</v>
      </c>
      <c r="N242" t="s">
        <v>633</v>
      </c>
      <c r="O242">
        <v>113</v>
      </c>
      <c r="P242" s="7">
        <v>9517</v>
      </c>
      <c r="Q242">
        <v>0.11</v>
      </c>
      <c r="R242">
        <v>1.84</v>
      </c>
      <c r="S242" s="5">
        <f>O242/730</f>
        <v>0.15479452054794521</v>
      </c>
      <c r="T242" t="s">
        <v>16</v>
      </c>
      <c r="U242" t="s">
        <v>16</v>
      </c>
    </row>
    <row r="243" spans="1:21" x14ac:dyDescent="0.3">
      <c r="A243" t="s">
        <v>27</v>
      </c>
      <c r="B243" t="s">
        <v>536</v>
      </c>
      <c r="C243">
        <v>143</v>
      </c>
      <c r="D243" t="s">
        <v>14</v>
      </c>
      <c r="E243" t="s">
        <v>570</v>
      </c>
      <c r="F243" s="3" t="s">
        <v>634</v>
      </c>
      <c r="G243">
        <v>20018</v>
      </c>
      <c r="H243" t="s">
        <v>219</v>
      </c>
      <c r="I243" t="s">
        <v>632</v>
      </c>
      <c r="J243" t="s">
        <v>95</v>
      </c>
      <c r="K243" t="s">
        <v>635</v>
      </c>
      <c r="L243" t="s">
        <v>95</v>
      </c>
      <c r="M243" t="s">
        <v>95</v>
      </c>
      <c r="N243" t="s">
        <v>95</v>
      </c>
      <c r="O243">
        <v>98</v>
      </c>
      <c r="P243" s="7">
        <v>7408</v>
      </c>
      <c r="Q243">
        <v>0.09</v>
      </c>
      <c r="R243">
        <v>1.75</v>
      </c>
      <c r="S243" s="5">
        <f>O243/730</f>
        <v>0.13424657534246576</v>
      </c>
      <c r="T243" t="s">
        <v>16</v>
      </c>
      <c r="U243" t="s">
        <v>16</v>
      </c>
    </row>
    <row r="244" spans="1:21" x14ac:dyDescent="0.3">
      <c r="A244" t="s">
        <v>27</v>
      </c>
      <c r="B244" t="s">
        <v>536</v>
      </c>
      <c r="C244">
        <v>143</v>
      </c>
      <c r="D244" t="s">
        <v>14</v>
      </c>
      <c r="E244" t="s">
        <v>570</v>
      </c>
      <c r="F244" s="3" t="s">
        <v>636</v>
      </c>
      <c r="G244">
        <v>20018</v>
      </c>
      <c r="H244" t="s">
        <v>219</v>
      </c>
      <c r="I244" t="s">
        <v>632</v>
      </c>
      <c r="J244" t="s">
        <v>95</v>
      </c>
      <c r="K244" t="s">
        <v>95</v>
      </c>
      <c r="L244" t="s">
        <v>637</v>
      </c>
      <c r="M244" t="s">
        <v>95</v>
      </c>
      <c r="N244" t="s">
        <v>95</v>
      </c>
      <c r="O244">
        <v>45</v>
      </c>
      <c r="P244" s="7">
        <v>4937</v>
      </c>
      <c r="Q244">
        <v>0.13</v>
      </c>
      <c r="R244">
        <v>2.09</v>
      </c>
      <c r="S244" s="5">
        <f>O244/730</f>
        <v>6.1643835616438353E-2</v>
      </c>
      <c r="T244" t="s">
        <v>16</v>
      </c>
      <c r="U244" t="s">
        <v>16</v>
      </c>
    </row>
    <row r="245" spans="1:21" x14ac:dyDescent="0.3">
      <c r="A245" t="s">
        <v>27</v>
      </c>
      <c r="B245" t="s">
        <v>47</v>
      </c>
      <c r="C245">
        <v>143</v>
      </c>
      <c r="D245" t="s">
        <v>14</v>
      </c>
      <c r="E245" t="s">
        <v>570</v>
      </c>
      <c r="F245" s="3" t="s">
        <v>638</v>
      </c>
      <c r="G245">
        <v>20018</v>
      </c>
      <c r="H245" t="s">
        <v>219</v>
      </c>
      <c r="I245" t="s">
        <v>225</v>
      </c>
      <c r="J245" t="s">
        <v>95</v>
      </c>
      <c r="K245" t="s">
        <v>95</v>
      </c>
      <c r="L245" t="s">
        <v>95</v>
      </c>
      <c r="M245" t="s">
        <v>639</v>
      </c>
      <c r="N245" t="s">
        <v>95</v>
      </c>
      <c r="O245">
        <v>41</v>
      </c>
      <c r="P245" s="7">
        <v>2887</v>
      </c>
      <c r="Q245">
        <v>0.19</v>
      </c>
      <c r="R245">
        <v>1.7</v>
      </c>
      <c r="S245" s="5">
        <f>O245/730</f>
        <v>5.6164383561643834E-2</v>
      </c>
      <c r="T245" t="s">
        <v>16</v>
      </c>
      <c r="U245" t="s">
        <v>16</v>
      </c>
    </row>
    <row r="246" spans="1:21" x14ac:dyDescent="0.3">
      <c r="A246" t="s">
        <v>27</v>
      </c>
      <c r="B246" t="s">
        <v>642</v>
      </c>
      <c r="C246">
        <v>143</v>
      </c>
      <c r="D246" t="s">
        <v>14</v>
      </c>
      <c r="E246" t="s">
        <v>570</v>
      </c>
      <c r="F246" s="3" t="s">
        <v>638</v>
      </c>
      <c r="G246">
        <v>20018</v>
      </c>
      <c r="H246" t="s">
        <v>219</v>
      </c>
      <c r="I246" t="s">
        <v>220</v>
      </c>
      <c r="J246" t="s">
        <v>641</v>
      </c>
      <c r="K246" t="s">
        <v>95</v>
      </c>
      <c r="L246" t="s">
        <v>95</v>
      </c>
      <c r="M246" t="s">
        <v>640</v>
      </c>
      <c r="N246" t="s">
        <v>95</v>
      </c>
      <c r="O246">
        <v>51</v>
      </c>
      <c r="P246" s="7">
        <v>3988</v>
      </c>
      <c r="Q246">
        <v>0.13</v>
      </c>
      <c r="R246">
        <v>1.78</v>
      </c>
      <c r="S246" s="5">
        <f>O246/730</f>
        <v>6.9863013698630141E-2</v>
      </c>
      <c r="T246" t="s">
        <v>16</v>
      </c>
      <c r="U246" t="s">
        <v>16</v>
      </c>
    </row>
    <row r="247" spans="1:21" x14ac:dyDescent="0.3">
      <c r="A247" t="s">
        <v>27</v>
      </c>
      <c r="B247" t="s">
        <v>68</v>
      </c>
      <c r="C247">
        <v>143</v>
      </c>
      <c r="D247" t="s">
        <v>14</v>
      </c>
      <c r="E247" t="s">
        <v>570</v>
      </c>
      <c r="F247" s="3" t="s">
        <v>198</v>
      </c>
      <c r="G247">
        <v>20018</v>
      </c>
      <c r="H247" t="s">
        <v>219</v>
      </c>
      <c r="I247" t="s">
        <v>630</v>
      </c>
      <c r="J247" t="s">
        <v>640</v>
      </c>
      <c r="K247" t="s">
        <v>95</v>
      </c>
      <c r="L247" t="s">
        <v>643</v>
      </c>
      <c r="M247" t="s">
        <v>640</v>
      </c>
      <c r="N247" t="s">
        <v>95</v>
      </c>
      <c r="O247">
        <v>60</v>
      </c>
      <c r="P247" s="7">
        <v>3414</v>
      </c>
      <c r="Q247">
        <v>0.18</v>
      </c>
      <c r="R247">
        <v>1.56</v>
      </c>
      <c r="S247" s="5">
        <f>O247/730</f>
        <v>8.2191780821917804E-2</v>
      </c>
      <c r="T247" t="s">
        <v>16</v>
      </c>
      <c r="U247" t="s">
        <v>16</v>
      </c>
    </row>
    <row r="248" spans="1:21" x14ac:dyDescent="0.3">
      <c r="A248" t="s">
        <v>27</v>
      </c>
      <c r="B248" t="s">
        <v>68</v>
      </c>
      <c r="C248">
        <v>143</v>
      </c>
      <c r="D248" t="s">
        <v>14</v>
      </c>
      <c r="E248" t="s">
        <v>570</v>
      </c>
      <c r="F248" s="3" t="s">
        <v>198</v>
      </c>
      <c r="G248">
        <v>20018</v>
      </c>
      <c r="H248" t="s">
        <v>219</v>
      </c>
      <c r="I248" t="s">
        <v>644</v>
      </c>
      <c r="J248" t="s">
        <v>640</v>
      </c>
      <c r="K248" t="s">
        <v>645</v>
      </c>
      <c r="L248" t="s">
        <v>95</v>
      </c>
      <c r="M248" t="s">
        <v>640</v>
      </c>
      <c r="N248" t="s">
        <v>95</v>
      </c>
      <c r="O248">
        <v>242</v>
      </c>
      <c r="P248" s="7">
        <v>8553</v>
      </c>
      <c r="Q248">
        <v>0.16</v>
      </c>
      <c r="R248">
        <v>1.35</v>
      </c>
      <c r="S248" s="5">
        <f>O248/730</f>
        <v>0.33150684931506852</v>
      </c>
      <c r="T248" t="s">
        <v>16</v>
      </c>
      <c r="U248" t="s">
        <v>16</v>
      </c>
    </row>
    <row r="249" spans="1:21" x14ac:dyDescent="0.3">
      <c r="A249" t="s">
        <v>27</v>
      </c>
      <c r="B249" t="s">
        <v>68</v>
      </c>
      <c r="C249">
        <v>143</v>
      </c>
      <c r="D249" t="s">
        <v>14</v>
      </c>
      <c r="E249" t="s">
        <v>570</v>
      </c>
      <c r="F249" s="3" t="s">
        <v>198</v>
      </c>
      <c r="G249">
        <v>20018</v>
      </c>
      <c r="H249" t="s">
        <v>219</v>
      </c>
      <c r="I249" t="s">
        <v>220</v>
      </c>
      <c r="J249" t="s">
        <v>640</v>
      </c>
      <c r="K249" t="s">
        <v>646</v>
      </c>
      <c r="L249" t="s">
        <v>95</v>
      </c>
      <c r="M249" t="s">
        <v>640</v>
      </c>
      <c r="N249" t="s">
        <v>95</v>
      </c>
      <c r="O249">
        <v>37</v>
      </c>
      <c r="P249" s="7">
        <v>5079</v>
      </c>
      <c r="Q249">
        <v>0.13</v>
      </c>
      <c r="R249">
        <v>2.37</v>
      </c>
      <c r="S249" s="5">
        <f>O249/730</f>
        <v>5.0684931506849315E-2</v>
      </c>
      <c r="T249" t="s">
        <v>16</v>
      </c>
      <c r="U249" t="s">
        <v>16</v>
      </c>
    </row>
    <row r="250" spans="1:21" x14ac:dyDescent="0.3">
      <c r="A250" t="s">
        <v>27</v>
      </c>
      <c r="B250" t="s">
        <v>68</v>
      </c>
      <c r="C250">
        <v>143</v>
      </c>
      <c r="D250" t="s">
        <v>14</v>
      </c>
      <c r="E250" t="s">
        <v>570</v>
      </c>
      <c r="F250" s="3" t="s">
        <v>647</v>
      </c>
      <c r="G250">
        <v>20018</v>
      </c>
      <c r="H250" t="s">
        <v>219</v>
      </c>
      <c r="I250" t="s">
        <v>225</v>
      </c>
      <c r="J250" t="s">
        <v>640</v>
      </c>
      <c r="K250" t="s">
        <v>95</v>
      </c>
      <c r="L250" t="s">
        <v>648</v>
      </c>
      <c r="M250" t="s">
        <v>640</v>
      </c>
      <c r="N250" t="s">
        <v>95</v>
      </c>
      <c r="O250">
        <v>40</v>
      </c>
      <c r="P250" s="7">
        <v>2527</v>
      </c>
      <c r="Q250">
        <v>0.2</v>
      </c>
      <c r="R250">
        <v>1.63</v>
      </c>
      <c r="S250" s="5">
        <f>O250/730</f>
        <v>5.4794520547945202E-2</v>
      </c>
      <c r="T250" t="s">
        <v>16</v>
      </c>
      <c r="U250" t="s">
        <v>16</v>
      </c>
    </row>
    <row r="251" spans="1:21" x14ac:dyDescent="0.3">
      <c r="A251" t="s">
        <v>27</v>
      </c>
      <c r="B251" t="s">
        <v>68</v>
      </c>
      <c r="C251">
        <v>143</v>
      </c>
      <c r="D251" t="s">
        <v>14</v>
      </c>
      <c r="E251" t="s">
        <v>570</v>
      </c>
      <c r="F251" s="3" t="s">
        <v>649</v>
      </c>
      <c r="G251">
        <v>20018</v>
      </c>
      <c r="H251" t="s">
        <v>219</v>
      </c>
      <c r="I251" t="s">
        <v>225</v>
      </c>
      <c r="J251" t="s">
        <v>640</v>
      </c>
      <c r="K251" t="s">
        <v>95</v>
      </c>
      <c r="L251" t="s">
        <v>650</v>
      </c>
      <c r="M251" t="s">
        <v>640</v>
      </c>
      <c r="N251" t="s">
        <v>95</v>
      </c>
      <c r="O251">
        <v>221</v>
      </c>
      <c r="P251" s="7">
        <v>4578</v>
      </c>
      <c r="Q251">
        <v>0.22</v>
      </c>
      <c r="R251">
        <v>1.2</v>
      </c>
      <c r="S251" s="5">
        <f>O251/730</f>
        <v>0.30273972602739724</v>
      </c>
      <c r="T251" t="s">
        <v>16</v>
      </c>
      <c r="U251" t="s">
        <v>16</v>
      </c>
    </row>
    <row r="252" spans="1:21" x14ac:dyDescent="0.3">
      <c r="A252" t="s">
        <v>27</v>
      </c>
      <c r="B252" t="s">
        <v>68</v>
      </c>
      <c r="C252">
        <v>143</v>
      </c>
      <c r="D252" t="s">
        <v>14</v>
      </c>
      <c r="E252" t="s">
        <v>570</v>
      </c>
      <c r="F252" s="3" t="s">
        <v>651</v>
      </c>
      <c r="G252">
        <v>20018</v>
      </c>
      <c r="H252" t="s">
        <v>219</v>
      </c>
      <c r="I252" t="s">
        <v>632</v>
      </c>
      <c r="J252" t="s">
        <v>640</v>
      </c>
      <c r="K252" t="s">
        <v>95</v>
      </c>
      <c r="L252" t="s">
        <v>95</v>
      </c>
      <c r="M252" t="s">
        <v>652</v>
      </c>
      <c r="N252" t="s">
        <v>95</v>
      </c>
      <c r="O252">
        <v>98</v>
      </c>
      <c r="P252" s="7">
        <v>7904</v>
      </c>
      <c r="Q252">
        <v>0.08</v>
      </c>
      <c r="R252">
        <v>1.8</v>
      </c>
      <c r="S252" s="5">
        <f>O252/730</f>
        <v>0.13424657534246576</v>
      </c>
      <c r="T252" t="s">
        <v>16</v>
      </c>
      <c r="U252" t="s">
        <v>16</v>
      </c>
    </row>
    <row r="253" spans="1:21" x14ac:dyDescent="0.3">
      <c r="A253" t="s">
        <v>27</v>
      </c>
      <c r="B253" t="s">
        <v>68</v>
      </c>
      <c r="C253">
        <v>143</v>
      </c>
      <c r="D253" t="s">
        <v>14</v>
      </c>
      <c r="E253" t="s">
        <v>570</v>
      </c>
      <c r="F253" s="3" t="s">
        <v>653</v>
      </c>
      <c r="G253">
        <v>20018</v>
      </c>
      <c r="H253" t="s">
        <v>219</v>
      </c>
      <c r="I253" t="s">
        <v>221</v>
      </c>
      <c r="J253" t="s">
        <v>640</v>
      </c>
      <c r="K253" t="s">
        <v>95</v>
      </c>
      <c r="L253" t="s">
        <v>95</v>
      </c>
      <c r="M253" t="s">
        <v>654</v>
      </c>
      <c r="N253" t="s">
        <v>95</v>
      </c>
      <c r="O253">
        <v>42</v>
      </c>
      <c r="P253" s="7">
        <v>3017</v>
      </c>
      <c r="Q253">
        <v>0.21</v>
      </c>
      <c r="R253">
        <v>1.71</v>
      </c>
      <c r="S253" s="5">
        <f>O253/730</f>
        <v>5.7534246575342465E-2</v>
      </c>
      <c r="T253" t="s">
        <v>16</v>
      </c>
      <c r="U253" t="s">
        <v>16</v>
      </c>
    </row>
    <row r="254" spans="1:21" x14ac:dyDescent="0.3">
      <c r="A254" t="s">
        <v>27</v>
      </c>
      <c r="B254" t="s">
        <v>655</v>
      </c>
      <c r="C254">
        <v>143</v>
      </c>
      <c r="D254" t="s">
        <v>14</v>
      </c>
      <c r="E254" t="s">
        <v>570</v>
      </c>
      <c r="F254" s="3" t="s">
        <v>656</v>
      </c>
      <c r="G254">
        <v>20018</v>
      </c>
      <c r="H254" t="s">
        <v>219</v>
      </c>
      <c r="I254" t="s">
        <v>657</v>
      </c>
      <c r="J254" t="s">
        <v>640</v>
      </c>
      <c r="K254" t="s">
        <v>658</v>
      </c>
      <c r="L254" t="s">
        <v>95</v>
      </c>
      <c r="M254" t="s">
        <v>95</v>
      </c>
      <c r="N254" t="s">
        <v>95</v>
      </c>
      <c r="O254">
        <v>63</v>
      </c>
      <c r="P254" s="7">
        <v>2005</v>
      </c>
      <c r="Q254">
        <v>0.17</v>
      </c>
      <c r="R254">
        <v>1.31</v>
      </c>
      <c r="S254" s="5">
        <f>O254/730</f>
        <v>8.6301369863013705E-2</v>
      </c>
      <c r="T254" t="s">
        <v>16</v>
      </c>
      <c r="U254" t="s">
        <v>16</v>
      </c>
    </row>
    <row r="255" spans="1:21" x14ac:dyDescent="0.3">
      <c r="A255" t="s">
        <v>27</v>
      </c>
      <c r="B255" t="s">
        <v>24</v>
      </c>
      <c r="C255">
        <v>143</v>
      </c>
      <c r="D255" t="s">
        <v>14</v>
      </c>
      <c r="E255" t="s">
        <v>570</v>
      </c>
      <c r="F255" s="3" t="s">
        <v>656</v>
      </c>
      <c r="G255">
        <v>20018</v>
      </c>
      <c r="H255" t="s">
        <v>219</v>
      </c>
      <c r="I255" t="s">
        <v>659</v>
      </c>
      <c r="J255" t="s">
        <v>660</v>
      </c>
      <c r="K255" t="s">
        <v>95</v>
      </c>
      <c r="L255" t="s">
        <v>95</v>
      </c>
      <c r="M255" t="s">
        <v>95</v>
      </c>
      <c r="N255" t="s">
        <v>95</v>
      </c>
      <c r="O255">
        <v>40</v>
      </c>
      <c r="P255" s="7">
        <v>2077</v>
      </c>
      <c r="Q255">
        <v>0.22</v>
      </c>
      <c r="R255">
        <v>1.51</v>
      </c>
      <c r="S255" s="5">
        <f>O255/730</f>
        <v>5.4794520547945202E-2</v>
      </c>
      <c r="T255" t="s">
        <v>16</v>
      </c>
      <c r="U255" t="s">
        <v>16</v>
      </c>
    </row>
    <row r="256" spans="1:21" x14ac:dyDescent="0.3">
      <c r="A256" t="s">
        <v>27</v>
      </c>
      <c r="B256" t="s">
        <v>24</v>
      </c>
      <c r="C256">
        <v>143</v>
      </c>
      <c r="D256" t="s">
        <v>14</v>
      </c>
      <c r="E256" t="s">
        <v>570</v>
      </c>
      <c r="F256" s="3" t="s">
        <v>661</v>
      </c>
      <c r="G256">
        <v>20018</v>
      </c>
      <c r="H256" t="s">
        <v>219</v>
      </c>
      <c r="I256" t="s">
        <v>222</v>
      </c>
      <c r="J256" t="s">
        <v>555</v>
      </c>
      <c r="K256" t="s">
        <v>95</v>
      </c>
      <c r="L256" t="s">
        <v>662</v>
      </c>
      <c r="M256" t="s">
        <v>95</v>
      </c>
      <c r="N256" t="s">
        <v>95</v>
      </c>
      <c r="O256">
        <v>26</v>
      </c>
      <c r="P256" s="7">
        <v>2585</v>
      </c>
      <c r="Q256">
        <v>0.38</v>
      </c>
      <c r="R256">
        <v>1.98</v>
      </c>
      <c r="S256" s="5">
        <f>O256/730</f>
        <v>3.5616438356164383E-2</v>
      </c>
      <c r="T256" t="s">
        <v>16</v>
      </c>
      <c r="U256" t="s">
        <v>16</v>
      </c>
    </row>
    <row r="257" spans="1:21" x14ac:dyDescent="0.3">
      <c r="A257" t="s">
        <v>27</v>
      </c>
      <c r="B257" t="s">
        <v>24</v>
      </c>
      <c r="C257">
        <v>143</v>
      </c>
      <c r="D257" t="s">
        <v>14</v>
      </c>
      <c r="E257" t="s">
        <v>570</v>
      </c>
      <c r="F257" s="3" t="s">
        <v>661</v>
      </c>
      <c r="G257">
        <v>20018</v>
      </c>
      <c r="H257" t="s">
        <v>219</v>
      </c>
      <c r="I257" t="s">
        <v>632</v>
      </c>
      <c r="J257" t="s">
        <v>555</v>
      </c>
      <c r="K257" t="s">
        <v>663</v>
      </c>
      <c r="L257" t="s">
        <v>344</v>
      </c>
      <c r="M257" t="s">
        <v>95</v>
      </c>
      <c r="N257" t="s">
        <v>95</v>
      </c>
      <c r="O257">
        <v>109</v>
      </c>
      <c r="P257" s="7">
        <v>6459</v>
      </c>
      <c r="Q257">
        <v>0.08</v>
      </c>
      <c r="R257">
        <v>1.59</v>
      </c>
      <c r="S257" s="5">
        <f>O257/730</f>
        <v>0.14931506849315068</v>
      </c>
      <c r="T257" t="s">
        <v>16</v>
      </c>
      <c r="U257" t="s">
        <v>16</v>
      </c>
    </row>
    <row r="258" spans="1:21" x14ac:dyDescent="0.3">
      <c r="A258" t="s">
        <v>27</v>
      </c>
      <c r="B258" t="s">
        <v>24</v>
      </c>
      <c r="C258">
        <v>143</v>
      </c>
      <c r="D258" t="s">
        <v>14</v>
      </c>
      <c r="E258" t="s">
        <v>570</v>
      </c>
      <c r="F258" s="3" t="s">
        <v>664</v>
      </c>
      <c r="G258">
        <v>20018</v>
      </c>
      <c r="H258" t="s">
        <v>219</v>
      </c>
      <c r="I258" t="s">
        <v>632</v>
      </c>
      <c r="J258" t="s">
        <v>665</v>
      </c>
      <c r="K258" t="s">
        <v>344</v>
      </c>
      <c r="L258" t="s">
        <v>344</v>
      </c>
      <c r="M258" t="s">
        <v>95</v>
      </c>
      <c r="N258" t="s">
        <v>95</v>
      </c>
      <c r="O258">
        <v>84</v>
      </c>
      <c r="P258" s="7">
        <v>5525</v>
      </c>
      <c r="Q258">
        <v>0.15</v>
      </c>
      <c r="R258">
        <v>1.65</v>
      </c>
      <c r="S258" s="5">
        <f>O258/730</f>
        <v>0.11506849315068493</v>
      </c>
      <c r="T258" t="s">
        <v>16</v>
      </c>
      <c r="U258" t="s">
        <v>16</v>
      </c>
    </row>
    <row r="259" spans="1:21" x14ac:dyDescent="0.3">
      <c r="A259" t="s">
        <v>27</v>
      </c>
      <c r="B259" t="s">
        <v>24</v>
      </c>
      <c r="C259">
        <v>143</v>
      </c>
      <c r="D259" t="s">
        <v>14</v>
      </c>
      <c r="E259" t="s">
        <v>570</v>
      </c>
      <c r="F259" s="3" t="s">
        <v>666</v>
      </c>
      <c r="G259">
        <v>20018</v>
      </c>
      <c r="H259" t="s">
        <v>219</v>
      </c>
      <c r="I259" t="s">
        <v>667</v>
      </c>
      <c r="J259" t="s">
        <v>668</v>
      </c>
      <c r="K259" t="s">
        <v>344</v>
      </c>
      <c r="L259" t="s">
        <v>669</v>
      </c>
      <c r="M259" t="s">
        <v>95</v>
      </c>
      <c r="N259" t="s">
        <v>95</v>
      </c>
      <c r="O259">
        <v>20</v>
      </c>
      <c r="P259" s="7">
        <v>837</v>
      </c>
      <c r="Q259">
        <v>0.4</v>
      </c>
      <c r="R259">
        <v>1.41</v>
      </c>
      <c r="S259" s="5">
        <f>O259/730</f>
        <v>2.7397260273972601E-2</v>
      </c>
      <c r="T259" t="s">
        <v>16</v>
      </c>
      <c r="U259" t="s">
        <v>16</v>
      </c>
    </row>
    <row r="260" spans="1:21" x14ac:dyDescent="0.3">
      <c r="A260" t="s">
        <v>27</v>
      </c>
      <c r="B260" t="s">
        <v>24</v>
      </c>
      <c r="C260">
        <v>143</v>
      </c>
      <c r="D260" t="s">
        <v>14</v>
      </c>
      <c r="E260" t="s">
        <v>570</v>
      </c>
      <c r="F260" s="3" t="s">
        <v>670</v>
      </c>
      <c r="G260">
        <v>20018</v>
      </c>
      <c r="H260" t="s">
        <v>219</v>
      </c>
      <c r="I260" t="s">
        <v>632</v>
      </c>
      <c r="J260" t="s">
        <v>671</v>
      </c>
      <c r="K260" t="s">
        <v>344</v>
      </c>
      <c r="L260" t="s">
        <v>95</v>
      </c>
      <c r="M260" t="s">
        <v>95</v>
      </c>
      <c r="N260" t="s">
        <v>95</v>
      </c>
      <c r="O260">
        <v>84</v>
      </c>
      <c r="P260" s="7">
        <v>3303</v>
      </c>
      <c r="Q260">
        <v>0.14000000000000001</v>
      </c>
      <c r="R260">
        <v>1.39</v>
      </c>
      <c r="S260" s="5">
        <f>O260/730</f>
        <v>0.11506849315068493</v>
      </c>
      <c r="T260" t="s">
        <v>16</v>
      </c>
      <c r="U260" t="s">
        <v>16</v>
      </c>
    </row>
    <row r="261" spans="1:21" x14ac:dyDescent="0.3">
      <c r="A261" t="s">
        <v>27</v>
      </c>
      <c r="B261" t="s">
        <v>24</v>
      </c>
      <c r="C261">
        <v>143</v>
      </c>
      <c r="D261" t="s">
        <v>14</v>
      </c>
      <c r="E261" t="s">
        <v>570</v>
      </c>
      <c r="F261" s="3" t="s">
        <v>672</v>
      </c>
      <c r="G261">
        <v>20018</v>
      </c>
      <c r="H261" t="s">
        <v>219</v>
      </c>
      <c r="I261" t="s">
        <v>632</v>
      </c>
      <c r="J261" t="s">
        <v>640</v>
      </c>
      <c r="K261" t="s">
        <v>344</v>
      </c>
      <c r="L261" t="s">
        <v>95</v>
      </c>
      <c r="M261" t="s">
        <v>95</v>
      </c>
      <c r="N261" t="s">
        <v>673</v>
      </c>
      <c r="O261">
        <v>34</v>
      </c>
      <c r="P261" s="7">
        <v>6468</v>
      </c>
      <c r="Q261">
        <v>0.11</v>
      </c>
      <c r="R261">
        <v>2.9</v>
      </c>
      <c r="S261" s="5">
        <f>O261/730</f>
        <v>4.6575342465753428E-2</v>
      </c>
      <c r="T261" t="s">
        <v>16</v>
      </c>
      <c r="U261" t="s">
        <v>16</v>
      </c>
    </row>
    <row r="262" spans="1:21" x14ac:dyDescent="0.3">
      <c r="A262" t="s">
        <v>27</v>
      </c>
      <c r="B262" t="s">
        <v>24</v>
      </c>
      <c r="C262">
        <v>143</v>
      </c>
      <c r="D262" t="s">
        <v>14</v>
      </c>
      <c r="E262" t="s">
        <v>570</v>
      </c>
      <c r="F262" s="3" t="s">
        <v>674</v>
      </c>
      <c r="G262">
        <v>20018</v>
      </c>
      <c r="H262" t="s">
        <v>219</v>
      </c>
      <c r="I262" t="s">
        <v>632</v>
      </c>
      <c r="J262" t="s">
        <v>640</v>
      </c>
      <c r="K262" t="s">
        <v>264</v>
      </c>
      <c r="L262" t="s">
        <v>95</v>
      </c>
      <c r="M262" t="s">
        <v>95</v>
      </c>
      <c r="N262" t="s">
        <v>95</v>
      </c>
      <c r="O262">
        <v>27</v>
      </c>
      <c r="P262" s="7">
        <v>3598</v>
      </c>
      <c r="Q262">
        <v>0.14000000000000001</v>
      </c>
      <c r="R262">
        <v>2.33</v>
      </c>
      <c r="S262" s="5">
        <f>O262/730</f>
        <v>3.6986301369863014E-2</v>
      </c>
      <c r="T262" t="s">
        <v>16</v>
      </c>
      <c r="U262" t="s">
        <v>16</v>
      </c>
    </row>
    <row r="263" spans="1:21" x14ac:dyDescent="0.3">
      <c r="A263" t="s">
        <v>27</v>
      </c>
      <c r="B263" t="s">
        <v>24</v>
      </c>
      <c r="C263">
        <v>143</v>
      </c>
      <c r="D263" t="s">
        <v>14</v>
      </c>
      <c r="E263" t="s">
        <v>570</v>
      </c>
      <c r="F263" s="3" t="s">
        <v>675</v>
      </c>
      <c r="G263">
        <v>20018</v>
      </c>
      <c r="H263" t="s">
        <v>219</v>
      </c>
      <c r="I263" t="s">
        <v>632</v>
      </c>
      <c r="J263" t="s">
        <v>676</v>
      </c>
      <c r="K263" t="s">
        <v>95</v>
      </c>
      <c r="L263" t="s">
        <v>95</v>
      </c>
      <c r="M263" t="s">
        <v>95</v>
      </c>
      <c r="N263" t="s">
        <v>95</v>
      </c>
      <c r="O263">
        <v>30</v>
      </c>
      <c r="P263" s="7">
        <v>6537</v>
      </c>
      <c r="Q263">
        <v>0.13</v>
      </c>
      <c r="R263">
        <v>3.17</v>
      </c>
      <c r="S263" s="5">
        <f>O263/730</f>
        <v>4.1095890410958902E-2</v>
      </c>
      <c r="T263" t="s">
        <v>16</v>
      </c>
      <c r="U263" t="s">
        <v>16</v>
      </c>
    </row>
    <row r="264" spans="1:21" x14ac:dyDescent="0.3">
      <c r="A264" t="s">
        <v>27</v>
      </c>
      <c r="B264" t="s">
        <v>24</v>
      </c>
      <c r="C264">
        <v>143</v>
      </c>
      <c r="D264" t="s">
        <v>14</v>
      </c>
      <c r="E264" t="s">
        <v>570</v>
      </c>
      <c r="F264" s="3" t="s">
        <v>208</v>
      </c>
      <c r="G264">
        <v>20018</v>
      </c>
      <c r="H264" t="s">
        <v>219</v>
      </c>
      <c r="I264" t="s">
        <v>632</v>
      </c>
      <c r="J264" t="s">
        <v>677</v>
      </c>
      <c r="K264" t="s">
        <v>678</v>
      </c>
      <c r="L264" t="s">
        <v>95</v>
      </c>
      <c r="M264" t="s">
        <v>95</v>
      </c>
      <c r="N264" t="s">
        <v>95</v>
      </c>
      <c r="O264">
        <v>350</v>
      </c>
      <c r="P264" s="7">
        <v>18529</v>
      </c>
      <c r="Q264">
        <v>7.0000000000000007E-2</v>
      </c>
      <c r="R264">
        <v>1.52</v>
      </c>
      <c r="S264" s="5">
        <f>O264/730</f>
        <v>0.47945205479452052</v>
      </c>
      <c r="T264" t="s">
        <v>16</v>
      </c>
      <c r="U264" t="s">
        <v>16</v>
      </c>
    </row>
    <row r="265" spans="1:21" x14ac:dyDescent="0.3">
      <c r="A265" t="s">
        <v>27</v>
      </c>
      <c r="B265" t="s">
        <v>24</v>
      </c>
      <c r="C265">
        <v>143</v>
      </c>
      <c r="D265" t="s">
        <v>14</v>
      </c>
      <c r="E265" t="s">
        <v>570</v>
      </c>
      <c r="F265" s="3" t="s">
        <v>679</v>
      </c>
      <c r="G265">
        <v>20018</v>
      </c>
      <c r="H265" t="s">
        <v>219</v>
      </c>
      <c r="I265" t="s">
        <v>222</v>
      </c>
      <c r="J265" t="s">
        <v>677</v>
      </c>
      <c r="K265" t="s">
        <v>344</v>
      </c>
      <c r="L265" t="s">
        <v>95</v>
      </c>
      <c r="M265" t="s">
        <v>680</v>
      </c>
      <c r="N265" t="s">
        <v>95</v>
      </c>
      <c r="O265">
        <v>90</v>
      </c>
      <c r="P265" s="7">
        <v>2853</v>
      </c>
      <c r="Q265">
        <v>0.15</v>
      </c>
      <c r="R265">
        <v>1.31</v>
      </c>
      <c r="S265" s="5">
        <f>O265/730</f>
        <v>0.12328767123287671</v>
      </c>
      <c r="T265" t="s">
        <v>16</v>
      </c>
      <c r="U265" t="s">
        <v>16</v>
      </c>
    </row>
    <row r="266" spans="1:21" x14ac:dyDescent="0.3">
      <c r="A266" t="s">
        <v>27</v>
      </c>
      <c r="B266" t="s">
        <v>24</v>
      </c>
      <c r="C266">
        <v>143</v>
      </c>
      <c r="D266" t="s">
        <v>14</v>
      </c>
      <c r="E266" t="s">
        <v>570</v>
      </c>
      <c r="F266" s="3" t="s">
        <v>679</v>
      </c>
      <c r="G266">
        <v>20018</v>
      </c>
      <c r="H266" t="s">
        <v>219</v>
      </c>
      <c r="I266" t="s">
        <v>220</v>
      </c>
      <c r="J266" t="s">
        <v>677</v>
      </c>
      <c r="K266" t="s">
        <v>344</v>
      </c>
      <c r="L266" t="s">
        <v>95</v>
      </c>
      <c r="M266" t="s">
        <v>681</v>
      </c>
      <c r="N266" t="s">
        <v>95</v>
      </c>
      <c r="O266">
        <v>145</v>
      </c>
      <c r="P266" s="7">
        <v>5417</v>
      </c>
      <c r="Q266">
        <v>0.08</v>
      </c>
      <c r="R266">
        <v>1.37</v>
      </c>
      <c r="S266" s="5">
        <f>O266/730</f>
        <v>0.19863013698630136</v>
      </c>
      <c r="T266" t="s">
        <v>16</v>
      </c>
      <c r="U266" t="s">
        <v>16</v>
      </c>
    </row>
    <row r="267" spans="1:21" x14ac:dyDescent="0.3">
      <c r="A267" t="s">
        <v>27</v>
      </c>
      <c r="B267" t="s">
        <v>24</v>
      </c>
      <c r="C267">
        <v>143</v>
      </c>
      <c r="D267" t="s">
        <v>14</v>
      </c>
      <c r="E267" t="s">
        <v>570</v>
      </c>
      <c r="F267" s="3" t="s">
        <v>682</v>
      </c>
      <c r="G267">
        <v>20018</v>
      </c>
      <c r="H267" t="s">
        <v>219</v>
      </c>
      <c r="I267" t="s">
        <v>222</v>
      </c>
      <c r="J267" t="s">
        <v>677</v>
      </c>
      <c r="K267" t="s">
        <v>344</v>
      </c>
      <c r="L267" t="s">
        <v>684</v>
      </c>
      <c r="M267" t="s">
        <v>683</v>
      </c>
      <c r="N267" t="s">
        <v>95</v>
      </c>
      <c r="O267">
        <v>58</v>
      </c>
      <c r="P267" s="7">
        <v>6538</v>
      </c>
      <c r="Q267">
        <v>0.17</v>
      </c>
      <c r="R267">
        <v>2.12</v>
      </c>
      <c r="S267" s="5">
        <f>O267/730</f>
        <v>7.9452054794520555E-2</v>
      </c>
      <c r="T267" t="s">
        <v>16</v>
      </c>
      <c r="U267" t="s">
        <v>16</v>
      </c>
    </row>
    <row r="268" spans="1:21" x14ac:dyDescent="0.3">
      <c r="A268" t="s">
        <v>27</v>
      </c>
      <c r="B268" t="s">
        <v>24</v>
      </c>
      <c r="C268">
        <v>143</v>
      </c>
      <c r="D268" t="s">
        <v>14</v>
      </c>
      <c r="E268" t="s">
        <v>570</v>
      </c>
      <c r="F268" s="3" t="s">
        <v>682</v>
      </c>
      <c r="G268">
        <v>20018</v>
      </c>
      <c r="H268" t="s">
        <v>219</v>
      </c>
      <c r="I268" t="s">
        <v>220</v>
      </c>
      <c r="J268" t="s">
        <v>677</v>
      </c>
      <c r="K268" t="s">
        <v>344</v>
      </c>
      <c r="L268" t="s">
        <v>685</v>
      </c>
      <c r="M268" t="s">
        <v>683</v>
      </c>
      <c r="N268" t="s">
        <v>95</v>
      </c>
      <c r="O268">
        <v>41</v>
      </c>
      <c r="P268" s="7">
        <v>6349</v>
      </c>
      <c r="Q268">
        <v>0.09</v>
      </c>
      <c r="R268">
        <v>2.54</v>
      </c>
      <c r="S268" s="5">
        <f>O268/730</f>
        <v>5.6164383561643834E-2</v>
      </c>
      <c r="T268" t="s">
        <v>16</v>
      </c>
      <c r="U268" t="s">
        <v>16</v>
      </c>
    </row>
    <row r="269" spans="1:21" x14ac:dyDescent="0.3">
      <c r="A269" t="s">
        <v>27</v>
      </c>
      <c r="B269" t="s">
        <v>24</v>
      </c>
      <c r="C269">
        <v>143</v>
      </c>
      <c r="D269" t="s">
        <v>14</v>
      </c>
      <c r="E269" t="s">
        <v>570</v>
      </c>
      <c r="F269" s="3" t="s">
        <v>686</v>
      </c>
      <c r="G269">
        <v>20018</v>
      </c>
      <c r="H269" t="s">
        <v>219</v>
      </c>
      <c r="I269" t="s">
        <v>220</v>
      </c>
      <c r="J269" t="s">
        <v>677</v>
      </c>
      <c r="K269" t="s">
        <v>344</v>
      </c>
      <c r="L269" t="s">
        <v>687</v>
      </c>
      <c r="M269" t="s">
        <v>683</v>
      </c>
      <c r="N269" t="s">
        <v>95</v>
      </c>
      <c r="O269">
        <v>119</v>
      </c>
      <c r="P269" s="7">
        <v>7726</v>
      </c>
      <c r="Q269">
        <v>0.09</v>
      </c>
      <c r="R269">
        <v>1.64</v>
      </c>
      <c r="S269" s="5">
        <f>O269/730</f>
        <v>0.16301369863013698</v>
      </c>
      <c r="T269" t="s">
        <v>16</v>
      </c>
      <c r="U269" t="s">
        <v>16</v>
      </c>
    </row>
    <row r="270" spans="1:21" x14ac:dyDescent="0.3">
      <c r="A270" t="s">
        <v>27</v>
      </c>
      <c r="B270" t="s">
        <v>24</v>
      </c>
      <c r="C270">
        <v>143</v>
      </c>
      <c r="D270" t="s">
        <v>14</v>
      </c>
      <c r="E270" t="s">
        <v>570</v>
      </c>
      <c r="F270" s="3" t="s">
        <v>686</v>
      </c>
      <c r="G270">
        <v>20018</v>
      </c>
      <c r="H270" t="s">
        <v>219</v>
      </c>
      <c r="I270" t="s">
        <v>667</v>
      </c>
      <c r="J270" t="s">
        <v>677</v>
      </c>
      <c r="K270" t="s">
        <v>344</v>
      </c>
      <c r="L270" t="s">
        <v>640</v>
      </c>
      <c r="M270" t="s">
        <v>688</v>
      </c>
      <c r="N270" t="s">
        <v>95</v>
      </c>
      <c r="O270">
        <v>37</v>
      </c>
      <c r="P270" s="7">
        <v>1504</v>
      </c>
      <c r="Q270">
        <v>0.27</v>
      </c>
      <c r="R270">
        <v>1.4</v>
      </c>
      <c r="S270" s="5">
        <f>O270/730</f>
        <v>5.0684931506849315E-2</v>
      </c>
      <c r="T270" t="s">
        <v>16</v>
      </c>
      <c r="U270" t="s">
        <v>16</v>
      </c>
    </row>
    <row r="271" spans="1:21" x14ac:dyDescent="0.3">
      <c r="A271" t="s">
        <v>27</v>
      </c>
      <c r="B271" t="s">
        <v>689</v>
      </c>
      <c r="C271">
        <v>143</v>
      </c>
      <c r="D271" t="s">
        <v>14</v>
      </c>
      <c r="E271" t="s">
        <v>570</v>
      </c>
      <c r="F271" s="3" t="s">
        <v>690</v>
      </c>
      <c r="G271">
        <v>20018</v>
      </c>
      <c r="H271" t="s">
        <v>219</v>
      </c>
      <c r="I271" t="s">
        <v>220</v>
      </c>
      <c r="J271" t="s">
        <v>677</v>
      </c>
      <c r="K271" t="s">
        <v>344</v>
      </c>
      <c r="L271" t="s">
        <v>640</v>
      </c>
      <c r="M271" t="s">
        <v>95</v>
      </c>
      <c r="N271" t="s">
        <v>458</v>
      </c>
      <c r="O271">
        <v>90</v>
      </c>
      <c r="P271" s="7">
        <v>4945</v>
      </c>
      <c r="Q271">
        <v>0.12</v>
      </c>
      <c r="R271">
        <v>1.54</v>
      </c>
      <c r="S271" s="5">
        <f>O271/730</f>
        <v>0.12328767123287671</v>
      </c>
      <c r="T271" t="s">
        <v>16</v>
      </c>
      <c r="U271" t="s">
        <v>16</v>
      </c>
    </row>
    <row r="272" spans="1:21" x14ac:dyDescent="0.3">
      <c r="A272" t="s">
        <v>27</v>
      </c>
      <c r="B272" t="s">
        <v>68</v>
      </c>
      <c r="C272">
        <v>143</v>
      </c>
      <c r="D272" t="s">
        <v>14</v>
      </c>
      <c r="E272" t="s">
        <v>570</v>
      </c>
      <c r="F272" s="3" t="s">
        <v>690</v>
      </c>
      <c r="G272">
        <v>20018</v>
      </c>
      <c r="H272" t="s">
        <v>219</v>
      </c>
      <c r="I272" t="s">
        <v>221</v>
      </c>
      <c r="J272" t="s">
        <v>677</v>
      </c>
      <c r="K272" t="s">
        <v>691</v>
      </c>
      <c r="L272" t="s">
        <v>640</v>
      </c>
      <c r="M272" t="s">
        <v>95</v>
      </c>
      <c r="N272" t="s">
        <v>95</v>
      </c>
      <c r="O272">
        <v>40</v>
      </c>
      <c r="P272" s="7">
        <v>1756</v>
      </c>
      <c r="Q272">
        <v>0.2</v>
      </c>
      <c r="R272">
        <v>1.43</v>
      </c>
      <c r="S272" s="5">
        <f>O272/730</f>
        <v>5.4794520547945202E-2</v>
      </c>
      <c r="T272" t="s">
        <v>16</v>
      </c>
      <c r="U272" t="s">
        <v>16</v>
      </c>
    </row>
    <row r="273" spans="1:21" x14ac:dyDescent="0.3">
      <c r="A273" t="s">
        <v>27</v>
      </c>
      <c r="B273" t="s">
        <v>68</v>
      </c>
      <c r="C273">
        <v>143</v>
      </c>
      <c r="D273" t="s">
        <v>14</v>
      </c>
      <c r="E273" t="s">
        <v>570</v>
      </c>
      <c r="F273" s="3" t="s">
        <v>692</v>
      </c>
      <c r="G273">
        <v>20018</v>
      </c>
      <c r="H273" t="s">
        <v>219</v>
      </c>
      <c r="I273" t="s">
        <v>220</v>
      </c>
      <c r="J273" t="s">
        <v>677</v>
      </c>
      <c r="K273" t="s">
        <v>344</v>
      </c>
      <c r="L273" t="s">
        <v>640</v>
      </c>
      <c r="M273" t="s">
        <v>95</v>
      </c>
      <c r="N273" t="s">
        <v>410</v>
      </c>
      <c r="O273">
        <v>37</v>
      </c>
      <c r="P273" s="7">
        <v>9517</v>
      </c>
      <c r="Q273">
        <v>0.16</v>
      </c>
      <c r="R273">
        <v>3.57</v>
      </c>
      <c r="S273" s="5">
        <f>O273/730</f>
        <v>5.0684931506849315E-2</v>
      </c>
      <c r="T273" t="s">
        <v>16</v>
      </c>
      <c r="U273" t="s">
        <v>16</v>
      </c>
    </row>
    <row r="274" spans="1:21" x14ac:dyDescent="0.3">
      <c r="A274" t="s">
        <v>27</v>
      </c>
      <c r="B274" t="s">
        <v>68</v>
      </c>
      <c r="C274">
        <v>143</v>
      </c>
      <c r="D274" t="s">
        <v>14</v>
      </c>
      <c r="E274" t="s">
        <v>570</v>
      </c>
      <c r="F274" s="3" t="s">
        <v>693</v>
      </c>
      <c r="G274">
        <v>20018</v>
      </c>
      <c r="H274" t="s">
        <v>219</v>
      </c>
      <c r="I274" t="s">
        <v>220</v>
      </c>
      <c r="J274" t="s">
        <v>694</v>
      </c>
      <c r="K274" t="s">
        <v>344</v>
      </c>
      <c r="L274" t="s">
        <v>640</v>
      </c>
      <c r="M274" t="s">
        <v>95</v>
      </c>
      <c r="N274" t="s">
        <v>95</v>
      </c>
      <c r="O274">
        <v>228</v>
      </c>
      <c r="P274" s="7">
        <v>3883</v>
      </c>
      <c r="Q274">
        <v>0.14000000000000001</v>
      </c>
      <c r="R274">
        <v>1.17</v>
      </c>
      <c r="S274" s="5">
        <f>O274/730</f>
        <v>0.31232876712328766</v>
      </c>
      <c r="T274" t="s">
        <v>16</v>
      </c>
      <c r="U274" t="s">
        <v>16</v>
      </c>
    </row>
    <row r="275" spans="1:21" x14ac:dyDescent="0.3">
      <c r="A275" t="s">
        <v>27</v>
      </c>
      <c r="B275" t="s">
        <v>68</v>
      </c>
      <c r="C275">
        <v>143</v>
      </c>
      <c r="D275" t="s">
        <v>14</v>
      </c>
      <c r="E275" t="s">
        <v>570</v>
      </c>
      <c r="F275" s="3" t="s">
        <v>695</v>
      </c>
      <c r="G275">
        <v>20018</v>
      </c>
      <c r="H275" t="s">
        <v>219</v>
      </c>
      <c r="I275" t="s">
        <v>667</v>
      </c>
      <c r="J275" t="s">
        <v>95</v>
      </c>
      <c r="K275" t="s">
        <v>344</v>
      </c>
      <c r="L275" t="s">
        <v>696</v>
      </c>
      <c r="M275" t="s">
        <v>95</v>
      </c>
      <c r="N275" t="s">
        <v>95</v>
      </c>
      <c r="O275">
        <v>56</v>
      </c>
      <c r="P275" s="7">
        <v>4856</v>
      </c>
      <c r="Q275">
        <v>0.17</v>
      </c>
      <c r="R275">
        <v>1.86</v>
      </c>
      <c r="S275" s="5">
        <f>O275/730</f>
        <v>7.6712328767123292E-2</v>
      </c>
      <c r="T275" t="s">
        <v>16</v>
      </c>
      <c r="U275" t="s">
        <v>16</v>
      </c>
    </row>
    <row r="276" spans="1:21" x14ac:dyDescent="0.3">
      <c r="A276" t="s">
        <v>27</v>
      </c>
      <c r="B276" t="s">
        <v>68</v>
      </c>
      <c r="C276">
        <v>143</v>
      </c>
      <c r="D276" t="s">
        <v>14</v>
      </c>
      <c r="E276" t="s">
        <v>570</v>
      </c>
      <c r="F276" s="3" t="s">
        <v>697</v>
      </c>
      <c r="G276">
        <v>20018</v>
      </c>
      <c r="H276" t="s">
        <v>219</v>
      </c>
      <c r="I276" t="s">
        <v>667</v>
      </c>
      <c r="J276" t="s">
        <v>95</v>
      </c>
      <c r="K276" t="s">
        <v>344</v>
      </c>
      <c r="L276" t="s">
        <v>640</v>
      </c>
      <c r="M276" t="s">
        <v>95</v>
      </c>
      <c r="N276" t="s">
        <v>698</v>
      </c>
      <c r="O276">
        <v>35</v>
      </c>
      <c r="P276" s="7">
        <v>4155</v>
      </c>
      <c r="Q276">
        <v>0.25</v>
      </c>
      <c r="R276">
        <v>2.1800000000000002</v>
      </c>
      <c r="S276" s="5">
        <f>O276/730</f>
        <v>4.7945205479452052E-2</v>
      </c>
      <c r="T276" t="s">
        <v>16</v>
      </c>
      <c r="U276" t="s">
        <v>16</v>
      </c>
    </row>
    <row r="277" spans="1:21" x14ac:dyDescent="0.3">
      <c r="A277" t="s">
        <v>27</v>
      </c>
      <c r="B277" t="s">
        <v>68</v>
      </c>
      <c r="C277">
        <v>143</v>
      </c>
      <c r="D277" t="s">
        <v>14</v>
      </c>
      <c r="E277" t="s">
        <v>570</v>
      </c>
      <c r="F277" s="3" t="s">
        <v>699</v>
      </c>
      <c r="G277">
        <v>20018</v>
      </c>
      <c r="H277" t="s">
        <v>219</v>
      </c>
      <c r="I277" t="s">
        <v>220</v>
      </c>
      <c r="J277" t="s">
        <v>95</v>
      </c>
      <c r="K277" t="s">
        <v>700</v>
      </c>
      <c r="L277" t="s">
        <v>640</v>
      </c>
      <c r="M277" t="s">
        <v>95</v>
      </c>
      <c r="N277" t="s">
        <v>640</v>
      </c>
      <c r="O277">
        <v>27</v>
      </c>
      <c r="P277" s="7">
        <v>4848</v>
      </c>
      <c r="Q277">
        <v>0.18</v>
      </c>
      <c r="R277">
        <v>2.79</v>
      </c>
      <c r="S277" s="5">
        <f>O277/730</f>
        <v>3.6986301369863014E-2</v>
      </c>
      <c r="T277" t="s">
        <v>16</v>
      </c>
      <c r="U277" t="s">
        <v>16</v>
      </c>
    </row>
    <row r="278" spans="1:21" x14ac:dyDescent="0.3">
      <c r="A278" t="s">
        <v>27</v>
      </c>
      <c r="B278" t="s">
        <v>47</v>
      </c>
      <c r="C278">
        <v>143</v>
      </c>
      <c r="D278" t="s">
        <v>14</v>
      </c>
      <c r="E278" t="s">
        <v>570</v>
      </c>
      <c r="F278" s="3" t="s">
        <v>701</v>
      </c>
      <c r="G278">
        <v>20018</v>
      </c>
      <c r="H278" t="s">
        <v>219</v>
      </c>
      <c r="I278" t="s">
        <v>220</v>
      </c>
      <c r="J278" t="s">
        <v>95</v>
      </c>
      <c r="K278" t="s">
        <v>95</v>
      </c>
      <c r="L278" t="s">
        <v>640</v>
      </c>
      <c r="M278" t="s">
        <v>702</v>
      </c>
      <c r="N278" t="s">
        <v>640</v>
      </c>
      <c r="O278">
        <v>81</v>
      </c>
      <c r="P278" s="7">
        <v>3634</v>
      </c>
      <c r="Q278">
        <v>0.13</v>
      </c>
      <c r="R278">
        <v>1.44</v>
      </c>
      <c r="S278" s="5">
        <f>O278/730</f>
        <v>0.11095890410958904</v>
      </c>
      <c r="T278" t="s">
        <v>16</v>
      </c>
      <c r="U278" t="s">
        <v>16</v>
      </c>
    </row>
    <row r="279" spans="1:21" x14ac:dyDescent="0.3">
      <c r="A279" t="s">
        <v>27</v>
      </c>
      <c r="B279" t="s">
        <v>68</v>
      </c>
      <c r="C279">
        <v>143</v>
      </c>
      <c r="D279" t="s">
        <v>14</v>
      </c>
      <c r="E279" t="s">
        <v>570</v>
      </c>
      <c r="F279" s="3" t="s">
        <v>703</v>
      </c>
      <c r="G279">
        <v>20018</v>
      </c>
      <c r="H279" t="s">
        <v>219</v>
      </c>
      <c r="I279" t="s">
        <v>704</v>
      </c>
      <c r="J279" t="s">
        <v>95</v>
      </c>
      <c r="K279" t="s">
        <v>95</v>
      </c>
      <c r="L279" t="s">
        <v>705</v>
      </c>
      <c r="M279" t="s">
        <v>95</v>
      </c>
      <c r="N279" t="s">
        <v>640</v>
      </c>
      <c r="O279">
        <v>25</v>
      </c>
      <c r="P279" s="7">
        <v>3167</v>
      </c>
      <c r="Q279">
        <v>0.16</v>
      </c>
      <c r="R279">
        <v>2.2599999999999998</v>
      </c>
      <c r="S279" s="5">
        <f>O279/730</f>
        <v>3.4246575342465752E-2</v>
      </c>
      <c r="T279" t="s">
        <v>16</v>
      </c>
      <c r="U279" t="s">
        <v>16</v>
      </c>
    </row>
    <row r="280" spans="1:21" x14ac:dyDescent="0.3">
      <c r="A280" t="s">
        <v>27</v>
      </c>
      <c r="B280" t="s">
        <v>68</v>
      </c>
      <c r="C280">
        <v>143</v>
      </c>
      <c r="D280" t="s">
        <v>14</v>
      </c>
      <c r="E280" t="s">
        <v>570</v>
      </c>
      <c r="F280" s="3" t="s">
        <v>706</v>
      </c>
      <c r="G280">
        <v>20018</v>
      </c>
      <c r="H280" t="s">
        <v>219</v>
      </c>
      <c r="I280" t="s">
        <v>220</v>
      </c>
      <c r="J280" t="s">
        <v>95</v>
      </c>
      <c r="K280" t="s">
        <v>95</v>
      </c>
      <c r="L280" t="s">
        <v>95</v>
      </c>
      <c r="M280" t="s">
        <v>95</v>
      </c>
      <c r="N280" t="s">
        <v>452</v>
      </c>
      <c r="O280">
        <v>70</v>
      </c>
      <c r="P280" s="7">
        <v>3665</v>
      </c>
      <c r="Q280">
        <v>0.15</v>
      </c>
      <c r="R280">
        <v>1.52</v>
      </c>
      <c r="S280" s="5">
        <f>O280/730</f>
        <v>9.5890410958904104E-2</v>
      </c>
      <c r="T280" t="s">
        <v>16</v>
      </c>
      <c r="U280" t="s">
        <v>16</v>
      </c>
    </row>
    <row r="281" spans="1:21" x14ac:dyDescent="0.3">
      <c r="A281" t="s">
        <v>27</v>
      </c>
      <c r="B281" t="s">
        <v>689</v>
      </c>
      <c r="C281">
        <v>143</v>
      </c>
      <c r="D281" t="s">
        <v>14</v>
      </c>
      <c r="E281" t="s">
        <v>570</v>
      </c>
      <c r="F281" s="3" t="s">
        <v>707</v>
      </c>
      <c r="G281">
        <v>20018</v>
      </c>
      <c r="H281" t="s">
        <v>219</v>
      </c>
      <c r="I281" t="s">
        <v>220</v>
      </c>
      <c r="J281" t="s">
        <v>95</v>
      </c>
      <c r="K281" t="s">
        <v>95</v>
      </c>
      <c r="L281" t="s">
        <v>708</v>
      </c>
      <c r="M281" t="s">
        <v>95</v>
      </c>
      <c r="N281" t="s">
        <v>95</v>
      </c>
      <c r="O281">
        <v>130</v>
      </c>
      <c r="P281" s="7">
        <v>6873</v>
      </c>
      <c r="Q281">
        <v>0.12</v>
      </c>
      <c r="R281">
        <v>1.52</v>
      </c>
      <c r="S281" s="5">
        <f>O281/730</f>
        <v>0.17808219178082191</v>
      </c>
      <c r="T281" t="s">
        <v>16</v>
      </c>
      <c r="U281" t="s">
        <v>16</v>
      </c>
    </row>
    <row r="282" spans="1:21" x14ac:dyDescent="0.3">
      <c r="A282" t="s">
        <v>27</v>
      </c>
      <c r="B282" t="s">
        <v>709</v>
      </c>
      <c r="C282">
        <v>143</v>
      </c>
      <c r="D282" t="s">
        <v>14</v>
      </c>
      <c r="E282" t="s">
        <v>570</v>
      </c>
      <c r="F282" s="3" t="s">
        <v>710</v>
      </c>
      <c r="G282">
        <v>20018</v>
      </c>
      <c r="H282" t="s">
        <v>219</v>
      </c>
      <c r="I282" t="s">
        <v>220</v>
      </c>
      <c r="J282" t="s">
        <v>95</v>
      </c>
      <c r="K282" t="s">
        <v>95</v>
      </c>
      <c r="L282" t="s">
        <v>555</v>
      </c>
      <c r="M282" t="s">
        <v>711</v>
      </c>
      <c r="N282" t="s">
        <v>95</v>
      </c>
      <c r="O282">
        <v>56</v>
      </c>
      <c r="P282" s="7">
        <v>7248</v>
      </c>
      <c r="Q282">
        <v>0.08</v>
      </c>
      <c r="R282">
        <v>2.29</v>
      </c>
      <c r="S282" s="5">
        <f>O282/730</f>
        <v>7.6712328767123292E-2</v>
      </c>
      <c r="T282" t="s">
        <v>16</v>
      </c>
      <c r="U282" t="s">
        <v>16</v>
      </c>
    </row>
    <row r="283" spans="1:21" x14ac:dyDescent="0.3">
      <c r="A283" t="s">
        <v>27</v>
      </c>
      <c r="B283" t="s">
        <v>709</v>
      </c>
      <c r="C283">
        <v>143</v>
      </c>
      <c r="D283" t="s">
        <v>14</v>
      </c>
      <c r="E283" t="s">
        <v>570</v>
      </c>
      <c r="F283" s="3" t="s">
        <v>712</v>
      </c>
      <c r="G283">
        <v>20018</v>
      </c>
      <c r="H283" t="s">
        <v>219</v>
      </c>
      <c r="I283" t="s">
        <v>220</v>
      </c>
      <c r="J283" t="s">
        <v>95</v>
      </c>
      <c r="K283" t="s">
        <v>95</v>
      </c>
      <c r="L283" t="s">
        <v>555</v>
      </c>
      <c r="M283" t="s">
        <v>449</v>
      </c>
      <c r="N283" t="s">
        <v>713</v>
      </c>
      <c r="O283">
        <v>50</v>
      </c>
      <c r="P283" s="7">
        <v>4096</v>
      </c>
      <c r="Q283">
        <v>0.08</v>
      </c>
      <c r="R283">
        <v>1.81</v>
      </c>
      <c r="S283" s="5">
        <f>O283/730</f>
        <v>6.8493150684931503E-2</v>
      </c>
      <c r="T283" t="s">
        <v>16</v>
      </c>
      <c r="U283" t="s">
        <v>16</v>
      </c>
    </row>
    <row r="284" spans="1:21" x14ac:dyDescent="0.3">
      <c r="A284" t="s">
        <v>27</v>
      </c>
      <c r="B284" t="s">
        <v>709</v>
      </c>
      <c r="C284">
        <v>143</v>
      </c>
      <c r="D284" t="s">
        <v>14</v>
      </c>
      <c r="E284" t="s">
        <v>570</v>
      </c>
      <c r="F284" s="3" t="s">
        <v>714</v>
      </c>
      <c r="G284">
        <v>20018</v>
      </c>
      <c r="H284" t="s">
        <v>219</v>
      </c>
      <c r="I284" t="s">
        <v>220</v>
      </c>
      <c r="J284" t="s">
        <v>715</v>
      </c>
      <c r="K284" t="s">
        <v>95</v>
      </c>
      <c r="L284" t="s">
        <v>555</v>
      </c>
      <c r="M284" t="s">
        <v>449</v>
      </c>
      <c r="N284" t="s">
        <v>95</v>
      </c>
      <c r="O284">
        <v>60</v>
      </c>
      <c r="P284" s="7">
        <v>1000</v>
      </c>
      <c r="Q284">
        <v>0.1</v>
      </c>
      <c r="R284">
        <v>1.2</v>
      </c>
      <c r="S284" s="5">
        <f>O284/730</f>
        <v>8.2191780821917804E-2</v>
      </c>
      <c r="T284" t="s">
        <v>16</v>
      </c>
      <c r="U284" t="s">
        <v>16</v>
      </c>
    </row>
    <row r="285" spans="1:21" x14ac:dyDescent="0.3">
      <c r="A285" t="s">
        <v>27</v>
      </c>
      <c r="B285" t="s">
        <v>709</v>
      </c>
      <c r="C285">
        <v>143</v>
      </c>
      <c r="D285" t="s">
        <v>14</v>
      </c>
      <c r="E285" t="s">
        <v>570</v>
      </c>
      <c r="F285" s="3" t="s">
        <v>716</v>
      </c>
      <c r="G285">
        <v>20018</v>
      </c>
      <c r="H285" t="s">
        <v>219</v>
      </c>
      <c r="I285" t="s">
        <v>220</v>
      </c>
      <c r="J285" t="s">
        <v>717</v>
      </c>
      <c r="K285" t="s">
        <v>95</v>
      </c>
      <c r="L285" t="s">
        <v>555</v>
      </c>
      <c r="M285" t="s">
        <v>449</v>
      </c>
      <c r="N285" t="s">
        <v>95</v>
      </c>
      <c r="O285">
        <v>76</v>
      </c>
      <c r="P285" s="7">
        <v>6913</v>
      </c>
      <c r="Q285">
        <v>0.14000000000000001</v>
      </c>
      <c r="R285">
        <v>1.9</v>
      </c>
      <c r="S285" s="5">
        <f>O285/730</f>
        <v>0.10410958904109589</v>
      </c>
      <c r="T285" t="s">
        <v>16</v>
      </c>
      <c r="U285" t="s">
        <v>16</v>
      </c>
    </row>
    <row r="286" spans="1:21" x14ac:dyDescent="0.3">
      <c r="A286" t="s">
        <v>27</v>
      </c>
      <c r="B286" t="s">
        <v>709</v>
      </c>
      <c r="C286">
        <v>143</v>
      </c>
      <c r="D286" t="s">
        <v>182</v>
      </c>
      <c r="E286" t="s">
        <v>570</v>
      </c>
      <c r="F286" s="3" t="s">
        <v>718</v>
      </c>
      <c r="G286">
        <v>20018</v>
      </c>
      <c r="H286" t="s">
        <v>219</v>
      </c>
      <c r="I286" t="s">
        <v>719</v>
      </c>
      <c r="J286" t="s">
        <v>95</v>
      </c>
      <c r="K286" t="s">
        <v>95</v>
      </c>
      <c r="L286" t="s">
        <v>720</v>
      </c>
      <c r="M286" t="s">
        <v>449</v>
      </c>
      <c r="N286" t="s">
        <v>95</v>
      </c>
      <c r="O286">
        <v>665</v>
      </c>
      <c r="P286" s="7">
        <v>9565</v>
      </c>
      <c r="Q286">
        <v>0.11</v>
      </c>
      <c r="R286">
        <v>1.1399999999999999</v>
      </c>
      <c r="S286" s="5">
        <f>O286/730</f>
        <v>0.91095890410958902</v>
      </c>
      <c r="T286" t="s">
        <v>16</v>
      </c>
      <c r="U286" t="s">
        <v>16</v>
      </c>
    </row>
    <row r="287" spans="1:21" x14ac:dyDescent="0.3">
      <c r="A287" t="s">
        <v>27</v>
      </c>
      <c r="B287" t="s">
        <v>709</v>
      </c>
      <c r="C287">
        <v>143</v>
      </c>
      <c r="D287" t="s">
        <v>182</v>
      </c>
      <c r="E287" t="s">
        <v>570</v>
      </c>
      <c r="F287" s="3" t="s">
        <v>598</v>
      </c>
      <c r="G287">
        <v>20018</v>
      </c>
      <c r="H287" t="s">
        <v>219</v>
      </c>
      <c r="I287" t="s">
        <v>721</v>
      </c>
      <c r="J287" t="s">
        <v>95</v>
      </c>
      <c r="K287" t="s">
        <v>95</v>
      </c>
      <c r="L287" t="s">
        <v>95</v>
      </c>
      <c r="M287" t="s">
        <v>722</v>
      </c>
      <c r="N287" t="s">
        <v>95</v>
      </c>
      <c r="O287">
        <v>25</v>
      </c>
      <c r="P287" s="7">
        <v>3359</v>
      </c>
      <c r="Q287">
        <v>0.23</v>
      </c>
      <c r="R287">
        <v>2.34</v>
      </c>
      <c r="S287" s="5">
        <f>O287/730</f>
        <v>3.4246575342465752E-2</v>
      </c>
      <c r="T287" t="s">
        <v>16</v>
      </c>
      <c r="U287" t="s">
        <v>16</v>
      </c>
    </row>
    <row r="288" spans="1:21" x14ac:dyDescent="0.3">
      <c r="A288" t="s">
        <v>27</v>
      </c>
      <c r="B288" t="s">
        <v>709</v>
      </c>
      <c r="C288">
        <v>143</v>
      </c>
      <c r="D288" t="s">
        <v>182</v>
      </c>
      <c r="E288" t="s">
        <v>570</v>
      </c>
      <c r="F288" s="3" t="s">
        <v>723</v>
      </c>
      <c r="G288">
        <v>20018</v>
      </c>
      <c r="H288" t="s">
        <v>219</v>
      </c>
      <c r="I288" t="s">
        <v>225</v>
      </c>
      <c r="J288" t="s">
        <v>95</v>
      </c>
      <c r="K288" t="s">
        <v>95</v>
      </c>
      <c r="L288" t="s">
        <v>95</v>
      </c>
      <c r="M288" t="s">
        <v>724</v>
      </c>
      <c r="N288" t="s">
        <v>95</v>
      </c>
      <c r="O288">
        <v>65</v>
      </c>
      <c r="P288" s="7">
        <v>3896</v>
      </c>
      <c r="Q288">
        <v>0.2</v>
      </c>
      <c r="R288">
        <v>1.59</v>
      </c>
      <c r="S288" s="5">
        <f>O288/730</f>
        <v>8.9041095890410954E-2</v>
      </c>
      <c r="T288" t="s">
        <v>16</v>
      </c>
      <c r="U288" t="s">
        <v>16</v>
      </c>
    </row>
    <row r="289" spans="1:21" x14ac:dyDescent="0.3">
      <c r="A289" t="s">
        <v>27</v>
      </c>
      <c r="B289" t="s">
        <v>47</v>
      </c>
      <c r="C289">
        <v>143</v>
      </c>
      <c r="D289" t="s">
        <v>182</v>
      </c>
      <c r="E289" t="s">
        <v>570</v>
      </c>
      <c r="F289" s="3" t="s">
        <v>615</v>
      </c>
      <c r="G289">
        <v>20018</v>
      </c>
      <c r="H289" t="s">
        <v>219</v>
      </c>
      <c r="I289" t="s">
        <v>225</v>
      </c>
      <c r="J289" t="s">
        <v>95</v>
      </c>
      <c r="K289" t="s">
        <v>95</v>
      </c>
      <c r="L289" t="s">
        <v>95</v>
      </c>
      <c r="M289" t="s">
        <v>725</v>
      </c>
      <c r="N289" t="s">
        <v>95</v>
      </c>
      <c r="O289">
        <v>64</v>
      </c>
      <c r="P289" s="7">
        <v>2645</v>
      </c>
      <c r="Q289">
        <v>0.17</v>
      </c>
      <c r="R289">
        <v>1.41</v>
      </c>
      <c r="S289" s="5">
        <f>O289/730</f>
        <v>8.7671232876712329E-2</v>
      </c>
      <c r="T289" t="s">
        <v>16</v>
      </c>
      <c r="U289" t="s">
        <v>16</v>
      </c>
    </row>
    <row r="290" spans="1:21" x14ac:dyDescent="0.3">
      <c r="A290" t="s">
        <v>27</v>
      </c>
      <c r="B290" t="s">
        <v>726</v>
      </c>
      <c r="C290">
        <v>143</v>
      </c>
      <c r="D290" t="s">
        <v>182</v>
      </c>
      <c r="E290" t="s">
        <v>570</v>
      </c>
      <c r="F290" s="3" t="s">
        <v>727</v>
      </c>
      <c r="G290">
        <v>20018</v>
      </c>
      <c r="H290" t="s">
        <v>219</v>
      </c>
      <c r="I290" t="s">
        <v>225</v>
      </c>
      <c r="J290" t="s">
        <v>95</v>
      </c>
      <c r="K290" t="s">
        <v>728</v>
      </c>
      <c r="L290" t="s">
        <v>95</v>
      </c>
      <c r="M290" t="s">
        <v>555</v>
      </c>
      <c r="N290" t="s">
        <v>95</v>
      </c>
      <c r="O290">
        <v>41</v>
      </c>
      <c r="P290" s="7">
        <v>3467</v>
      </c>
      <c r="Q290">
        <v>0.17</v>
      </c>
      <c r="R290">
        <v>1.84</v>
      </c>
      <c r="S290" s="5">
        <f>O290/730</f>
        <v>5.6164383561643834E-2</v>
      </c>
      <c r="T290" t="s">
        <v>16</v>
      </c>
      <c r="U290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1"/>
  <sheetViews>
    <sheetView zoomScale="90" zoomScaleNormal="90" workbookViewId="0">
      <pane ySplit="1" topLeftCell="A2" activePane="bottomLeft" state="frozen"/>
      <selection activeCell="F4" sqref="F4"/>
      <selection pane="bottomLeft" activeCell="S4" sqref="S4"/>
    </sheetView>
  </sheetViews>
  <sheetFormatPr defaultRowHeight="16.5" x14ac:dyDescent="0.3"/>
  <cols>
    <col min="1" max="2" width="4.875" customWidth="1"/>
    <col min="3" max="3" width="3.125" customWidth="1"/>
    <col min="4" max="4" width="7.375" customWidth="1"/>
    <col min="5" max="5" width="7.5" customWidth="1"/>
    <col min="6" max="6" width="9" style="3"/>
    <col min="7" max="7" width="5.125" customWidth="1"/>
    <col min="8" max="8" width="5" customWidth="1"/>
    <col min="9" max="9" width="6.625" customWidth="1"/>
    <col min="11" max="11" width="10.375" customWidth="1"/>
    <col min="12" max="13" width="10.125" customWidth="1"/>
    <col min="14" max="14" width="10.5" customWidth="1"/>
    <col min="15" max="15" width="7" customWidth="1"/>
    <col min="16" max="16" width="9.125" style="7" customWidth="1"/>
    <col min="17" max="17" width="6.625" customWidth="1"/>
    <col min="18" max="18" width="7.125" customWidth="1"/>
    <col min="19" max="19" width="7.5" style="5" customWidth="1"/>
    <col min="20" max="20" width="3.5" customWidth="1"/>
    <col min="21" max="21" width="2.75" customWidth="1"/>
  </cols>
  <sheetData>
    <row r="1" spans="1:21" s="1" customFormat="1" ht="33" x14ac:dyDescent="0.3">
      <c r="A1" s="1" t="s">
        <v>0</v>
      </c>
      <c r="B1" s="1" t="s">
        <v>23</v>
      </c>
      <c r="C1" s="1" t="s">
        <v>25</v>
      </c>
      <c r="D1" s="1" t="s">
        <v>1</v>
      </c>
      <c r="E1" s="1" t="s">
        <v>2</v>
      </c>
      <c r="F1" s="8" t="s">
        <v>3</v>
      </c>
      <c r="G1" s="1" t="s">
        <v>4</v>
      </c>
      <c r="H1" s="1" t="s">
        <v>5</v>
      </c>
      <c r="I1" s="9" t="s">
        <v>6</v>
      </c>
      <c r="J1" s="1" t="s">
        <v>10</v>
      </c>
      <c r="K1" s="1" t="s">
        <v>21</v>
      </c>
      <c r="L1" s="1" t="s">
        <v>22</v>
      </c>
      <c r="M1" s="1" t="s">
        <v>11</v>
      </c>
      <c r="N1" s="1" t="s">
        <v>12</v>
      </c>
      <c r="O1" s="1" t="s">
        <v>7</v>
      </c>
      <c r="P1" s="6" t="s">
        <v>39</v>
      </c>
      <c r="Q1" s="1" t="s">
        <v>8</v>
      </c>
      <c r="R1" s="1" t="s">
        <v>19</v>
      </c>
      <c r="S1" s="4" t="s">
        <v>20</v>
      </c>
      <c r="T1" s="1" t="s">
        <v>9</v>
      </c>
      <c r="U1" s="1" t="s">
        <v>13</v>
      </c>
    </row>
    <row r="2" spans="1:21" x14ac:dyDescent="0.3">
      <c r="A2" t="s">
        <v>27</v>
      </c>
      <c r="B2" t="s">
        <v>536</v>
      </c>
      <c r="C2">
        <v>143</v>
      </c>
      <c r="D2" t="s">
        <v>14</v>
      </c>
      <c r="E2" t="s">
        <v>45</v>
      </c>
      <c r="F2" s="3" t="s">
        <v>561</v>
      </c>
      <c r="G2">
        <v>20018</v>
      </c>
      <c r="H2" t="s">
        <v>219</v>
      </c>
      <c r="I2" t="s">
        <v>220</v>
      </c>
      <c r="J2" t="s">
        <v>95</v>
      </c>
      <c r="K2" t="s">
        <v>539</v>
      </c>
      <c r="L2" t="s">
        <v>562</v>
      </c>
      <c r="M2" t="s">
        <v>95</v>
      </c>
      <c r="N2" t="s">
        <v>95</v>
      </c>
      <c r="O2">
        <v>12</v>
      </c>
      <c r="P2" s="7">
        <v>5869</v>
      </c>
      <c r="Q2">
        <v>0.33</v>
      </c>
      <c r="R2">
        <v>5.89</v>
      </c>
      <c r="S2" s="5">
        <f>O2/730</f>
        <v>1.643835616438356E-2</v>
      </c>
      <c r="T2" t="s">
        <v>16</v>
      </c>
      <c r="U2" t="s">
        <v>16</v>
      </c>
    </row>
    <row r="3" spans="1:21" x14ac:dyDescent="0.3">
      <c r="A3" t="s">
        <v>27</v>
      </c>
      <c r="B3" t="s">
        <v>68</v>
      </c>
      <c r="C3">
        <v>143</v>
      </c>
      <c r="D3" t="s">
        <v>14</v>
      </c>
      <c r="E3" t="s">
        <v>45</v>
      </c>
      <c r="F3" s="3" t="s">
        <v>145</v>
      </c>
      <c r="G3">
        <v>20018</v>
      </c>
      <c r="H3" t="s">
        <v>219</v>
      </c>
      <c r="I3" t="s">
        <v>507</v>
      </c>
      <c r="J3" t="s">
        <v>95</v>
      </c>
      <c r="K3" t="s">
        <v>477</v>
      </c>
      <c r="L3" t="s">
        <v>508</v>
      </c>
      <c r="M3" t="s">
        <v>95</v>
      </c>
      <c r="N3" t="s">
        <v>95</v>
      </c>
      <c r="O3">
        <v>21</v>
      </c>
      <c r="P3" s="7">
        <v>9769</v>
      </c>
      <c r="Q3">
        <v>0.23</v>
      </c>
      <c r="R3">
        <v>5.65</v>
      </c>
      <c r="S3" s="5">
        <f>O3/730</f>
        <v>2.8767123287671233E-2</v>
      </c>
      <c r="T3" t="s">
        <v>16</v>
      </c>
      <c r="U3" t="s">
        <v>16</v>
      </c>
    </row>
    <row r="4" spans="1:21" x14ac:dyDescent="0.3">
      <c r="A4" t="s">
        <v>27</v>
      </c>
      <c r="B4" t="s">
        <v>68</v>
      </c>
      <c r="C4">
        <v>143</v>
      </c>
      <c r="D4" t="s">
        <v>14</v>
      </c>
      <c r="E4" t="s">
        <v>45</v>
      </c>
      <c r="F4" s="3" t="s">
        <v>343</v>
      </c>
      <c r="G4">
        <v>20018</v>
      </c>
      <c r="H4" t="s">
        <v>219</v>
      </c>
      <c r="I4" t="s">
        <v>222</v>
      </c>
      <c r="J4" t="s">
        <v>95</v>
      </c>
      <c r="K4" t="s">
        <v>344</v>
      </c>
      <c r="L4" t="s">
        <v>53</v>
      </c>
      <c r="M4" t="s">
        <v>53</v>
      </c>
      <c r="N4" t="s">
        <v>275</v>
      </c>
      <c r="O4">
        <v>13</v>
      </c>
      <c r="P4" s="7">
        <v>5088</v>
      </c>
      <c r="Q4">
        <v>0.15</v>
      </c>
      <c r="R4">
        <v>4.91</v>
      </c>
      <c r="S4" s="5">
        <f>O4/730</f>
        <v>1.7808219178082191E-2</v>
      </c>
      <c r="T4" t="s">
        <v>16</v>
      </c>
      <c r="U4" t="s">
        <v>16</v>
      </c>
    </row>
    <row r="5" spans="1:21" x14ac:dyDescent="0.3">
      <c r="A5" t="s">
        <v>27</v>
      </c>
      <c r="B5" t="s">
        <v>68</v>
      </c>
      <c r="C5">
        <v>143</v>
      </c>
      <c r="D5" t="s">
        <v>14</v>
      </c>
      <c r="E5" t="s">
        <v>45</v>
      </c>
      <c r="F5" s="3" t="s">
        <v>65</v>
      </c>
      <c r="G5">
        <v>20018</v>
      </c>
      <c r="H5" t="s">
        <v>219</v>
      </c>
      <c r="I5" t="s">
        <v>367</v>
      </c>
      <c r="J5" t="s">
        <v>95</v>
      </c>
      <c r="K5" t="s">
        <v>368</v>
      </c>
      <c r="L5" t="s">
        <v>95</v>
      </c>
      <c r="M5" t="s">
        <v>344</v>
      </c>
      <c r="N5" t="s">
        <v>95</v>
      </c>
      <c r="O5">
        <v>23</v>
      </c>
      <c r="P5" s="7">
        <v>8118</v>
      </c>
      <c r="Q5">
        <v>0.17</v>
      </c>
      <c r="R5">
        <v>4.5199999999999996</v>
      </c>
      <c r="S5" s="5">
        <f>O5/730</f>
        <v>3.1506849315068496E-2</v>
      </c>
      <c r="T5" t="s">
        <v>16</v>
      </c>
      <c r="U5" t="s">
        <v>16</v>
      </c>
    </row>
    <row r="6" spans="1:21" x14ac:dyDescent="0.3">
      <c r="A6" t="s">
        <v>27</v>
      </c>
      <c r="B6" t="s">
        <v>68</v>
      </c>
      <c r="C6">
        <v>143</v>
      </c>
      <c r="D6" t="s">
        <v>14</v>
      </c>
      <c r="E6" t="s">
        <v>45</v>
      </c>
      <c r="F6" s="3" t="s">
        <v>492</v>
      </c>
      <c r="G6">
        <v>20018</v>
      </c>
      <c r="H6" t="s">
        <v>219</v>
      </c>
      <c r="I6" t="s">
        <v>220</v>
      </c>
      <c r="J6" t="s">
        <v>95</v>
      </c>
      <c r="K6" t="s">
        <v>95</v>
      </c>
      <c r="L6" t="s">
        <v>95</v>
      </c>
      <c r="M6" t="s">
        <v>95</v>
      </c>
      <c r="N6" t="s">
        <v>493</v>
      </c>
      <c r="O6">
        <v>13</v>
      </c>
      <c r="P6" s="7">
        <v>4488</v>
      </c>
      <c r="Q6">
        <v>0.3</v>
      </c>
      <c r="R6">
        <v>4.45</v>
      </c>
      <c r="S6" s="5">
        <f>O6/730</f>
        <v>1.7808219178082191E-2</v>
      </c>
      <c r="T6" t="s">
        <v>16</v>
      </c>
      <c r="U6" t="s">
        <v>16</v>
      </c>
    </row>
    <row r="7" spans="1:21" x14ac:dyDescent="0.3">
      <c r="A7" t="s">
        <v>27</v>
      </c>
      <c r="B7" t="s">
        <v>68</v>
      </c>
      <c r="C7">
        <v>143</v>
      </c>
      <c r="D7" t="s">
        <v>14</v>
      </c>
      <c r="E7" t="s">
        <v>45</v>
      </c>
      <c r="F7" s="3" t="s">
        <v>336</v>
      </c>
      <c r="G7">
        <v>20018</v>
      </c>
      <c r="H7" t="s">
        <v>219</v>
      </c>
      <c r="I7" t="s">
        <v>225</v>
      </c>
      <c r="J7" t="s">
        <v>95</v>
      </c>
      <c r="K7" t="s">
        <v>95</v>
      </c>
      <c r="L7" t="s">
        <v>337</v>
      </c>
      <c r="M7" t="s">
        <v>53</v>
      </c>
      <c r="N7" t="s">
        <v>53</v>
      </c>
      <c r="O7">
        <v>15</v>
      </c>
      <c r="P7" s="7">
        <v>4759</v>
      </c>
      <c r="Q7">
        <v>0.2</v>
      </c>
      <c r="R7">
        <v>4.17</v>
      </c>
      <c r="S7" s="5">
        <f>O7/730</f>
        <v>2.0547945205479451E-2</v>
      </c>
      <c r="T7" t="s">
        <v>16</v>
      </c>
      <c r="U7" t="s">
        <v>16</v>
      </c>
    </row>
    <row r="8" spans="1:21" x14ac:dyDescent="0.3">
      <c r="A8" t="s">
        <v>27</v>
      </c>
      <c r="B8" t="s">
        <v>512</v>
      </c>
      <c r="C8">
        <v>143</v>
      </c>
      <c r="D8" t="s">
        <v>14</v>
      </c>
      <c r="E8" t="s">
        <v>45</v>
      </c>
      <c r="F8" s="3" t="s">
        <v>515</v>
      </c>
      <c r="G8">
        <v>20018</v>
      </c>
      <c r="H8" t="s">
        <v>219</v>
      </c>
      <c r="I8" t="s">
        <v>220</v>
      </c>
      <c r="J8" t="s">
        <v>95</v>
      </c>
      <c r="K8" t="s">
        <v>516</v>
      </c>
      <c r="L8" t="s">
        <v>95</v>
      </c>
      <c r="M8" t="s">
        <v>344</v>
      </c>
      <c r="N8" t="s">
        <v>392</v>
      </c>
      <c r="O8">
        <v>67</v>
      </c>
      <c r="P8" s="7">
        <v>20398</v>
      </c>
      <c r="Q8">
        <v>0.1</v>
      </c>
      <c r="R8">
        <v>4.04</v>
      </c>
      <c r="S8" s="5">
        <f>O8/730</f>
        <v>9.1780821917808217E-2</v>
      </c>
      <c r="T8" t="s">
        <v>16</v>
      </c>
      <c r="U8" t="s">
        <v>16</v>
      </c>
    </row>
    <row r="9" spans="1:21" x14ac:dyDescent="0.3">
      <c r="A9" t="s">
        <v>27</v>
      </c>
      <c r="B9" t="s">
        <v>68</v>
      </c>
      <c r="C9">
        <v>143</v>
      </c>
      <c r="D9" t="s">
        <v>14</v>
      </c>
      <c r="E9" t="s">
        <v>45</v>
      </c>
      <c r="F9" s="3" t="s">
        <v>485</v>
      </c>
      <c r="G9">
        <v>20018</v>
      </c>
      <c r="H9" t="s">
        <v>219</v>
      </c>
      <c r="I9" t="s">
        <v>220</v>
      </c>
      <c r="J9" t="s">
        <v>486</v>
      </c>
      <c r="K9" t="s">
        <v>95</v>
      </c>
      <c r="L9" t="s">
        <v>477</v>
      </c>
      <c r="M9" t="s">
        <v>477</v>
      </c>
      <c r="N9" t="s">
        <v>95</v>
      </c>
      <c r="O9">
        <v>25</v>
      </c>
      <c r="P9" s="7">
        <v>7508</v>
      </c>
      <c r="Q9">
        <v>0.16</v>
      </c>
      <c r="R9">
        <v>4</v>
      </c>
      <c r="S9" s="5">
        <f>O9/730</f>
        <v>3.4246575342465752E-2</v>
      </c>
      <c r="T9" t="s">
        <v>16</v>
      </c>
      <c r="U9" t="s">
        <v>16</v>
      </c>
    </row>
    <row r="10" spans="1:21" x14ac:dyDescent="0.3">
      <c r="A10" t="s">
        <v>27</v>
      </c>
      <c r="B10" t="s">
        <v>469</v>
      </c>
      <c r="C10">
        <v>143</v>
      </c>
      <c r="D10" t="s">
        <v>14</v>
      </c>
      <c r="E10" t="s">
        <v>45</v>
      </c>
      <c r="F10" s="3" t="s">
        <v>533</v>
      </c>
      <c r="G10">
        <v>20018</v>
      </c>
      <c r="H10" t="s">
        <v>219</v>
      </c>
      <c r="I10" t="s">
        <v>220</v>
      </c>
      <c r="J10" t="s">
        <v>534</v>
      </c>
      <c r="K10" t="s">
        <v>95</v>
      </c>
      <c r="L10" t="s">
        <v>477</v>
      </c>
      <c r="M10" t="s">
        <v>344</v>
      </c>
      <c r="N10" t="s">
        <v>535</v>
      </c>
      <c r="O10">
        <v>33</v>
      </c>
      <c r="P10" s="7">
        <v>9828</v>
      </c>
      <c r="Q10">
        <v>0.15</v>
      </c>
      <c r="R10">
        <v>3.97</v>
      </c>
      <c r="S10" s="5">
        <f>O10/730</f>
        <v>4.5205479452054796E-2</v>
      </c>
      <c r="T10" t="s">
        <v>16</v>
      </c>
      <c r="U10" t="s">
        <v>16</v>
      </c>
    </row>
    <row r="11" spans="1:21" x14ac:dyDescent="0.3">
      <c r="A11" t="s">
        <v>27</v>
      </c>
      <c r="B11" t="s">
        <v>47</v>
      </c>
      <c r="C11">
        <v>143</v>
      </c>
      <c r="D11" t="s">
        <v>14</v>
      </c>
      <c r="E11" t="s">
        <v>45</v>
      </c>
      <c r="F11" s="3" t="s">
        <v>326</v>
      </c>
      <c r="G11">
        <v>20018</v>
      </c>
      <c r="H11" t="s">
        <v>219</v>
      </c>
      <c r="I11" t="s">
        <v>222</v>
      </c>
      <c r="J11" t="s">
        <v>53</v>
      </c>
      <c r="K11" t="s">
        <v>95</v>
      </c>
      <c r="L11" t="s">
        <v>53</v>
      </c>
      <c r="M11" t="s">
        <v>319</v>
      </c>
      <c r="N11" t="s">
        <v>328</v>
      </c>
      <c r="O11">
        <v>13</v>
      </c>
      <c r="P11" s="7">
        <v>3800</v>
      </c>
      <c r="Q11">
        <v>0.23</v>
      </c>
      <c r="R11">
        <v>3.92</v>
      </c>
      <c r="S11" s="5">
        <f>O11/730</f>
        <v>1.7808219178082191E-2</v>
      </c>
      <c r="T11" t="s">
        <v>16</v>
      </c>
      <c r="U11" t="s">
        <v>16</v>
      </c>
    </row>
    <row r="12" spans="1:21" x14ac:dyDescent="0.3">
      <c r="A12" t="s">
        <v>27</v>
      </c>
      <c r="B12" t="s">
        <v>536</v>
      </c>
      <c r="C12">
        <v>143</v>
      </c>
      <c r="D12" t="s">
        <v>14</v>
      </c>
      <c r="E12" t="s">
        <v>45</v>
      </c>
      <c r="F12" s="3" t="s">
        <v>550</v>
      </c>
      <c r="G12">
        <v>20018</v>
      </c>
      <c r="H12" t="s">
        <v>219</v>
      </c>
      <c r="I12" t="s">
        <v>220</v>
      </c>
      <c r="J12" t="s">
        <v>551</v>
      </c>
      <c r="K12" t="s">
        <v>539</v>
      </c>
      <c r="L12" t="s">
        <v>477</v>
      </c>
      <c r="M12" t="s">
        <v>95</v>
      </c>
      <c r="N12" t="s">
        <v>95</v>
      </c>
      <c r="O12">
        <v>31</v>
      </c>
      <c r="P12" s="7">
        <v>8668</v>
      </c>
      <c r="Q12">
        <v>0.12</v>
      </c>
      <c r="R12">
        <v>3.79</v>
      </c>
      <c r="S12" s="5">
        <f>O12/730</f>
        <v>4.2465753424657533E-2</v>
      </c>
      <c r="T12" t="s">
        <v>16</v>
      </c>
      <c r="U12" t="s">
        <v>16</v>
      </c>
    </row>
    <row r="13" spans="1:21" x14ac:dyDescent="0.3">
      <c r="A13" t="s">
        <v>27</v>
      </c>
      <c r="B13" t="s">
        <v>68</v>
      </c>
      <c r="C13">
        <v>143</v>
      </c>
      <c r="D13" t="s">
        <v>14</v>
      </c>
      <c r="E13" t="s">
        <v>45</v>
      </c>
      <c r="F13" s="3" t="s">
        <v>523</v>
      </c>
      <c r="G13">
        <v>20018</v>
      </c>
      <c r="H13" t="s">
        <v>219</v>
      </c>
      <c r="I13" t="s">
        <v>220</v>
      </c>
      <c r="J13" t="s">
        <v>95</v>
      </c>
      <c r="K13" t="s">
        <v>524</v>
      </c>
      <c r="L13" t="s">
        <v>477</v>
      </c>
      <c r="M13" t="s">
        <v>344</v>
      </c>
      <c r="N13" t="s">
        <v>392</v>
      </c>
      <c r="O13">
        <v>28</v>
      </c>
      <c r="P13" s="7">
        <v>7788</v>
      </c>
      <c r="Q13">
        <v>0.14000000000000001</v>
      </c>
      <c r="R13">
        <v>3.78</v>
      </c>
      <c r="S13" s="5">
        <f>O13/730</f>
        <v>3.8356164383561646E-2</v>
      </c>
      <c r="T13" t="s">
        <v>16</v>
      </c>
      <c r="U13" t="s">
        <v>16</v>
      </c>
    </row>
    <row r="14" spans="1:21" x14ac:dyDescent="0.3">
      <c r="A14" t="s">
        <v>27</v>
      </c>
      <c r="B14" t="s">
        <v>68</v>
      </c>
      <c r="C14">
        <v>143</v>
      </c>
      <c r="D14" t="s">
        <v>14</v>
      </c>
      <c r="E14" t="s">
        <v>45</v>
      </c>
      <c r="F14" s="3" t="s">
        <v>336</v>
      </c>
      <c r="G14">
        <v>20018</v>
      </c>
      <c r="H14" t="s">
        <v>219</v>
      </c>
      <c r="I14" t="s">
        <v>339</v>
      </c>
      <c r="J14" t="s">
        <v>95</v>
      </c>
      <c r="K14" t="s">
        <v>95</v>
      </c>
      <c r="L14" t="s">
        <v>53</v>
      </c>
      <c r="M14" t="s">
        <v>53</v>
      </c>
      <c r="N14" t="s">
        <v>340</v>
      </c>
      <c r="O14">
        <v>49</v>
      </c>
      <c r="P14" s="7">
        <v>13236</v>
      </c>
      <c r="Q14">
        <v>0.12</v>
      </c>
      <c r="R14">
        <v>3.7</v>
      </c>
      <c r="S14" s="5">
        <f>O14/730</f>
        <v>6.7123287671232879E-2</v>
      </c>
      <c r="T14" t="s">
        <v>16</v>
      </c>
      <c r="U14" t="s">
        <v>16</v>
      </c>
    </row>
    <row r="15" spans="1:21" x14ac:dyDescent="0.3">
      <c r="A15" t="s">
        <v>27</v>
      </c>
      <c r="B15" t="s">
        <v>68</v>
      </c>
      <c r="C15">
        <v>143</v>
      </c>
      <c r="D15" t="s">
        <v>14</v>
      </c>
      <c r="E15" t="s">
        <v>45</v>
      </c>
      <c r="F15" s="3" t="s">
        <v>439</v>
      </c>
      <c r="G15">
        <v>20018</v>
      </c>
      <c r="H15" t="s">
        <v>219</v>
      </c>
      <c r="I15" t="s">
        <v>220</v>
      </c>
      <c r="J15" t="s">
        <v>95</v>
      </c>
      <c r="K15" t="s">
        <v>95</v>
      </c>
      <c r="L15" t="s">
        <v>440</v>
      </c>
      <c r="M15" t="s">
        <v>95</v>
      </c>
      <c r="N15" t="s">
        <v>392</v>
      </c>
      <c r="O15">
        <v>27</v>
      </c>
      <c r="P15" s="7">
        <v>7298</v>
      </c>
      <c r="Q15">
        <v>0.18</v>
      </c>
      <c r="R15">
        <v>3.7</v>
      </c>
      <c r="S15" s="5">
        <f>O15/730</f>
        <v>3.6986301369863014E-2</v>
      </c>
      <c r="T15" t="s">
        <v>16</v>
      </c>
      <c r="U15" t="s">
        <v>16</v>
      </c>
    </row>
    <row r="16" spans="1:21" x14ac:dyDescent="0.3">
      <c r="A16" t="s">
        <v>27</v>
      </c>
      <c r="B16" t="s">
        <v>68</v>
      </c>
      <c r="C16">
        <v>143</v>
      </c>
      <c r="D16" t="s">
        <v>14</v>
      </c>
      <c r="E16" t="s">
        <v>45</v>
      </c>
      <c r="F16" s="3" t="s">
        <v>494</v>
      </c>
      <c r="G16">
        <v>20018</v>
      </c>
      <c r="H16" t="s">
        <v>219</v>
      </c>
      <c r="I16" t="s">
        <v>220</v>
      </c>
      <c r="J16" t="s">
        <v>95</v>
      </c>
      <c r="K16" t="s">
        <v>496</v>
      </c>
      <c r="L16" t="s">
        <v>95</v>
      </c>
      <c r="M16" t="s">
        <v>95</v>
      </c>
      <c r="N16" t="s">
        <v>495</v>
      </c>
      <c r="O16">
        <v>30</v>
      </c>
      <c r="P16" s="7">
        <v>8117</v>
      </c>
      <c r="Q16">
        <v>0.1</v>
      </c>
      <c r="R16">
        <v>3.7</v>
      </c>
      <c r="S16" s="5">
        <f>O16/730</f>
        <v>4.1095890410958902E-2</v>
      </c>
      <c r="T16" t="s">
        <v>16</v>
      </c>
      <c r="U16" t="s">
        <v>16</v>
      </c>
    </row>
    <row r="17" spans="1:21" x14ac:dyDescent="0.3">
      <c r="A17" t="s">
        <v>27</v>
      </c>
      <c r="B17" t="s">
        <v>536</v>
      </c>
      <c r="C17">
        <v>143</v>
      </c>
      <c r="D17" t="s">
        <v>182</v>
      </c>
      <c r="E17" t="s">
        <v>45</v>
      </c>
      <c r="F17" s="3" t="s">
        <v>593</v>
      </c>
      <c r="G17">
        <v>20018</v>
      </c>
      <c r="H17" t="s">
        <v>219</v>
      </c>
      <c r="I17" t="s">
        <v>591</v>
      </c>
      <c r="J17" t="s">
        <v>95</v>
      </c>
      <c r="K17" t="s">
        <v>594</v>
      </c>
      <c r="L17" t="s">
        <v>579</v>
      </c>
      <c r="M17" t="s">
        <v>95</v>
      </c>
      <c r="N17" t="s">
        <v>595</v>
      </c>
      <c r="O17">
        <v>28</v>
      </c>
      <c r="P17" s="7">
        <v>7578</v>
      </c>
      <c r="Q17">
        <v>0.17</v>
      </c>
      <c r="R17">
        <v>3.7</v>
      </c>
      <c r="S17" s="5">
        <f>O17/730</f>
        <v>3.8356164383561646E-2</v>
      </c>
      <c r="T17" t="s">
        <v>16</v>
      </c>
      <c r="U17" t="s">
        <v>16</v>
      </c>
    </row>
    <row r="18" spans="1:21" x14ac:dyDescent="0.3">
      <c r="A18" t="s">
        <v>27</v>
      </c>
      <c r="B18" t="s">
        <v>459</v>
      </c>
      <c r="C18">
        <v>143</v>
      </c>
      <c r="D18" t="s">
        <v>14</v>
      </c>
      <c r="E18" t="s">
        <v>45</v>
      </c>
      <c r="F18" s="3" t="s">
        <v>461</v>
      </c>
      <c r="G18">
        <v>20018</v>
      </c>
      <c r="H18" t="s">
        <v>219</v>
      </c>
      <c r="I18" t="s">
        <v>220</v>
      </c>
      <c r="J18" t="s">
        <v>95</v>
      </c>
      <c r="K18" t="s">
        <v>95</v>
      </c>
      <c r="L18" t="s">
        <v>462</v>
      </c>
      <c r="M18" t="s">
        <v>445</v>
      </c>
      <c r="N18" t="s">
        <v>95</v>
      </c>
      <c r="O18">
        <v>58</v>
      </c>
      <c r="P18" s="7">
        <v>14839</v>
      </c>
      <c r="Q18">
        <v>0.1</v>
      </c>
      <c r="R18">
        <v>3.55</v>
      </c>
      <c r="S18" s="5">
        <f>O18/730</f>
        <v>7.9452054794520555E-2</v>
      </c>
      <c r="T18" t="s">
        <v>16</v>
      </c>
      <c r="U18" t="s">
        <v>16</v>
      </c>
    </row>
    <row r="19" spans="1:21" x14ac:dyDescent="0.3">
      <c r="A19" t="s">
        <v>27</v>
      </c>
      <c r="B19" t="s">
        <v>24</v>
      </c>
      <c r="C19">
        <v>143</v>
      </c>
      <c r="D19" t="s">
        <v>14</v>
      </c>
      <c r="E19" t="s">
        <v>45</v>
      </c>
      <c r="F19" s="3" t="s">
        <v>273</v>
      </c>
      <c r="G19">
        <v>20018</v>
      </c>
      <c r="H19" t="s">
        <v>219</v>
      </c>
      <c r="I19" t="s">
        <v>220</v>
      </c>
      <c r="J19" t="s">
        <v>95</v>
      </c>
      <c r="K19" t="s">
        <v>53</v>
      </c>
      <c r="L19" t="s">
        <v>95</v>
      </c>
      <c r="M19" t="s">
        <v>95</v>
      </c>
      <c r="N19" t="s">
        <v>275</v>
      </c>
      <c r="O19">
        <v>16</v>
      </c>
      <c r="P19" s="7">
        <v>4060</v>
      </c>
      <c r="Q19">
        <v>0.12</v>
      </c>
      <c r="R19">
        <v>3.53</v>
      </c>
      <c r="S19" s="5">
        <f>O19/730</f>
        <v>2.1917808219178082E-2</v>
      </c>
      <c r="T19" t="s">
        <v>16</v>
      </c>
      <c r="U19" t="s">
        <v>16</v>
      </c>
    </row>
    <row r="20" spans="1:21" x14ac:dyDescent="0.3">
      <c r="A20" t="s">
        <v>27</v>
      </c>
      <c r="B20" t="s">
        <v>24</v>
      </c>
      <c r="C20">
        <v>143</v>
      </c>
      <c r="D20" t="s">
        <v>14</v>
      </c>
      <c r="E20" t="s">
        <v>45</v>
      </c>
      <c r="F20" s="3" t="s">
        <v>50</v>
      </c>
      <c r="G20">
        <v>20018</v>
      </c>
      <c r="H20" t="s">
        <v>219</v>
      </c>
      <c r="I20" t="s">
        <v>221</v>
      </c>
      <c r="J20" t="s">
        <v>95</v>
      </c>
      <c r="K20" t="s">
        <v>53</v>
      </c>
      <c r="L20" t="s">
        <v>95</v>
      </c>
      <c r="M20" t="s">
        <v>95</v>
      </c>
      <c r="N20" t="s">
        <v>260</v>
      </c>
      <c r="O20">
        <v>14</v>
      </c>
      <c r="P20" s="7">
        <v>3539</v>
      </c>
      <c r="Q20">
        <v>0.21</v>
      </c>
      <c r="R20">
        <v>3.52</v>
      </c>
      <c r="S20" s="5">
        <f>O20/730</f>
        <v>1.9178082191780823E-2</v>
      </c>
      <c r="T20" t="s">
        <v>16</v>
      </c>
      <c r="U20" t="s">
        <v>16</v>
      </c>
    </row>
    <row r="21" spans="1:21" x14ac:dyDescent="0.3">
      <c r="A21" t="s">
        <v>27</v>
      </c>
      <c r="B21" t="s">
        <v>68</v>
      </c>
      <c r="C21">
        <v>143</v>
      </c>
      <c r="D21" t="s">
        <v>14</v>
      </c>
      <c r="E21" t="s">
        <v>45</v>
      </c>
      <c r="F21" s="3" t="s">
        <v>130</v>
      </c>
      <c r="G21">
        <v>20018</v>
      </c>
      <c r="H21" t="s">
        <v>219</v>
      </c>
      <c r="I21" t="s">
        <v>220</v>
      </c>
      <c r="J21" t="s">
        <v>95</v>
      </c>
      <c r="K21" t="s">
        <v>95</v>
      </c>
      <c r="L21" t="s">
        <v>477</v>
      </c>
      <c r="M21" t="s">
        <v>477</v>
      </c>
      <c r="N21" t="s">
        <v>488</v>
      </c>
      <c r="O21">
        <v>31</v>
      </c>
      <c r="P21" s="7">
        <v>7637</v>
      </c>
      <c r="Q21">
        <v>0.09</v>
      </c>
      <c r="R21">
        <v>3.46</v>
      </c>
      <c r="S21" s="5">
        <f>O21/730</f>
        <v>4.2465753424657533E-2</v>
      </c>
      <c r="T21" t="s">
        <v>16</v>
      </c>
      <c r="U21" t="s">
        <v>16</v>
      </c>
    </row>
    <row r="22" spans="1:21" x14ac:dyDescent="0.3">
      <c r="A22" t="s">
        <v>27</v>
      </c>
      <c r="B22" t="s">
        <v>68</v>
      </c>
      <c r="C22">
        <v>143</v>
      </c>
      <c r="D22" t="s">
        <v>14</v>
      </c>
      <c r="E22" t="s">
        <v>45</v>
      </c>
      <c r="F22" s="3" t="s">
        <v>346</v>
      </c>
      <c r="G22">
        <v>20018</v>
      </c>
      <c r="H22" t="s">
        <v>219</v>
      </c>
      <c r="I22" t="s">
        <v>220</v>
      </c>
      <c r="J22" t="s">
        <v>95</v>
      </c>
      <c r="K22" t="s">
        <v>344</v>
      </c>
      <c r="L22" t="s">
        <v>53</v>
      </c>
      <c r="M22" t="s">
        <v>350</v>
      </c>
      <c r="N22" t="s">
        <v>344</v>
      </c>
      <c r="O22">
        <v>30</v>
      </c>
      <c r="P22" s="7">
        <v>7319</v>
      </c>
      <c r="Q22">
        <v>0.1</v>
      </c>
      <c r="R22">
        <v>3.43</v>
      </c>
      <c r="S22" s="5">
        <f>O22/730</f>
        <v>4.1095890410958902E-2</v>
      </c>
      <c r="T22" t="s">
        <v>16</v>
      </c>
      <c r="U22" t="s">
        <v>16</v>
      </c>
    </row>
    <row r="23" spans="1:21" x14ac:dyDescent="0.3">
      <c r="A23" t="s">
        <v>27</v>
      </c>
      <c r="B23" t="s">
        <v>68</v>
      </c>
      <c r="C23">
        <v>143</v>
      </c>
      <c r="D23" t="s">
        <v>14</v>
      </c>
      <c r="E23" t="s">
        <v>45</v>
      </c>
      <c r="F23" s="3" t="s">
        <v>434</v>
      </c>
      <c r="G23">
        <v>20018</v>
      </c>
      <c r="H23" t="s">
        <v>219</v>
      </c>
      <c r="I23" t="s">
        <v>435</v>
      </c>
      <c r="J23" t="s">
        <v>95</v>
      </c>
      <c r="K23" t="s">
        <v>95</v>
      </c>
      <c r="L23" t="s">
        <v>95</v>
      </c>
      <c r="M23" t="s">
        <v>436</v>
      </c>
      <c r="N23" t="s">
        <v>392</v>
      </c>
      <c r="O23">
        <v>27</v>
      </c>
      <c r="P23" s="7">
        <v>6249</v>
      </c>
      <c r="Q23">
        <v>0.11</v>
      </c>
      <c r="R23">
        <v>3.31</v>
      </c>
      <c r="S23" s="5">
        <f>O23/730</f>
        <v>3.6986301369863014E-2</v>
      </c>
      <c r="T23" t="s">
        <v>16</v>
      </c>
      <c r="U23" t="s">
        <v>16</v>
      </c>
    </row>
    <row r="24" spans="1:21" x14ac:dyDescent="0.3">
      <c r="A24" t="s">
        <v>27</v>
      </c>
      <c r="B24" t="s">
        <v>536</v>
      </c>
      <c r="C24">
        <v>143</v>
      </c>
      <c r="D24" t="s">
        <v>14</v>
      </c>
      <c r="E24" t="s">
        <v>45</v>
      </c>
      <c r="F24" s="3" t="s">
        <v>563</v>
      </c>
      <c r="G24">
        <v>20018</v>
      </c>
      <c r="H24" t="s">
        <v>219</v>
      </c>
      <c r="I24" t="s">
        <v>220</v>
      </c>
      <c r="J24" t="s">
        <v>95</v>
      </c>
      <c r="K24" t="s">
        <v>539</v>
      </c>
      <c r="L24" t="s">
        <v>564</v>
      </c>
      <c r="M24" t="s">
        <v>95</v>
      </c>
      <c r="N24" t="s">
        <v>565</v>
      </c>
      <c r="O24">
        <v>25</v>
      </c>
      <c r="P24" s="7">
        <v>5797</v>
      </c>
      <c r="Q24">
        <v>0.16</v>
      </c>
      <c r="R24">
        <v>3.31</v>
      </c>
      <c r="S24" s="5">
        <f>O24/730</f>
        <v>3.4246575342465752E-2</v>
      </c>
      <c r="T24" t="s">
        <v>16</v>
      </c>
      <c r="U24" t="s">
        <v>16</v>
      </c>
    </row>
    <row r="25" spans="1:21" x14ac:dyDescent="0.3">
      <c r="A25" t="s">
        <v>27</v>
      </c>
      <c r="B25" t="s">
        <v>536</v>
      </c>
      <c r="C25">
        <v>143</v>
      </c>
      <c r="D25" t="s">
        <v>14</v>
      </c>
      <c r="E25" t="s">
        <v>45</v>
      </c>
      <c r="F25" s="3" t="s">
        <v>568</v>
      </c>
      <c r="G25">
        <v>20018</v>
      </c>
      <c r="H25" t="s">
        <v>219</v>
      </c>
      <c r="I25" t="s">
        <v>220</v>
      </c>
      <c r="J25" t="s">
        <v>95</v>
      </c>
      <c r="K25" t="s">
        <v>539</v>
      </c>
      <c r="L25" t="s">
        <v>569</v>
      </c>
      <c r="M25" t="s">
        <v>477</v>
      </c>
      <c r="N25" t="s">
        <v>95</v>
      </c>
      <c r="O25">
        <v>55</v>
      </c>
      <c r="P25" s="7">
        <v>12318</v>
      </c>
      <c r="Q25">
        <v>0.09</v>
      </c>
      <c r="R25">
        <v>3.23</v>
      </c>
      <c r="S25" s="5">
        <f>O25/730</f>
        <v>7.5342465753424653E-2</v>
      </c>
      <c r="T25" t="s">
        <v>16</v>
      </c>
      <c r="U25" t="s">
        <v>16</v>
      </c>
    </row>
    <row r="26" spans="1:21" x14ac:dyDescent="0.3">
      <c r="A26" t="s">
        <v>27</v>
      </c>
      <c r="B26" t="s">
        <v>24</v>
      </c>
      <c r="C26">
        <v>143</v>
      </c>
      <c r="D26" t="s">
        <v>14</v>
      </c>
      <c r="E26" t="s">
        <v>45</v>
      </c>
      <c r="F26" s="3" t="s">
        <v>50</v>
      </c>
      <c r="G26">
        <v>20018</v>
      </c>
      <c r="H26" t="s">
        <v>219</v>
      </c>
      <c r="I26" t="s">
        <v>222</v>
      </c>
      <c r="J26" t="s">
        <v>95</v>
      </c>
      <c r="K26" t="s">
        <v>95</v>
      </c>
      <c r="L26" t="s">
        <v>95</v>
      </c>
      <c r="M26" t="s">
        <v>95</v>
      </c>
      <c r="N26" t="s">
        <v>271</v>
      </c>
      <c r="O26">
        <v>395</v>
      </c>
      <c r="P26" s="7">
        <v>11994</v>
      </c>
      <c r="Q26">
        <v>0.16</v>
      </c>
      <c r="R26">
        <v>3.18</v>
      </c>
      <c r="S26" s="5">
        <f>O26/730</f>
        <v>0.54109589041095896</v>
      </c>
      <c r="T26" t="s">
        <v>16</v>
      </c>
      <c r="U26" t="s">
        <v>16</v>
      </c>
    </row>
    <row r="27" spans="1:21" x14ac:dyDescent="0.3">
      <c r="A27" t="s">
        <v>27</v>
      </c>
      <c r="B27" t="s">
        <v>68</v>
      </c>
      <c r="C27">
        <v>143</v>
      </c>
      <c r="D27" t="s">
        <v>14</v>
      </c>
      <c r="E27" t="s">
        <v>45</v>
      </c>
      <c r="F27" s="3" t="s">
        <v>408</v>
      </c>
      <c r="G27">
        <v>20018</v>
      </c>
      <c r="H27" t="s">
        <v>219</v>
      </c>
      <c r="I27" t="s">
        <v>225</v>
      </c>
      <c r="J27" t="s">
        <v>409</v>
      </c>
      <c r="K27" t="s">
        <v>95</v>
      </c>
      <c r="L27" t="s">
        <v>95</v>
      </c>
      <c r="M27" t="s">
        <v>95</v>
      </c>
      <c r="N27" t="s">
        <v>95</v>
      </c>
      <c r="O27">
        <v>22</v>
      </c>
      <c r="P27" s="7">
        <v>4779</v>
      </c>
      <c r="Q27">
        <v>0.18</v>
      </c>
      <c r="R27">
        <v>3.17</v>
      </c>
      <c r="S27" s="5">
        <f>O27/730</f>
        <v>3.0136986301369864E-2</v>
      </c>
      <c r="T27" t="s">
        <v>16</v>
      </c>
      <c r="U27" t="s">
        <v>16</v>
      </c>
    </row>
    <row r="28" spans="1:21" x14ac:dyDescent="0.3">
      <c r="A28" t="s">
        <v>27</v>
      </c>
      <c r="B28" t="s">
        <v>68</v>
      </c>
      <c r="C28">
        <v>143</v>
      </c>
      <c r="D28" t="s">
        <v>14</v>
      </c>
      <c r="E28" t="s">
        <v>45</v>
      </c>
      <c r="F28" s="3" t="s">
        <v>346</v>
      </c>
      <c r="G28">
        <v>20018</v>
      </c>
      <c r="H28" t="s">
        <v>219</v>
      </c>
      <c r="I28" t="s">
        <v>225</v>
      </c>
      <c r="J28" t="s">
        <v>95</v>
      </c>
      <c r="K28" t="s">
        <v>344</v>
      </c>
      <c r="L28" t="s">
        <v>53</v>
      </c>
      <c r="M28" t="s">
        <v>53</v>
      </c>
      <c r="N28" t="s">
        <v>347</v>
      </c>
      <c r="O28">
        <v>15</v>
      </c>
      <c r="P28" s="7">
        <v>3239</v>
      </c>
      <c r="Q28">
        <v>0.13</v>
      </c>
      <c r="R28">
        <v>3.15</v>
      </c>
      <c r="S28" s="5">
        <f>O28/730</f>
        <v>2.0547945205479451E-2</v>
      </c>
      <c r="T28" t="s">
        <v>16</v>
      </c>
      <c r="U28" t="s">
        <v>16</v>
      </c>
    </row>
    <row r="29" spans="1:21" x14ac:dyDescent="0.3">
      <c r="A29" t="s">
        <v>27</v>
      </c>
      <c r="B29" t="s">
        <v>536</v>
      </c>
      <c r="C29">
        <v>143</v>
      </c>
      <c r="D29" t="s">
        <v>182</v>
      </c>
      <c r="E29" t="s">
        <v>45</v>
      </c>
      <c r="F29" s="3" t="s">
        <v>585</v>
      </c>
      <c r="G29">
        <v>20018</v>
      </c>
      <c r="H29" t="s">
        <v>219</v>
      </c>
      <c r="I29" t="s">
        <v>588</v>
      </c>
      <c r="J29" t="s">
        <v>589</v>
      </c>
      <c r="K29" t="s">
        <v>95</v>
      </c>
      <c r="L29" t="s">
        <v>579</v>
      </c>
      <c r="M29" t="s">
        <v>95</v>
      </c>
      <c r="N29" t="s">
        <v>95</v>
      </c>
      <c r="O29">
        <v>36</v>
      </c>
      <c r="P29" s="7">
        <v>7639</v>
      </c>
      <c r="Q29">
        <v>0.16</v>
      </c>
      <c r="R29">
        <v>3.12</v>
      </c>
      <c r="S29" s="5">
        <f>O29/730</f>
        <v>4.9315068493150684E-2</v>
      </c>
      <c r="T29" t="s">
        <v>16</v>
      </c>
      <c r="U29" t="s">
        <v>16</v>
      </c>
    </row>
    <row r="30" spans="1:21" x14ac:dyDescent="0.3">
      <c r="A30" t="s">
        <v>27</v>
      </c>
      <c r="B30" t="s">
        <v>297</v>
      </c>
      <c r="C30">
        <v>143</v>
      </c>
      <c r="D30" t="s">
        <v>14</v>
      </c>
      <c r="E30" t="s">
        <v>45</v>
      </c>
      <c r="F30" s="3" t="s">
        <v>306</v>
      </c>
      <c r="G30">
        <v>20018</v>
      </c>
      <c r="H30" t="s">
        <v>219</v>
      </c>
      <c r="I30" t="s">
        <v>307</v>
      </c>
      <c r="J30" t="s">
        <v>53</v>
      </c>
      <c r="K30" t="s">
        <v>308</v>
      </c>
      <c r="L30" t="s">
        <v>53</v>
      </c>
      <c r="M30" t="s">
        <v>53</v>
      </c>
      <c r="N30" t="s">
        <v>53</v>
      </c>
      <c r="O30">
        <v>33</v>
      </c>
      <c r="P30" s="7">
        <v>6898</v>
      </c>
      <c r="Q30">
        <v>0.12</v>
      </c>
      <c r="R30">
        <v>3.09</v>
      </c>
      <c r="S30" s="5">
        <f>O30/730</f>
        <v>4.5205479452054796E-2</v>
      </c>
      <c r="T30" t="s">
        <v>16</v>
      </c>
      <c r="U30" t="s">
        <v>16</v>
      </c>
    </row>
    <row r="31" spans="1:21" x14ac:dyDescent="0.3">
      <c r="A31" t="s">
        <v>27</v>
      </c>
      <c r="B31" t="s">
        <v>24</v>
      </c>
      <c r="C31">
        <v>143</v>
      </c>
      <c r="D31" t="s">
        <v>14</v>
      </c>
      <c r="E31" t="s">
        <v>45</v>
      </c>
      <c r="F31" s="3" t="s">
        <v>183</v>
      </c>
      <c r="G31">
        <v>20018</v>
      </c>
      <c r="H31" t="s">
        <v>219</v>
      </c>
      <c r="I31" t="s">
        <v>222</v>
      </c>
      <c r="J31" t="s">
        <v>95</v>
      </c>
      <c r="K31" t="s">
        <v>232</v>
      </c>
      <c r="L31" t="s">
        <v>16</v>
      </c>
      <c r="M31" t="s">
        <v>53</v>
      </c>
      <c r="N31" t="s">
        <v>95</v>
      </c>
      <c r="O31">
        <v>24</v>
      </c>
      <c r="P31" s="7">
        <v>4838</v>
      </c>
      <c r="Q31">
        <v>0.12</v>
      </c>
      <c r="R31">
        <v>3.01</v>
      </c>
      <c r="S31" s="5">
        <f>O31/730</f>
        <v>3.287671232876712E-2</v>
      </c>
      <c r="T31" t="s">
        <v>16</v>
      </c>
      <c r="U31" t="s">
        <v>16</v>
      </c>
    </row>
    <row r="32" spans="1:21" x14ac:dyDescent="0.3">
      <c r="A32" t="s">
        <v>27</v>
      </c>
      <c r="B32" t="s">
        <v>68</v>
      </c>
      <c r="C32">
        <v>143</v>
      </c>
      <c r="D32" t="s">
        <v>14</v>
      </c>
      <c r="E32" t="s">
        <v>45</v>
      </c>
      <c r="F32" s="3" t="s">
        <v>374</v>
      </c>
      <c r="G32">
        <v>20018</v>
      </c>
      <c r="H32" t="s">
        <v>219</v>
      </c>
      <c r="I32" t="s">
        <v>225</v>
      </c>
      <c r="J32" t="s">
        <v>344</v>
      </c>
      <c r="K32" t="s">
        <v>95</v>
      </c>
      <c r="L32" t="s">
        <v>375</v>
      </c>
      <c r="M32" t="s">
        <v>95</v>
      </c>
      <c r="N32" t="s">
        <v>95</v>
      </c>
      <c r="O32">
        <v>60</v>
      </c>
      <c r="P32" s="7">
        <v>11879</v>
      </c>
      <c r="Q32">
        <v>0.11</v>
      </c>
      <c r="R32">
        <v>2.97</v>
      </c>
      <c r="S32" s="5">
        <f>O32/730</f>
        <v>8.2191780821917804E-2</v>
      </c>
      <c r="T32" t="s">
        <v>16</v>
      </c>
      <c r="U32" t="s">
        <v>16</v>
      </c>
    </row>
    <row r="33" spans="1:21" x14ac:dyDescent="0.3">
      <c r="A33" t="s">
        <v>27</v>
      </c>
      <c r="B33" t="s">
        <v>68</v>
      </c>
      <c r="C33">
        <v>143</v>
      </c>
      <c r="D33" t="s">
        <v>14</v>
      </c>
      <c r="E33" t="s">
        <v>45</v>
      </c>
      <c r="F33" s="3" t="s">
        <v>379</v>
      </c>
      <c r="G33">
        <v>20018</v>
      </c>
      <c r="H33" t="s">
        <v>219</v>
      </c>
      <c r="I33" t="s">
        <v>222</v>
      </c>
      <c r="J33" t="s">
        <v>95</v>
      </c>
      <c r="K33" t="s">
        <v>95</v>
      </c>
      <c r="L33" t="s">
        <v>382</v>
      </c>
      <c r="M33" t="s">
        <v>95</v>
      </c>
      <c r="N33" t="s">
        <v>381</v>
      </c>
      <c r="O33">
        <v>35</v>
      </c>
      <c r="P33" s="7">
        <v>6819</v>
      </c>
      <c r="Q33">
        <v>0.17</v>
      </c>
      <c r="R33">
        <v>2.94</v>
      </c>
      <c r="S33" s="5">
        <f>O33/730</f>
        <v>4.7945205479452052E-2</v>
      </c>
      <c r="T33" t="s">
        <v>16</v>
      </c>
      <c r="U33" t="s">
        <v>16</v>
      </c>
    </row>
    <row r="34" spans="1:21" x14ac:dyDescent="0.3">
      <c r="A34" t="s">
        <v>27</v>
      </c>
      <c r="B34" t="s">
        <v>536</v>
      </c>
      <c r="C34">
        <v>143</v>
      </c>
      <c r="D34" t="s">
        <v>14</v>
      </c>
      <c r="E34" t="s">
        <v>45</v>
      </c>
      <c r="F34" s="3" t="s">
        <v>169</v>
      </c>
      <c r="G34">
        <v>20018</v>
      </c>
      <c r="H34" t="s">
        <v>219</v>
      </c>
      <c r="I34" t="s">
        <v>220</v>
      </c>
      <c r="J34" t="s">
        <v>540</v>
      </c>
      <c r="K34" t="s">
        <v>539</v>
      </c>
      <c r="L34" t="s">
        <v>477</v>
      </c>
      <c r="M34" t="s">
        <v>344</v>
      </c>
      <c r="N34" t="s">
        <v>95</v>
      </c>
      <c r="O34">
        <v>137</v>
      </c>
      <c r="P34" s="7">
        <v>26461</v>
      </c>
      <c r="Q34">
        <v>0.11</v>
      </c>
      <c r="R34">
        <v>2.93</v>
      </c>
      <c r="S34" s="5">
        <f>O34/730</f>
        <v>0.18767123287671234</v>
      </c>
      <c r="T34" t="s">
        <v>16</v>
      </c>
      <c r="U34" t="s">
        <v>16</v>
      </c>
    </row>
    <row r="35" spans="1:21" x14ac:dyDescent="0.3">
      <c r="A35" t="s">
        <v>27</v>
      </c>
      <c r="B35" t="s">
        <v>68</v>
      </c>
      <c r="C35">
        <v>143</v>
      </c>
      <c r="D35" t="s">
        <v>14</v>
      </c>
      <c r="E35" t="s">
        <v>45</v>
      </c>
      <c r="F35" s="3" t="s">
        <v>396</v>
      </c>
      <c r="G35">
        <v>20018</v>
      </c>
      <c r="H35" t="s">
        <v>219</v>
      </c>
      <c r="I35" t="s">
        <v>220</v>
      </c>
      <c r="J35" t="s">
        <v>95</v>
      </c>
      <c r="K35" t="s">
        <v>399</v>
      </c>
      <c r="L35" t="s">
        <v>95</v>
      </c>
      <c r="M35" t="s">
        <v>95</v>
      </c>
      <c r="N35" t="s">
        <v>387</v>
      </c>
      <c r="O35">
        <v>30</v>
      </c>
      <c r="P35" s="7">
        <v>5788</v>
      </c>
      <c r="Q35">
        <v>0.1</v>
      </c>
      <c r="R35">
        <v>2.92</v>
      </c>
      <c r="S35" s="5">
        <f>O35/730</f>
        <v>4.1095890410958902E-2</v>
      </c>
      <c r="T35" t="s">
        <v>16</v>
      </c>
      <c r="U35" t="s">
        <v>16</v>
      </c>
    </row>
    <row r="36" spans="1:21" x14ac:dyDescent="0.3">
      <c r="A36" t="s">
        <v>27</v>
      </c>
      <c r="B36" t="s">
        <v>297</v>
      </c>
      <c r="C36">
        <v>143</v>
      </c>
      <c r="D36" t="s">
        <v>14</v>
      </c>
      <c r="E36" t="s">
        <v>45</v>
      </c>
      <c r="F36" s="3" t="s">
        <v>293</v>
      </c>
      <c r="G36">
        <v>20018</v>
      </c>
      <c r="H36" t="s">
        <v>219</v>
      </c>
      <c r="I36" t="s">
        <v>220</v>
      </c>
      <c r="J36" t="s">
        <v>286</v>
      </c>
      <c r="K36" t="s">
        <v>53</v>
      </c>
      <c r="L36" t="s">
        <v>53</v>
      </c>
      <c r="M36" t="s">
        <v>53</v>
      </c>
      <c r="N36" t="s">
        <v>53</v>
      </c>
      <c r="O36">
        <v>26</v>
      </c>
      <c r="P36" s="7">
        <v>4878</v>
      </c>
      <c r="Q36">
        <v>0.19</v>
      </c>
      <c r="R36">
        <v>2.87</v>
      </c>
      <c r="S36" s="5">
        <f>O36/730</f>
        <v>3.5616438356164383E-2</v>
      </c>
      <c r="T36" t="s">
        <v>16</v>
      </c>
      <c r="U36" t="s">
        <v>16</v>
      </c>
    </row>
    <row r="37" spans="1:21" x14ac:dyDescent="0.3">
      <c r="A37" t="s">
        <v>27</v>
      </c>
      <c r="B37" t="s">
        <v>297</v>
      </c>
      <c r="C37">
        <v>143</v>
      </c>
      <c r="D37" t="s">
        <v>14</v>
      </c>
      <c r="E37" t="s">
        <v>45</v>
      </c>
      <c r="F37" s="3" t="s">
        <v>302</v>
      </c>
      <c r="G37">
        <v>20018</v>
      </c>
      <c r="H37" t="s">
        <v>219</v>
      </c>
      <c r="I37" t="s">
        <v>225</v>
      </c>
      <c r="J37" t="s">
        <v>53</v>
      </c>
      <c r="K37" t="s">
        <v>301</v>
      </c>
      <c r="L37" t="s">
        <v>53</v>
      </c>
      <c r="M37" t="s">
        <v>53</v>
      </c>
      <c r="N37" t="s">
        <v>53</v>
      </c>
      <c r="O37">
        <v>27</v>
      </c>
      <c r="P37" s="7">
        <v>5068</v>
      </c>
      <c r="Q37">
        <v>0.11</v>
      </c>
      <c r="R37">
        <v>2.87</v>
      </c>
      <c r="S37" s="5">
        <f>O37/730</f>
        <v>3.6986301369863014E-2</v>
      </c>
      <c r="T37" t="s">
        <v>16</v>
      </c>
      <c r="U37" t="s">
        <v>16</v>
      </c>
    </row>
    <row r="38" spans="1:21" x14ac:dyDescent="0.3">
      <c r="A38" t="s">
        <v>27</v>
      </c>
      <c r="B38" t="s">
        <v>68</v>
      </c>
      <c r="C38">
        <v>143</v>
      </c>
      <c r="D38" t="s">
        <v>14</v>
      </c>
      <c r="E38" t="s">
        <v>45</v>
      </c>
      <c r="F38" s="3" t="s">
        <v>441</v>
      </c>
      <c r="G38">
        <v>20018</v>
      </c>
      <c r="H38" t="s">
        <v>219</v>
      </c>
      <c r="I38" t="s">
        <v>225</v>
      </c>
      <c r="J38" t="s">
        <v>442</v>
      </c>
      <c r="K38" t="s">
        <v>95</v>
      </c>
      <c r="L38" t="s">
        <v>95</v>
      </c>
      <c r="M38" t="s">
        <v>95</v>
      </c>
      <c r="N38" t="s">
        <v>392</v>
      </c>
      <c r="O38">
        <v>47</v>
      </c>
      <c r="P38" s="7">
        <v>8758</v>
      </c>
      <c r="Q38">
        <v>0.14000000000000001</v>
      </c>
      <c r="R38">
        <v>2.86</v>
      </c>
      <c r="S38" s="5">
        <f>O38/730</f>
        <v>6.4383561643835616E-2</v>
      </c>
      <c r="T38" t="s">
        <v>16</v>
      </c>
      <c r="U38" t="s">
        <v>16</v>
      </c>
    </row>
    <row r="39" spans="1:21" x14ac:dyDescent="0.3">
      <c r="A39" t="s">
        <v>27</v>
      </c>
      <c r="B39" t="s">
        <v>68</v>
      </c>
      <c r="C39">
        <v>143</v>
      </c>
      <c r="D39" t="s">
        <v>14</v>
      </c>
      <c r="E39" t="s">
        <v>45</v>
      </c>
      <c r="F39" s="3" t="s">
        <v>87</v>
      </c>
      <c r="G39">
        <v>20018</v>
      </c>
      <c r="H39" t="s">
        <v>219</v>
      </c>
      <c r="I39" t="s">
        <v>414</v>
      </c>
      <c r="J39" t="s">
        <v>344</v>
      </c>
      <c r="K39" t="s">
        <v>95</v>
      </c>
      <c r="L39" t="s">
        <v>95</v>
      </c>
      <c r="M39" t="s">
        <v>95</v>
      </c>
      <c r="N39" t="s">
        <v>415</v>
      </c>
      <c r="O39">
        <v>164</v>
      </c>
      <c r="P39" s="7">
        <v>30166</v>
      </c>
      <c r="Q39">
        <v>7.0000000000000007E-2</v>
      </c>
      <c r="R39">
        <v>2.83</v>
      </c>
      <c r="S39" s="5">
        <f>O39/730</f>
        <v>0.22465753424657534</v>
      </c>
      <c r="T39" t="s">
        <v>16</v>
      </c>
      <c r="U39" t="s">
        <v>16</v>
      </c>
    </row>
    <row r="40" spans="1:21" x14ac:dyDescent="0.3">
      <c r="A40" t="s">
        <v>27</v>
      </c>
      <c r="B40" t="s">
        <v>536</v>
      </c>
      <c r="C40">
        <v>143</v>
      </c>
      <c r="D40" t="s">
        <v>14</v>
      </c>
      <c r="E40" t="s">
        <v>45</v>
      </c>
      <c r="F40" s="3" t="s">
        <v>566</v>
      </c>
      <c r="G40">
        <v>20018</v>
      </c>
      <c r="H40" t="s">
        <v>219</v>
      </c>
      <c r="I40" t="s">
        <v>220</v>
      </c>
      <c r="J40" t="s">
        <v>95</v>
      </c>
      <c r="K40" t="s">
        <v>539</v>
      </c>
      <c r="L40" t="s">
        <v>564</v>
      </c>
      <c r="M40" t="s">
        <v>567</v>
      </c>
      <c r="N40" t="s">
        <v>95</v>
      </c>
      <c r="O40">
        <v>41</v>
      </c>
      <c r="P40" s="7">
        <v>7359</v>
      </c>
      <c r="Q40">
        <v>0.09</v>
      </c>
      <c r="R40">
        <v>2.79</v>
      </c>
      <c r="S40" s="5">
        <f>O40/730</f>
        <v>5.6164383561643834E-2</v>
      </c>
      <c r="T40" t="s">
        <v>16</v>
      </c>
      <c r="U40" t="s">
        <v>16</v>
      </c>
    </row>
    <row r="41" spans="1:21" x14ac:dyDescent="0.3">
      <c r="A41" t="s">
        <v>27</v>
      </c>
      <c r="B41" t="s">
        <v>536</v>
      </c>
      <c r="C41">
        <v>143</v>
      </c>
      <c r="D41" t="s">
        <v>14</v>
      </c>
      <c r="E41" t="s">
        <v>45</v>
      </c>
      <c r="F41" s="3" t="s">
        <v>554</v>
      </c>
      <c r="G41">
        <v>20018</v>
      </c>
      <c r="H41" t="s">
        <v>219</v>
      </c>
      <c r="I41" t="s">
        <v>220</v>
      </c>
      <c r="J41" t="s">
        <v>95</v>
      </c>
      <c r="K41" t="s">
        <v>539</v>
      </c>
      <c r="L41" t="s">
        <v>477</v>
      </c>
      <c r="M41" t="s">
        <v>555</v>
      </c>
      <c r="N41" t="s">
        <v>556</v>
      </c>
      <c r="O41">
        <v>18</v>
      </c>
      <c r="P41" s="7">
        <v>3198</v>
      </c>
      <c r="Q41">
        <v>0.27</v>
      </c>
      <c r="R41">
        <v>2.77</v>
      </c>
      <c r="S41" s="5">
        <f>O41/730</f>
        <v>2.4657534246575342E-2</v>
      </c>
      <c r="T41" t="s">
        <v>16</v>
      </c>
      <c r="U41" t="s">
        <v>16</v>
      </c>
    </row>
    <row r="42" spans="1:21" x14ac:dyDescent="0.3">
      <c r="A42" t="s">
        <v>27</v>
      </c>
      <c r="B42" t="s">
        <v>536</v>
      </c>
      <c r="C42">
        <v>143</v>
      </c>
      <c r="D42" t="s">
        <v>14</v>
      </c>
      <c r="E42" t="s">
        <v>45</v>
      </c>
      <c r="F42" s="3" t="s">
        <v>543</v>
      </c>
      <c r="G42">
        <v>20018</v>
      </c>
      <c r="H42" t="s">
        <v>219</v>
      </c>
      <c r="I42" t="s">
        <v>220</v>
      </c>
      <c r="J42" t="s">
        <v>95</v>
      </c>
      <c r="K42" t="s">
        <v>539</v>
      </c>
      <c r="L42" t="s">
        <v>477</v>
      </c>
      <c r="M42" t="s">
        <v>544</v>
      </c>
      <c r="N42" t="s">
        <v>95</v>
      </c>
      <c r="O42">
        <v>42</v>
      </c>
      <c r="P42" s="7">
        <v>7378</v>
      </c>
      <c r="Q42">
        <v>0.09</v>
      </c>
      <c r="R42">
        <v>2.75</v>
      </c>
      <c r="S42" s="5">
        <f>O42/730</f>
        <v>5.7534246575342465E-2</v>
      </c>
      <c r="T42" t="s">
        <v>16</v>
      </c>
      <c r="U42" t="s">
        <v>16</v>
      </c>
    </row>
    <row r="43" spans="1:21" x14ac:dyDescent="0.3">
      <c r="A43" t="s">
        <v>27</v>
      </c>
      <c r="B43" t="s">
        <v>297</v>
      </c>
      <c r="C43">
        <v>143</v>
      </c>
      <c r="D43" t="s">
        <v>14</v>
      </c>
      <c r="E43" t="s">
        <v>45</v>
      </c>
      <c r="F43" s="3" t="s">
        <v>293</v>
      </c>
      <c r="G43">
        <v>20018</v>
      </c>
      <c r="H43" t="s">
        <v>219</v>
      </c>
      <c r="I43" t="s">
        <v>222</v>
      </c>
      <c r="J43" t="s">
        <v>95</v>
      </c>
      <c r="K43" t="s">
        <v>298</v>
      </c>
      <c r="L43" t="s">
        <v>53</v>
      </c>
      <c r="M43" t="s">
        <v>53</v>
      </c>
      <c r="N43" t="s">
        <v>53</v>
      </c>
      <c r="O43">
        <v>39</v>
      </c>
      <c r="P43" s="7">
        <v>6527</v>
      </c>
      <c r="Q43">
        <v>0.12</v>
      </c>
      <c r="R43">
        <v>2.67</v>
      </c>
      <c r="S43" s="5">
        <f>O43/730</f>
        <v>5.3424657534246578E-2</v>
      </c>
      <c r="T43" t="s">
        <v>16</v>
      </c>
      <c r="U43" t="s">
        <v>16</v>
      </c>
    </row>
    <row r="44" spans="1:21" x14ac:dyDescent="0.3">
      <c r="A44" t="s">
        <v>27</v>
      </c>
      <c r="B44" t="s">
        <v>24</v>
      </c>
      <c r="C44">
        <v>143</v>
      </c>
      <c r="D44" t="s">
        <v>14</v>
      </c>
      <c r="E44" t="s">
        <v>45</v>
      </c>
      <c r="F44" s="3" t="s">
        <v>190</v>
      </c>
      <c r="G44">
        <v>20018</v>
      </c>
      <c r="H44" t="s">
        <v>219</v>
      </c>
      <c r="I44" t="s">
        <v>221</v>
      </c>
      <c r="J44" t="s">
        <v>285</v>
      </c>
      <c r="K44" t="s">
        <v>95</v>
      </c>
      <c r="L44" t="s">
        <v>53</v>
      </c>
      <c r="M44" t="s">
        <v>53</v>
      </c>
      <c r="N44" t="s">
        <v>95</v>
      </c>
      <c r="O44">
        <v>14</v>
      </c>
      <c r="P44" s="7">
        <v>2318</v>
      </c>
      <c r="Q44">
        <v>0.21</v>
      </c>
      <c r="R44">
        <v>2.65</v>
      </c>
      <c r="S44" s="5">
        <f>O44/730</f>
        <v>1.9178082191780823E-2</v>
      </c>
      <c r="T44" t="s">
        <v>16</v>
      </c>
      <c r="U44" t="s">
        <v>16</v>
      </c>
    </row>
    <row r="45" spans="1:21" x14ac:dyDescent="0.3">
      <c r="A45" t="s">
        <v>27</v>
      </c>
      <c r="B45" t="s">
        <v>68</v>
      </c>
      <c r="C45">
        <v>143</v>
      </c>
      <c r="D45" t="s">
        <v>14</v>
      </c>
      <c r="E45" t="s">
        <v>45</v>
      </c>
      <c r="F45" s="3" t="s">
        <v>434</v>
      </c>
      <c r="G45">
        <v>20018</v>
      </c>
      <c r="H45" t="s">
        <v>219</v>
      </c>
      <c r="I45" t="s">
        <v>220</v>
      </c>
      <c r="J45" t="s">
        <v>438</v>
      </c>
      <c r="K45" t="s">
        <v>95</v>
      </c>
      <c r="L45" t="s">
        <v>95</v>
      </c>
      <c r="M45" t="s">
        <v>95</v>
      </c>
      <c r="N45" t="s">
        <v>392</v>
      </c>
      <c r="O45">
        <v>70</v>
      </c>
      <c r="P45" s="7">
        <v>11597</v>
      </c>
      <c r="Q45">
        <v>0.1</v>
      </c>
      <c r="R45">
        <v>2.65</v>
      </c>
      <c r="S45" s="5">
        <f>O45/730</f>
        <v>9.5890410958904104E-2</v>
      </c>
      <c r="T45" t="s">
        <v>16</v>
      </c>
      <c r="U45" t="s">
        <v>16</v>
      </c>
    </row>
    <row r="46" spans="1:21" x14ac:dyDescent="0.3">
      <c r="A46" t="s">
        <v>27</v>
      </c>
      <c r="B46" t="s">
        <v>24</v>
      </c>
      <c r="C46">
        <v>143</v>
      </c>
      <c r="D46" t="s">
        <v>14</v>
      </c>
      <c r="E46" t="s">
        <v>45</v>
      </c>
      <c r="F46" s="3" t="s">
        <v>55</v>
      </c>
      <c r="G46">
        <v>20018</v>
      </c>
      <c r="H46" t="s">
        <v>219</v>
      </c>
      <c r="I46" t="s">
        <v>220</v>
      </c>
      <c r="J46" t="s">
        <v>53</v>
      </c>
      <c r="K46" t="s">
        <v>288</v>
      </c>
      <c r="L46" t="s">
        <v>53</v>
      </c>
      <c r="M46" t="s">
        <v>53</v>
      </c>
      <c r="N46" t="s">
        <v>95</v>
      </c>
      <c r="O46">
        <v>101</v>
      </c>
      <c r="P46" s="7">
        <v>15958</v>
      </c>
      <c r="Q46">
        <v>7.0000000000000007E-2</v>
      </c>
      <c r="R46">
        <v>2.58</v>
      </c>
      <c r="S46" s="5">
        <f>O46/730</f>
        <v>0.13835616438356163</v>
      </c>
      <c r="T46" t="s">
        <v>16</v>
      </c>
      <c r="U46" t="s">
        <v>16</v>
      </c>
    </row>
    <row r="47" spans="1:21" x14ac:dyDescent="0.3">
      <c r="A47" t="s">
        <v>27</v>
      </c>
      <c r="B47" t="s">
        <v>47</v>
      </c>
      <c r="C47">
        <v>143</v>
      </c>
      <c r="D47" t="s">
        <v>14</v>
      </c>
      <c r="E47" t="s">
        <v>45</v>
      </c>
      <c r="F47" s="3" t="s">
        <v>183</v>
      </c>
      <c r="G47">
        <v>20018</v>
      </c>
      <c r="H47" t="s">
        <v>219</v>
      </c>
      <c r="I47" t="s">
        <v>221</v>
      </c>
      <c r="J47" t="s">
        <v>95</v>
      </c>
      <c r="K47" t="s">
        <v>235</v>
      </c>
      <c r="L47" t="s">
        <v>16</v>
      </c>
      <c r="M47" t="s">
        <v>95</v>
      </c>
      <c r="N47" t="s">
        <v>95</v>
      </c>
      <c r="O47">
        <v>12</v>
      </c>
      <c r="P47" s="7">
        <v>1889</v>
      </c>
      <c r="Q47">
        <v>0.16</v>
      </c>
      <c r="R47">
        <v>2.57</v>
      </c>
      <c r="S47" s="5">
        <f>O47/730</f>
        <v>1.643835616438356E-2</v>
      </c>
      <c r="T47" t="s">
        <v>16</v>
      </c>
      <c r="U47" t="s">
        <v>16</v>
      </c>
    </row>
    <row r="48" spans="1:21" x14ac:dyDescent="0.3">
      <c r="A48" t="s">
        <v>27</v>
      </c>
      <c r="B48" t="s">
        <v>297</v>
      </c>
      <c r="C48">
        <v>143</v>
      </c>
      <c r="D48" t="s">
        <v>14</v>
      </c>
      <c r="E48" t="s">
        <v>45</v>
      </c>
      <c r="F48" s="3" t="s">
        <v>306</v>
      </c>
      <c r="G48">
        <v>20018</v>
      </c>
      <c r="H48" t="s">
        <v>219</v>
      </c>
      <c r="I48" t="s">
        <v>222</v>
      </c>
      <c r="J48" t="s">
        <v>53</v>
      </c>
      <c r="K48" t="s">
        <v>53</v>
      </c>
      <c r="L48" t="s">
        <v>53</v>
      </c>
      <c r="M48" t="s">
        <v>309</v>
      </c>
      <c r="N48" t="s">
        <v>53</v>
      </c>
      <c r="O48">
        <v>58</v>
      </c>
      <c r="P48" s="7">
        <v>9136</v>
      </c>
      <c r="Q48">
        <v>0.1</v>
      </c>
      <c r="R48">
        <v>2.57</v>
      </c>
      <c r="S48" s="5">
        <f>O48/730</f>
        <v>7.9452054794520555E-2</v>
      </c>
      <c r="T48" t="s">
        <v>16</v>
      </c>
      <c r="U48" t="s">
        <v>16</v>
      </c>
    </row>
    <row r="49" spans="1:21" x14ac:dyDescent="0.3">
      <c r="A49" t="s">
        <v>27</v>
      </c>
      <c r="B49" t="s">
        <v>68</v>
      </c>
      <c r="C49">
        <v>143</v>
      </c>
      <c r="D49" t="s">
        <v>14</v>
      </c>
      <c r="E49" t="s">
        <v>45</v>
      </c>
      <c r="F49" s="3" t="s">
        <v>379</v>
      </c>
      <c r="G49">
        <v>20018</v>
      </c>
      <c r="H49" t="s">
        <v>219</v>
      </c>
      <c r="I49" t="s">
        <v>220</v>
      </c>
      <c r="J49" t="s">
        <v>383</v>
      </c>
      <c r="K49" t="s">
        <v>95</v>
      </c>
      <c r="L49" t="s">
        <v>95</v>
      </c>
      <c r="M49" t="s">
        <v>95</v>
      </c>
      <c r="N49" t="s">
        <v>381</v>
      </c>
      <c r="O49">
        <v>24</v>
      </c>
      <c r="P49" s="7">
        <v>3750</v>
      </c>
      <c r="Q49">
        <v>0.16</v>
      </c>
      <c r="R49">
        <v>2.56</v>
      </c>
      <c r="S49" s="5">
        <f>O49/730</f>
        <v>3.287671232876712E-2</v>
      </c>
      <c r="T49" t="s">
        <v>16</v>
      </c>
      <c r="U49" t="s">
        <v>16</v>
      </c>
    </row>
    <row r="50" spans="1:21" x14ac:dyDescent="0.3">
      <c r="A50" t="s">
        <v>27</v>
      </c>
      <c r="B50" t="s">
        <v>68</v>
      </c>
      <c r="C50">
        <v>143</v>
      </c>
      <c r="D50" t="s">
        <v>14</v>
      </c>
      <c r="E50" t="s">
        <v>45</v>
      </c>
      <c r="F50" s="3" t="s">
        <v>451</v>
      </c>
      <c r="G50">
        <v>20018</v>
      </c>
      <c r="H50" t="s">
        <v>219</v>
      </c>
      <c r="I50" t="s">
        <v>222</v>
      </c>
      <c r="J50" t="s">
        <v>95</v>
      </c>
      <c r="K50" t="s">
        <v>449</v>
      </c>
      <c r="L50" t="s">
        <v>95</v>
      </c>
      <c r="M50" t="s">
        <v>445</v>
      </c>
      <c r="N50" t="s">
        <v>452</v>
      </c>
      <c r="O50">
        <v>28</v>
      </c>
      <c r="P50" s="7">
        <v>4358</v>
      </c>
      <c r="Q50">
        <v>0.17</v>
      </c>
      <c r="R50">
        <v>2.5499999999999998</v>
      </c>
      <c r="S50" s="5">
        <f>O50/730</f>
        <v>3.8356164383561646E-2</v>
      </c>
      <c r="T50" t="s">
        <v>16</v>
      </c>
      <c r="U50" t="s">
        <v>16</v>
      </c>
    </row>
    <row r="51" spans="1:21" x14ac:dyDescent="0.3">
      <c r="A51" t="s">
        <v>27</v>
      </c>
      <c r="B51" t="s">
        <v>68</v>
      </c>
      <c r="C51">
        <v>143</v>
      </c>
      <c r="D51" t="s">
        <v>14</v>
      </c>
      <c r="E51" t="s">
        <v>45</v>
      </c>
      <c r="F51" s="3" t="s">
        <v>103</v>
      </c>
      <c r="G51">
        <v>20018</v>
      </c>
      <c r="H51" t="s">
        <v>219</v>
      </c>
      <c r="I51" t="s">
        <v>221</v>
      </c>
      <c r="J51" t="s">
        <v>95</v>
      </c>
      <c r="K51" t="s">
        <v>95</v>
      </c>
      <c r="L51" t="s">
        <v>95</v>
      </c>
      <c r="M51" t="s">
        <v>445</v>
      </c>
      <c r="N51" t="s">
        <v>267</v>
      </c>
      <c r="O51">
        <v>19</v>
      </c>
      <c r="P51" s="7">
        <v>2907</v>
      </c>
      <c r="Q51">
        <v>0.21</v>
      </c>
      <c r="R51">
        <v>2.52</v>
      </c>
      <c r="S51" s="5">
        <f>O51/730</f>
        <v>2.6027397260273973E-2</v>
      </c>
      <c r="T51" t="s">
        <v>16</v>
      </c>
      <c r="U51" t="s">
        <v>16</v>
      </c>
    </row>
    <row r="52" spans="1:21" x14ac:dyDescent="0.3">
      <c r="A52" t="s">
        <v>27</v>
      </c>
      <c r="B52" t="s">
        <v>68</v>
      </c>
      <c r="C52">
        <v>143</v>
      </c>
      <c r="D52" t="s">
        <v>14</v>
      </c>
      <c r="E52" t="s">
        <v>45</v>
      </c>
      <c r="F52" s="3" t="s">
        <v>499</v>
      </c>
      <c r="G52">
        <v>20018</v>
      </c>
      <c r="H52" t="s">
        <v>219</v>
      </c>
      <c r="I52" t="s">
        <v>500</v>
      </c>
      <c r="J52" t="s">
        <v>95</v>
      </c>
      <c r="K52" t="s">
        <v>501</v>
      </c>
      <c r="L52" t="s">
        <v>95</v>
      </c>
      <c r="M52" t="s">
        <v>95</v>
      </c>
      <c r="N52" t="s">
        <v>495</v>
      </c>
      <c r="O52">
        <v>63</v>
      </c>
      <c r="P52" s="7">
        <v>9637</v>
      </c>
      <c r="Q52">
        <v>0.09</v>
      </c>
      <c r="R52">
        <v>2.52</v>
      </c>
      <c r="S52" s="5">
        <f>O52/730</f>
        <v>8.6301369863013705E-2</v>
      </c>
      <c r="T52" t="s">
        <v>16</v>
      </c>
      <c r="U52" t="s">
        <v>16</v>
      </c>
    </row>
    <row r="53" spans="1:21" x14ac:dyDescent="0.3">
      <c r="A53" t="s">
        <v>27</v>
      </c>
      <c r="B53" t="s">
        <v>68</v>
      </c>
      <c r="C53">
        <v>143</v>
      </c>
      <c r="D53" t="s">
        <v>14</v>
      </c>
      <c r="E53" t="s">
        <v>45</v>
      </c>
      <c r="F53" s="3" t="s">
        <v>359</v>
      </c>
      <c r="G53">
        <v>20018</v>
      </c>
      <c r="H53" t="s">
        <v>219</v>
      </c>
      <c r="I53" t="s">
        <v>361</v>
      </c>
      <c r="J53" t="s">
        <v>95</v>
      </c>
      <c r="K53" t="s">
        <v>344</v>
      </c>
      <c r="L53" t="s">
        <v>362</v>
      </c>
      <c r="M53" t="s">
        <v>344</v>
      </c>
      <c r="N53" t="s">
        <v>95</v>
      </c>
      <c r="O53">
        <v>32</v>
      </c>
      <c r="P53" s="7">
        <v>4840</v>
      </c>
      <c r="Q53">
        <v>0.09</v>
      </c>
      <c r="R53">
        <v>2.5099999999999998</v>
      </c>
      <c r="S53" s="5">
        <f>O53/730</f>
        <v>4.3835616438356165E-2</v>
      </c>
      <c r="T53" t="s">
        <v>16</v>
      </c>
      <c r="U53" t="s">
        <v>16</v>
      </c>
    </row>
    <row r="54" spans="1:21" x14ac:dyDescent="0.3">
      <c r="A54" t="s">
        <v>27</v>
      </c>
      <c r="B54" t="s">
        <v>68</v>
      </c>
      <c r="C54">
        <v>143</v>
      </c>
      <c r="D54" t="s">
        <v>14</v>
      </c>
      <c r="E54" t="s">
        <v>45</v>
      </c>
      <c r="F54" s="3" t="s">
        <v>369</v>
      </c>
      <c r="G54">
        <v>20018</v>
      </c>
      <c r="H54" t="s">
        <v>219</v>
      </c>
      <c r="I54" t="s">
        <v>222</v>
      </c>
      <c r="J54" t="s">
        <v>95</v>
      </c>
      <c r="K54" t="s">
        <v>95</v>
      </c>
      <c r="L54" t="s">
        <v>95</v>
      </c>
      <c r="M54" t="s">
        <v>370</v>
      </c>
      <c r="N54" t="s">
        <v>95</v>
      </c>
      <c r="O54">
        <v>36</v>
      </c>
      <c r="P54" s="7">
        <v>5414</v>
      </c>
      <c r="Q54">
        <v>0.22</v>
      </c>
      <c r="R54">
        <v>2.5</v>
      </c>
      <c r="S54" s="5">
        <f>O54/730</f>
        <v>4.9315068493150684E-2</v>
      </c>
      <c r="T54" t="s">
        <v>16</v>
      </c>
      <c r="U54" t="s">
        <v>16</v>
      </c>
    </row>
    <row r="55" spans="1:21" x14ac:dyDescent="0.3">
      <c r="A55" t="s">
        <v>27</v>
      </c>
      <c r="B55" t="s">
        <v>536</v>
      </c>
      <c r="C55">
        <v>143</v>
      </c>
      <c r="D55" t="s">
        <v>182</v>
      </c>
      <c r="E55" t="s">
        <v>45</v>
      </c>
      <c r="F55" s="3" t="s">
        <v>590</v>
      </c>
      <c r="G55">
        <v>20018</v>
      </c>
      <c r="H55" t="s">
        <v>219</v>
      </c>
      <c r="I55" t="s">
        <v>591</v>
      </c>
      <c r="J55" t="s">
        <v>95</v>
      </c>
      <c r="K55" t="s">
        <v>592</v>
      </c>
      <c r="L55" t="s">
        <v>579</v>
      </c>
      <c r="M55" t="s">
        <v>95</v>
      </c>
      <c r="N55" t="s">
        <v>95</v>
      </c>
      <c r="O55">
        <v>59</v>
      </c>
      <c r="P55" s="7">
        <v>8827</v>
      </c>
      <c r="Q55">
        <v>0.1</v>
      </c>
      <c r="R55">
        <v>2.4900000000000002</v>
      </c>
      <c r="S55" s="5">
        <f>O55/730</f>
        <v>8.0821917808219179E-2</v>
      </c>
      <c r="T55" t="s">
        <v>16</v>
      </c>
      <c r="U55" t="s">
        <v>16</v>
      </c>
    </row>
    <row r="56" spans="1:21" x14ac:dyDescent="0.3">
      <c r="A56" t="s">
        <v>27</v>
      </c>
      <c r="B56" t="s">
        <v>68</v>
      </c>
      <c r="C56">
        <v>143</v>
      </c>
      <c r="D56" t="s">
        <v>14</v>
      </c>
      <c r="E56" t="s">
        <v>45</v>
      </c>
      <c r="F56" s="3" t="s">
        <v>336</v>
      </c>
      <c r="G56">
        <v>20018</v>
      </c>
      <c r="H56" t="s">
        <v>219</v>
      </c>
      <c r="I56" t="s">
        <v>222</v>
      </c>
      <c r="J56" t="s">
        <v>95</v>
      </c>
      <c r="K56" t="s">
        <v>95</v>
      </c>
      <c r="L56" t="s">
        <v>53</v>
      </c>
      <c r="M56" t="s">
        <v>53</v>
      </c>
      <c r="N56" t="s">
        <v>338</v>
      </c>
      <c r="O56">
        <v>69</v>
      </c>
      <c r="P56" s="7">
        <v>10207</v>
      </c>
      <c r="Q56">
        <v>0.1</v>
      </c>
      <c r="R56">
        <v>2.4700000000000002</v>
      </c>
      <c r="S56" s="5">
        <f>O56/730</f>
        <v>9.452054794520548E-2</v>
      </c>
      <c r="T56" t="s">
        <v>16</v>
      </c>
      <c r="U56" t="s">
        <v>16</v>
      </c>
    </row>
    <row r="57" spans="1:21" x14ac:dyDescent="0.3">
      <c r="A57" t="s">
        <v>27</v>
      </c>
      <c r="B57" t="s">
        <v>24</v>
      </c>
      <c r="C57">
        <v>143</v>
      </c>
      <c r="D57" t="s">
        <v>14</v>
      </c>
      <c r="E57" t="s">
        <v>45</v>
      </c>
      <c r="F57" s="3" t="s">
        <v>322</v>
      </c>
      <c r="G57">
        <v>20018</v>
      </c>
      <c r="H57" t="s">
        <v>219</v>
      </c>
      <c r="I57" t="s">
        <v>323</v>
      </c>
      <c r="J57" t="s">
        <v>95</v>
      </c>
      <c r="K57" t="s">
        <v>95</v>
      </c>
      <c r="L57" t="s">
        <v>53</v>
      </c>
      <c r="M57" t="s">
        <v>53</v>
      </c>
      <c r="N57" t="s">
        <v>324</v>
      </c>
      <c r="O57">
        <v>40</v>
      </c>
      <c r="P57" s="7">
        <v>5878</v>
      </c>
      <c r="Q57">
        <v>0.17</v>
      </c>
      <c r="R57">
        <v>2.46</v>
      </c>
      <c r="S57" s="5">
        <f>O57/730</f>
        <v>5.4794520547945202E-2</v>
      </c>
      <c r="T57" t="s">
        <v>16</v>
      </c>
      <c r="U57" t="s">
        <v>16</v>
      </c>
    </row>
    <row r="58" spans="1:21" x14ac:dyDescent="0.3">
      <c r="A58" t="s">
        <v>27</v>
      </c>
      <c r="B58" t="s">
        <v>68</v>
      </c>
      <c r="C58">
        <v>143</v>
      </c>
      <c r="D58" t="s">
        <v>14</v>
      </c>
      <c r="E58" t="s">
        <v>45</v>
      </c>
      <c r="F58" s="3" t="s">
        <v>406</v>
      </c>
      <c r="G58">
        <v>20018</v>
      </c>
      <c r="H58" t="s">
        <v>219</v>
      </c>
      <c r="I58" t="s">
        <v>222</v>
      </c>
      <c r="J58" t="s">
        <v>95</v>
      </c>
      <c r="K58" t="s">
        <v>95</v>
      </c>
      <c r="L58" t="s">
        <v>407</v>
      </c>
      <c r="M58" t="s">
        <v>95</v>
      </c>
      <c r="N58" t="s">
        <v>95</v>
      </c>
      <c r="O58">
        <v>27</v>
      </c>
      <c r="P58" s="7">
        <v>3917</v>
      </c>
      <c r="Q58">
        <v>0.22</v>
      </c>
      <c r="R58">
        <v>2.4500000000000002</v>
      </c>
      <c r="S58" s="5">
        <f>O58/730</f>
        <v>3.6986301369863014E-2</v>
      </c>
      <c r="T58" t="s">
        <v>16</v>
      </c>
      <c r="U58" t="s">
        <v>16</v>
      </c>
    </row>
    <row r="59" spans="1:21" x14ac:dyDescent="0.3">
      <c r="A59" t="s">
        <v>27</v>
      </c>
      <c r="B59" t="s">
        <v>459</v>
      </c>
      <c r="C59">
        <v>143</v>
      </c>
      <c r="D59" t="s">
        <v>14</v>
      </c>
      <c r="E59" t="s">
        <v>45</v>
      </c>
      <c r="F59" s="3" t="s">
        <v>118</v>
      </c>
      <c r="G59">
        <v>20018</v>
      </c>
      <c r="H59" t="s">
        <v>219</v>
      </c>
      <c r="I59" t="s">
        <v>220</v>
      </c>
      <c r="J59" t="s">
        <v>95</v>
      </c>
      <c r="K59" t="s">
        <v>95</v>
      </c>
      <c r="L59" t="s">
        <v>95</v>
      </c>
      <c r="M59" t="s">
        <v>466</v>
      </c>
      <c r="N59" t="s">
        <v>95</v>
      </c>
      <c r="O59">
        <v>88</v>
      </c>
      <c r="P59" s="7">
        <v>12807</v>
      </c>
      <c r="Q59">
        <v>0.09</v>
      </c>
      <c r="R59">
        <v>2.4500000000000002</v>
      </c>
      <c r="S59" s="5">
        <f>O59/730</f>
        <v>0.12054794520547946</v>
      </c>
      <c r="T59" t="s">
        <v>16</v>
      </c>
      <c r="U59" t="s">
        <v>16</v>
      </c>
    </row>
    <row r="60" spans="1:21" x14ac:dyDescent="0.3">
      <c r="A60" t="s">
        <v>27</v>
      </c>
      <c r="B60" t="s">
        <v>68</v>
      </c>
      <c r="C60">
        <v>143</v>
      </c>
      <c r="D60" t="s">
        <v>14</v>
      </c>
      <c r="E60" t="s">
        <v>45</v>
      </c>
      <c r="F60" s="3" t="s">
        <v>333</v>
      </c>
      <c r="G60">
        <v>20018</v>
      </c>
      <c r="H60" t="s">
        <v>219</v>
      </c>
      <c r="I60" t="s">
        <v>222</v>
      </c>
      <c r="J60" t="s">
        <v>95</v>
      </c>
      <c r="K60" t="s">
        <v>95</v>
      </c>
      <c r="L60" t="s">
        <v>53</v>
      </c>
      <c r="M60" t="s">
        <v>335</v>
      </c>
      <c r="N60" t="s">
        <v>53</v>
      </c>
      <c r="O60">
        <v>40</v>
      </c>
      <c r="P60" s="7">
        <v>5689</v>
      </c>
      <c r="Q60">
        <v>7.0000000000000007E-2</v>
      </c>
      <c r="R60">
        <v>2.42</v>
      </c>
      <c r="S60" s="5">
        <f>O60/730</f>
        <v>5.4794520547945202E-2</v>
      </c>
      <c r="T60" t="s">
        <v>16</v>
      </c>
      <c r="U60" t="s">
        <v>16</v>
      </c>
    </row>
    <row r="61" spans="1:21" x14ac:dyDescent="0.3">
      <c r="A61" t="s">
        <v>27</v>
      </c>
      <c r="B61" t="s">
        <v>47</v>
      </c>
      <c r="C61">
        <v>143</v>
      </c>
      <c r="D61" t="s">
        <v>14</v>
      </c>
      <c r="E61" t="s">
        <v>45</v>
      </c>
      <c r="F61" s="3" t="s">
        <v>374</v>
      </c>
      <c r="G61">
        <v>20018</v>
      </c>
      <c r="H61" t="s">
        <v>219</v>
      </c>
      <c r="I61" t="s">
        <v>367</v>
      </c>
      <c r="J61" t="s">
        <v>344</v>
      </c>
      <c r="K61" t="s">
        <v>95</v>
      </c>
      <c r="L61" t="s">
        <v>95</v>
      </c>
      <c r="M61" t="s">
        <v>95</v>
      </c>
      <c r="N61" t="s">
        <v>378</v>
      </c>
      <c r="O61">
        <v>46</v>
      </c>
      <c r="P61" s="7">
        <v>6488</v>
      </c>
      <c r="Q61">
        <v>0.08</v>
      </c>
      <c r="R61">
        <v>2.41</v>
      </c>
      <c r="S61" s="5">
        <f>O61/730</f>
        <v>6.3013698630136991E-2</v>
      </c>
      <c r="T61" t="s">
        <v>16</v>
      </c>
      <c r="U61" t="s">
        <v>16</v>
      </c>
    </row>
    <row r="62" spans="1:21" x14ac:dyDescent="0.3">
      <c r="A62" t="s">
        <v>27</v>
      </c>
      <c r="B62" t="s">
        <v>536</v>
      </c>
      <c r="C62">
        <v>143</v>
      </c>
      <c r="D62" t="s">
        <v>182</v>
      </c>
      <c r="E62" t="s">
        <v>45</v>
      </c>
      <c r="F62" s="3" t="s">
        <v>183</v>
      </c>
      <c r="G62">
        <v>20018</v>
      </c>
      <c r="H62" t="s">
        <v>219</v>
      </c>
      <c r="I62" t="s">
        <v>222</v>
      </c>
      <c r="J62" t="s">
        <v>95</v>
      </c>
      <c r="K62" t="s">
        <v>580</v>
      </c>
      <c r="L62" t="s">
        <v>579</v>
      </c>
      <c r="M62" t="s">
        <v>477</v>
      </c>
      <c r="N62" t="s">
        <v>95</v>
      </c>
      <c r="O62">
        <v>38</v>
      </c>
      <c r="P62" s="7">
        <v>5246</v>
      </c>
      <c r="Q62">
        <v>0.15</v>
      </c>
      <c r="R62">
        <v>2.38</v>
      </c>
      <c r="S62" s="5">
        <f>O62/730</f>
        <v>5.2054794520547946E-2</v>
      </c>
      <c r="T62" t="s">
        <v>16</v>
      </c>
      <c r="U62" t="s">
        <v>16</v>
      </c>
    </row>
    <row r="63" spans="1:21" x14ac:dyDescent="0.3">
      <c r="A63" t="s">
        <v>27</v>
      </c>
      <c r="B63" t="s">
        <v>536</v>
      </c>
      <c r="C63">
        <v>143</v>
      </c>
      <c r="D63" t="s">
        <v>182</v>
      </c>
      <c r="E63" t="s">
        <v>45</v>
      </c>
      <c r="F63" s="3" t="s">
        <v>583</v>
      </c>
      <c r="G63">
        <v>20018</v>
      </c>
      <c r="H63" t="s">
        <v>219</v>
      </c>
      <c r="I63" t="s">
        <v>225</v>
      </c>
      <c r="J63" t="s">
        <v>95</v>
      </c>
      <c r="K63" t="s">
        <v>95</v>
      </c>
      <c r="L63" t="s">
        <v>579</v>
      </c>
      <c r="M63" t="s">
        <v>95</v>
      </c>
      <c r="N63" t="s">
        <v>584</v>
      </c>
      <c r="O63">
        <v>60</v>
      </c>
      <c r="P63" s="7">
        <v>8288</v>
      </c>
      <c r="Q63">
        <v>0.08</v>
      </c>
      <c r="R63">
        <v>2.38</v>
      </c>
      <c r="S63" s="5">
        <f>O63/730</f>
        <v>8.2191780821917804E-2</v>
      </c>
      <c r="T63" t="s">
        <v>16</v>
      </c>
      <c r="U63" t="s">
        <v>16</v>
      </c>
    </row>
    <row r="64" spans="1:21" x14ac:dyDescent="0.3">
      <c r="A64" t="s">
        <v>27</v>
      </c>
      <c r="B64" t="s">
        <v>24</v>
      </c>
      <c r="C64">
        <v>143</v>
      </c>
      <c r="D64" t="s">
        <v>14</v>
      </c>
      <c r="E64" t="s">
        <v>45</v>
      </c>
      <c r="F64" s="3" t="s">
        <v>247</v>
      </c>
      <c r="G64">
        <v>20018</v>
      </c>
      <c r="H64" t="s">
        <v>219</v>
      </c>
      <c r="I64" t="s">
        <v>225</v>
      </c>
      <c r="J64" t="s">
        <v>53</v>
      </c>
      <c r="K64" t="s">
        <v>248</v>
      </c>
      <c r="L64" t="s">
        <v>95</v>
      </c>
      <c r="M64" t="s">
        <v>95</v>
      </c>
      <c r="N64" t="s">
        <v>53</v>
      </c>
      <c r="O64">
        <v>39</v>
      </c>
      <c r="P64" s="7">
        <v>5366</v>
      </c>
      <c r="Q64">
        <v>0.1</v>
      </c>
      <c r="R64">
        <v>2.37</v>
      </c>
      <c r="S64" s="5">
        <f>O64/730</f>
        <v>5.3424657534246578E-2</v>
      </c>
      <c r="T64" t="s">
        <v>16</v>
      </c>
      <c r="U64" t="s">
        <v>16</v>
      </c>
    </row>
    <row r="65" spans="1:21" x14ac:dyDescent="0.3">
      <c r="A65" t="s">
        <v>27</v>
      </c>
      <c r="B65" t="s">
        <v>68</v>
      </c>
      <c r="C65">
        <v>143</v>
      </c>
      <c r="D65" t="s">
        <v>14</v>
      </c>
      <c r="E65" t="s">
        <v>45</v>
      </c>
      <c r="F65" s="3" t="s">
        <v>420</v>
      </c>
      <c r="G65">
        <v>20018</v>
      </c>
      <c r="H65" t="s">
        <v>219</v>
      </c>
      <c r="I65" t="s">
        <v>424</v>
      </c>
      <c r="J65" t="s">
        <v>95</v>
      </c>
      <c r="K65" t="s">
        <v>425</v>
      </c>
      <c r="L65" t="s">
        <v>426</v>
      </c>
      <c r="M65" t="s">
        <v>95</v>
      </c>
      <c r="N65" t="s">
        <v>392</v>
      </c>
      <c r="O65">
        <v>50</v>
      </c>
      <c r="P65" s="7">
        <v>6558</v>
      </c>
      <c r="Q65">
        <v>0.1</v>
      </c>
      <c r="R65">
        <v>2.31</v>
      </c>
      <c r="S65" s="5">
        <f>O65/730</f>
        <v>6.8493150684931503E-2</v>
      </c>
      <c r="T65" t="s">
        <v>16</v>
      </c>
      <c r="U65" t="s">
        <v>16</v>
      </c>
    </row>
    <row r="66" spans="1:21" x14ac:dyDescent="0.3">
      <c r="A66" t="s">
        <v>27</v>
      </c>
      <c r="B66" t="s">
        <v>68</v>
      </c>
      <c r="C66">
        <v>143</v>
      </c>
      <c r="D66" t="s">
        <v>14</v>
      </c>
      <c r="E66" t="s">
        <v>45</v>
      </c>
      <c r="F66" s="3" t="s">
        <v>490</v>
      </c>
      <c r="G66">
        <v>20018</v>
      </c>
      <c r="H66" t="s">
        <v>219</v>
      </c>
      <c r="I66" t="s">
        <v>220</v>
      </c>
      <c r="J66" t="s">
        <v>95</v>
      </c>
      <c r="K66" t="s">
        <v>95</v>
      </c>
      <c r="L66" t="s">
        <v>491</v>
      </c>
      <c r="M66" t="s">
        <v>95</v>
      </c>
      <c r="N66" t="s">
        <v>477</v>
      </c>
      <c r="O66">
        <v>69</v>
      </c>
      <c r="P66" s="7">
        <v>9046</v>
      </c>
      <c r="Q66">
        <v>0.1</v>
      </c>
      <c r="R66">
        <v>2.31</v>
      </c>
      <c r="S66" s="5">
        <f>O66/730</f>
        <v>9.452054794520548E-2</v>
      </c>
      <c r="T66" t="s">
        <v>16</v>
      </c>
      <c r="U66" t="s">
        <v>16</v>
      </c>
    </row>
    <row r="67" spans="1:21" x14ac:dyDescent="0.3">
      <c r="A67" t="s">
        <v>27</v>
      </c>
      <c r="B67" t="s">
        <v>68</v>
      </c>
      <c r="C67">
        <v>143</v>
      </c>
      <c r="D67" t="s">
        <v>14</v>
      </c>
      <c r="E67" t="s">
        <v>45</v>
      </c>
      <c r="F67" s="3" t="s">
        <v>157</v>
      </c>
      <c r="G67">
        <v>20018</v>
      </c>
      <c r="H67" t="s">
        <v>219</v>
      </c>
      <c r="I67" t="s">
        <v>220</v>
      </c>
      <c r="J67" t="s">
        <v>95</v>
      </c>
      <c r="K67" t="s">
        <v>527</v>
      </c>
      <c r="L67" t="s">
        <v>477</v>
      </c>
      <c r="M67" t="s">
        <v>344</v>
      </c>
      <c r="N67" t="s">
        <v>392</v>
      </c>
      <c r="O67">
        <v>75</v>
      </c>
      <c r="P67" s="7">
        <v>9844</v>
      </c>
      <c r="Q67">
        <v>0.13</v>
      </c>
      <c r="R67">
        <v>2.31</v>
      </c>
      <c r="S67" s="5">
        <f>O67/730</f>
        <v>0.10273972602739725</v>
      </c>
      <c r="T67" t="s">
        <v>16</v>
      </c>
      <c r="U67" t="s">
        <v>16</v>
      </c>
    </row>
    <row r="68" spans="1:21" x14ac:dyDescent="0.3">
      <c r="A68" t="s">
        <v>27</v>
      </c>
      <c r="B68" t="s">
        <v>536</v>
      </c>
      <c r="C68">
        <v>143</v>
      </c>
      <c r="D68" t="s">
        <v>14</v>
      </c>
      <c r="E68" t="s">
        <v>45</v>
      </c>
      <c r="F68" s="3" t="s">
        <v>552</v>
      </c>
      <c r="G68">
        <v>20018</v>
      </c>
      <c r="H68" t="s">
        <v>219</v>
      </c>
      <c r="I68" t="s">
        <v>220</v>
      </c>
      <c r="J68" t="s">
        <v>95</v>
      </c>
      <c r="K68" t="s">
        <v>539</v>
      </c>
      <c r="L68" t="s">
        <v>477</v>
      </c>
      <c r="M68" t="s">
        <v>553</v>
      </c>
      <c r="N68" t="s">
        <v>95</v>
      </c>
      <c r="O68">
        <v>52</v>
      </c>
      <c r="P68" s="7">
        <v>6848</v>
      </c>
      <c r="Q68">
        <v>0.09</v>
      </c>
      <c r="R68">
        <v>2.31</v>
      </c>
      <c r="S68" s="5">
        <f>O68/730</f>
        <v>7.1232876712328766E-2</v>
      </c>
      <c r="T68" t="s">
        <v>16</v>
      </c>
      <c r="U68" t="s">
        <v>16</v>
      </c>
    </row>
    <row r="69" spans="1:21" x14ac:dyDescent="0.3">
      <c r="A69" t="s">
        <v>27</v>
      </c>
      <c r="B69" t="s">
        <v>68</v>
      </c>
      <c r="C69">
        <v>143</v>
      </c>
      <c r="D69" t="s">
        <v>14</v>
      </c>
      <c r="E69" t="s">
        <v>45</v>
      </c>
      <c r="F69" s="3" t="s">
        <v>487</v>
      </c>
      <c r="G69">
        <v>20018</v>
      </c>
      <c r="H69" t="s">
        <v>219</v>
      </c>
      <c r="I69" t="s">
        <v>220</v>
      </c>
      <c r="J69" t="s">
        <v>468</v>
      </c>
      <c r="K69" t="s">
        <v>95</v>
      </c>
      <c r="L69" t="s">
        <v>477</v>
      </c>
      <c r="M69" t="s">
        <v>477</v>
      </c>
      <c r="N69" t="s">
        <v>95</v>
      </c>
      <c r="O69">
        <v>33</v>
      </c>
      <c r="P69" s="7">
        <v>4318</v>
      </c>
      <c r="Q69">
        <v>0.12</v>
      </c>
      <c r="R69">
        <v>2.2999999999999998</v>
      </c>
      <c r="S69" s="5">
        <f>O69/730</f>
        <v>4.5205479452054796E-2</v>
      </c>
      <c r="T69" t="s">
        <v>16</v>
      </c>
      <c r="U69" t="s">
        <v>16</v>
      </c>
    </row>
    <row r="70" spans="1:21" x14ac:dyDescent="0.3">
      <c r="A70" t="s">
        <v>27</v>
      </c>
      <c r="B70" t="s">
        <v>68</v>
      </c>
      <c r="C70">
        <v>143</v>
      </c>
      <c r="D70" t="s">
        <v>14</v>
      </c>
      <c r="E70" t="s">
        <v>45</v>
      </c>
      <c r="F70" s="3" t="s">
        <v>441</v>
      </c>
      <c r="G70">
        <v>20018</v>
      </c>
      <c r="H70" t="s">
        <v>219</v>
      </c>
      <c r="I70" t="s">
        <v>222</v>
      </c>
      <c r="J70" t="s">
        <v>443</v>
      </c>
      <c r="K70" t="s">
        <v>95</v>
      </c>
      <c r="L70" t="s">
        <v>95</v>
      </c>
      <c r="M70" t="s">
        <v>95</v>
      </c>
      <c r="N70" t="s">
        <v>392</v>
      </c>
      <c r="O70">
        <v>42</v>
      </c>
      <c r="P70" s="7">
        <v>5438</v>
      </c>
      <c r="Q70">
        <v>0.09</v>
      </c>
      <c r="R70">
        <v>2.29</v>
      </c>
      <c r="S70" s="5">
        <f>O70/730</f>
        <v>5.7534246575342465E-2</v>
      </c>
      <c r="T70" t="s">
        <v>16</v>
      </c>
      <c r="U70" t="s">
        <v>16</v>
      </c>
    </row>
    <row r="71" spans="1:21" x14ac:dyDescent="0.3">
      <c r="A71" t="s">
        <v>27</v>
      </c>
      <c r="B71" t="s">
        <v>291</v>
      </c>
      <c r="C71">
        <v>143</v>
      </c>
      <c r="D71" t="s">
        <v>14</v>
      </c>
      <c r="E71" t="s">
        <v>45</v>
      </c>
      <c r="F71" s="3" t="s">
        <v>57</v>
      </c>
      <c r="G71">
        <v>20018</v>
      </c>
      <c r="H71" t="s">
        <v>219</v>
      </c>
      <c r="I71" t="s">
        <v>220</v>
      </c>
      <c r="J71" t="s">
        <v>53</v>
      </c>
      <c r="K71" t="s">
        <v>53</v>
      </c>
      <c r="L71" t="s">
        <v>53</v>
      </c>
      <c r="M71" t="s">
        <v>53</v>
      </c>
      <c r="N71" t="s">
        <v>292</v>
      </c>
      <c r="O71">
        <v>100</v>
      </c>
      <c r="P71" s="7">
        <v>12827</v>
      </c>
      <c r="Q71">
        <v>0.08</v>
      </c>
      <c r="R71">
        <v>2.2799999999999998</v>
      </c>
      <c r="S71" s="5">
        <f>O71/730</f>
        <v>0.13698630136986301</v>
      </c>
      <c r="T71" t="s">
        <v>16</v>
      </c>
      <c r="U71" t="s">
        <v>16</v>
      </c>
    </row>
    <row r="72" spans="1:21" x14ac:dyDescent="0.3">
      <c r="A72" t="s">
        <v>27</v>
      </c>
      <c r="B72" t="s">
        <v>68</v>
      </c>
      <c r="C72">
        <v>143</v>
      </c>
      <c r="D72" t="s">
        <v>14</v>
      </c>
      <c r="E72" t="s">
        <v>45</v>
      </c>
      <c r="F72" s="3" t="s">
        <v>504</v>
      </c>
      <c r="G72">
        <v>20018</v>
      </c>
      <c r="H72" t="s">
        <v>219</v>
      </c>
      <c r="I72" t="s">
        <v>376</v>
      </c>
      <c r="J72" t="s">
        <v>95</v>
      </c>
      <c r="K72" t="s">
        <v>477</v>
      </c>
      <c r="L72" t="s">
        <v>95</v>
      </c>
      <c r="M72" t="s">
        <v>95</v>
      </c>
      <c r="N72" t="s">
        <v>505</v>
      </c>
      <c r="O72">
        <v>48</v>
      </c>
      <c r="P72" s="7">
        <v>6155</v>
      </c>
      <c r="Q72">
        <v>0.16</v>
      </c>
      <c r="R72">
        <v>2.2799999999999998</v>
      </c>
      <c r="S72" s="5">
        <f>O72/730</f>
        <v>6.575342465753424E-2</v>
      </c>
      <c r="T72" t="s">
        <v>16</v>
      </c>
      <c r="U72" t="s">
        <v>16</v>
      </c>
    </row>
    <row r="73" spans="1:21" x14ac:dyDescent="0.3">
      <c r="A73" t="s">
        <v>27</v>
      </c>
      <c r="B73" t="s">
        <v>47</v>
      </c>
      <c r="C73">
        <v>143</v>
      </c>
      <c r="D73" t="s">
        <v>14</v>
      </c>
      <c r="E73" t="s">
        <v>45</v>
      </c>
      <c r="F73" s="3" t="s">
        <v>57</v>
      </c>
      <c r="G73">
        <v>20018</v>
      </c>
      <c r="H73" t="s">
        <v>219</v>
      </c>
      <c r="I73" t="s">
        <v>222</v>
      </c>
      <c r="J73" t="s">
        <v>53</v>
      </c>
      <c r="K73" t="s">
        <v>53</v>
      </c>
      <c r="L73" t="s">
        <v>290</v>
      </c>
      <c r="M73" t="s">
        <v>53</v>
      </c>
      <c r="N73" t="s">
        <v>53</v>
      </c>
      <c r="O73">
        <v>115</v>
      </c>
      <c r="P73" s="7">
        <v>14505</v>
      </c>
      <c r="Q73">
        <v>0.14000000000000001</v>
      </c>
      <c r="R73">
        <v>2.2599999999999998</v>
      </c>
      <c r="S73" s="5">
        <f>O73/730</f>
        <v>0.15753424657534246</v>
      </c>
      <c r="T73" t="s">
        <v>16</v>
      </c>
      <c r="U73" t="s">
        <v>16</v>
      </c>
    </row>
    <row r="74" spans="1:21" x14ac:dyDescent="0.3">
      <c r="A74" t="s">
        <v>27</v>
      </c>
      <c r="B74" t="s">
        <v>68</v>
      </c>
      <c r="C74">
        <v>143</v>
      </c>
      <c r="D74" t="s">
        <v>14</v>
      </c>
      <c r="E74" t="s">
        <v>45</v>
      </c>
      <c r="F74" s="3" t="s">
        <v>525</v>
      </c>
      <c r="G74">
        <v>20018</v>
      </c>
      <c r="H74" t="s">
        <v>219</v>
      </c>
      <c r="I74" t="s">
        <v>220</v>
      </c>
      <c r="J74" t="s">
        <v>526</v>
      </c>
      <c r="K74" t="s">
        <v>477</v>
      </c>
      <c r="L74" t="s">
        <v>477</v>
      </c>
      <c r="M74" t="s">
        <v>344</v>
      </c>
      <c r="N74" t="s">
        <v>392</v>
      </c>
      <c r="O74">
        <v>94</v>
      </c>
      <c r="P74" s="7">
        <v>11908</v>
      </c>
      <c r="Q74">
        <v>0.09</v>
      </c>
      <c r="R74">
        <v>2.2599999999999998</v>
      </c>
      <c r="S74" s="5">
        <f>O74/730</f>
        <v>0.12876712328767123</v>
      </c>
      <c r="T74" t="s">
        <v>16</v>
      </c>
      <c r="U74" t="s">
        <v>16</v>
      </c>
    </row>
    <row r="75" spans="1:21" x14ac:dyDescent="0.3">
      <c r="A75" t="s">
        <v>27</v>
      </c>
      <c r="B75" t="s">
        <v>68</v>
      </c>
      <c r="C75">
        <v>143</v>
      </c>
      <c r="D75" t="s">
        <v>14</v>
      </c>
      <c r="E75" t="s">
        <v>45</v>
      </c>
      <c r="F75" s="3" t="s">
        <v>359</v>
      </c>
      <c r="G75">
        <v>20018</v>
      </c>
      <c r="H75" t="s">
        <v>219</v>
      </c>
      <c r="I75" t="s">
        <v>363</v>
      </c>
      <c r="J75" t="s">
        <v>95</v>
      </c>
      <c r="K75" t="s">
        <v>364</v>
      </c>
      <c r="L75" t="s">
        <v>95</v>
      </c>
      <c r="M75" t="s">
        <v>344</v>
      </c>
      <c r="N75" t="s">
        <v>95</v>
      </c>
      <c r="O75">
        <v>40</v>
      </c>
      <c r="P75" s="7">
        <v>5009</v>
      </c>
      <c r="Q75">
        <v>0.12</v>
      </c>
      <c r="R75">
        <v>2.25</v>
      </c>
      <c r="S75" s="5">
        <f>O75/730</f>
        <v>5.4794520547945202E-2</v>
      </c>
      <c r="T75" t="s">
        <v>16</v>
      </c>
      <c r="U75" t="s">
        <v>16</v>
      </c>
    </row>
    <row r="76" spans="1:21" x14ac:dyDescent="0.3">
      <c r="A76" t="s">
        <v>27</v>
      </c>
      <c r="B76" t="s">
        <v>68</v>
      </c>
      <c r="C76">
        <v>143</v>
      </c>
      <c r="D76" t="s">
        <v>14</v>
      </c>
      <c r="E76" t="s">
        <v>45</v>
      </c>
      <c r="F76" s="3" t="s">
        <v>388</v>
      </c>
      <c r="G76">
        <v>20018</v>
      </c>
      <c r="H76" t="s">
        <v>219</v>
      </c>
      <c r="I76" t="s">
        <v>220</v>
      </c>
      <c r="J76" t="s">
        <v>390</v>
      </c>
      <c r="K76" t="s">
        <v>95</v>
      </c>
      <c r="L76" t="s">
        <v>95</v>
      </c>
      <c r="M76" t="s">
        <v>95</v>
      </c>
      <c r="N76" t="s">
        <v>387</v>
      </c>
      <c r="O76">
        <v>45</v>
      </c>
      <c r="P76" s="7">
        <v>5640</v>
      </c>
      <c r="Q76">
        <v>0.08</v>
      </c>
      <c r="R76">
        <v>2.25</v>
      </c>
      <c r="S76" s="5">
        <f>O76/730</f>
        <v>6.1643835616438353E-2</v>
      </c>
      <c r="T76" t="s">
        <v>16</v>
      </c>
      <c r="U76" t="s">
        <v>16</v>
      </c>
    </row>
    <row r="77" spans="1:21" x14ac:dyDescent="0.3">
      <c r="A77" t="s">
        <v>27</v>
      </c>
      <c r="B77" t="s">
        <v>68</v>
      </c>
      <c r="C77">
        <v>143</v>
      </c>
      <c r="D77" t="s">
        <v>14</v>
      </c>
      <c r="E77" t="s">
        <v>45</v>
      </c>
      <c r="F77" s="3" t="s">
        <v>497</v>
      </c>
      <c r="G77">
        <v>20018</v>
      </c>
      <c r="H77" t="s">
        <v>219</v>
      </c>
      <c r="I77" t="s">
        <v>220</v>
      </c>
      <c r="J77" t="s">
        <v>95</v>
      </c>
      <c r="K77" t="s">
        <v>498</v>
      </c>
      <c r="L77" t="s">
        <v>95</v>
      </c>
      <c r="M77" t="s">
        <v>95</v>
      </c>
      <c r="N77" t="s">
        <v>495</v>
      </c>
      <c r="O77">
        <v>104</v>
      </c>
      <c r="P77" s="7">
        <v>13007</v>
      </c>
      <c r="Q77">
        <v>0.05</v>
      </c>
      <c r="R77">
        <v>2.25</v>
      </c>
      <c r="S77" s="5">
        <f>O77/730</f>
        <v>0.14246575342465753</v>
      </c>
      <c r="T77" t="s">
        <v>16</v>
      </c>
      <c r="U77" t="s">
        <v>16</v>
      </c>
    </row>
    <row r="78" spans="1:21" x14ac:dyDescent="0.3">
      <c r="A78" t="s">
        <v>27</v>
      </c>
      <c r="B78" t="s">
        <v>68</v>
      </c>
      <c r="C78">
        <v>143</v>
      </c>
      <c r="D78" t="s">
        <v>14</v>
      </c>
      <c r="E78" t="s">
        <v>45</v>
      </c>
      <c r="F78" s="3" t="s">
        <v>262</v>
      </c>
      <c r="G78">
        <v>20018</v>
      </c>
      <c r="H78" t="s">
        <v>219</v>
      </c>
      <c r="I78" t="s">
        <v>225</v>
      </c>
      <c r="J78" t="s">
        <v>95</v>
      </c>
      <c r="K78" t="s">
        <v>95</v>
      </c>
      <c r="L78" t="s">
        <v>95</v>
      </c>
      <c r="M78" t="s">
        <v>263</v>
      </c>
      <c r="N78" t="s">
        <v>53</v>
      </c>
      <c r="O78">
        <v>24</v>
      </c>
      <c r="P78" s="7">
        <v>2998</v>
      </c>
      <c r="Q78">
        <v>0.12</v>
      </c>
      <c r="R78">
        <v>2.2400000000000002</v>
      </c>
      <c r="S78" s="5">
        <f>O78/730</f>
        <v>3.287671232876712E-2</v>
      </c>
      <c r="T78" t="s">
        <v>16</v>
      </c>
      <c r="U78" t="s">
        <v>16</v>
      </c>
    </row>
    <row r="79" spans="1:21" x14ac:dyDescent="0.3">
      <c r="A79" t="s">
        <v>27</v>
      </c>
      <c r="B79" t="s">
        <v>68</v>
      </c>
      <c r="C79">
        <v>143</v>
      </c>
      <c r="D79" t="s">
        <v>14</v>
      </c>
      <c r="E79" t="s">
        <v>45</v>
      </c>
      <c r="F79" s="3" t="s">
        <v>408</v>
      </c>
      <c r="G79">
        <v>20018</v>
      </c>
      <c r="H79" t="s">
        <v>219</v>
      </c>
      <c r="I79" t="s">
        <v>222</v>
      </c>
      <c r="J79" t="s">
        <v>344</v>
      </c>
      <c r="K79" t="s">
        <v>95</v>
      </c>
      <c r="L79" t="s">
        <v>95</v>
      </c>
      <c r="M79" t="s">
        <v>95</v>
      </c>
      <c r="N79" t="s">
        <v>410</v>
      </c>
      <c r="O79">
        <v>72</v>
      </c>
      <c r="P79" s="7">
        <v>8759</v>
      </c>
      <c r="Q79">
        <v>0.06</v>
      </c>
      <c r="R79">
        <v>2.21</v>
      </c>
      <c r="S79" s="5">
        <f>O79/730</f>
        <v>9.8630136986301367E-2</v>
      </c>
      <c r="T79" t="s">
        <v>16</v>
      </c>
      <c r="U79" t="s">
        <v>16</v>
      </c>
    </row>
    <row r="80" spans="1:21" x14ac:dyDescent="0.3">
      <c r="A80" t="s">
        <v>27</v>
      </c>
      <c r="B80" t="s">
        <v>68</v>
      </c>
      <c r="C80">
        <v>143</v>
      </c>
      <c r="D80" t="s">
        <v>14</v>
      </c>
      <c r="E80" t="s">
        <v>45</v>
      </c>
      <c r="F80" s="3" t="s">
        <v>408</v>
      </c>
      <c r="G80">
        <v>20018</v>
      </c>
      <c r="H80" t="s">
        <v>219</v>
      </c>
      <c r="I80" t="s">
        <v>220</v>
      </c>
      <c r="J80" t="s">
        <v>344</v>
      </c>
      <c r="K80" t="s">
        <v>95</v>
      </c>
      <c r="L80" t="s">
        <v>95</v>
      </c>
      <c r="M80" t="s">
        <v>95</v>
      </c>
      <c r="N80" t="s">
        <v>411</v>
      </c>
      <c r="O80">
        <v>61</v>
      </c>
      <c r="P80" s="7">
        <v>4108</v>
      </c>
      <c r="Q80">
        <v>0.06</v>
      </c>
      <c r="R80">
        <v>2.21</v>
      </c>
      <c r="S80" s="5">
        <f>O80/730</f>
        <v>8.3561643835616442E-2</v>
      </c>
      <c r="T80" t="s">
        <v>16</v>
      </c>
      <c r="U80" t="s">
        <v>16</v>
      </c>
    </row>
    <row r="81" spans="1:21" x14ac:dyDescent="0.3">
      <c r="A81" t="s">
        <v>27</v>
      </c>
      <c r="B81" t="s">
        <v>68</v>
      </c>
      <c r="C81">
        <v>143</v>
      </c>
      <c r="D81" t="s">
        <v>14</v>
      </c>
      <c r="E81" t="s">
        <v>45</v>
      </c>
      <c r="F81" s="3" t="s">
        <v>504</v>
      </c>
      <c r="G81">
        <v>20018</v>
      </c>
      <c r="H81" t="s">
        <v>219</v>
      </c>
      <c r="I81" t="s">
        <v>220</v>
      </c>
      <c r="J81" t="s">
        <v>95</v>
      </c>
      <c r="K81" t="s">
        <v>477</v>
      </c>
      <c r="L81" t="s">
        <v>506</v>
      </c>
      <c r="M81" t="s">
        <v>95</v>
      </c>
      <c r="N81" t="s">
        <v>95</v>
      </c>
      <c r="O81">
        <v>70</v>
      </c>
      <c r="P81" s="7">
        <v>8398</v>
      </c>
      <c r="Q81">
        <v>7.0000000000000007E-2</v>
      </c>
      <c r="R81">
        <v>2.19</v>
      </c>
      <c r="S81" s="5">
        <f>O81/730</f>
        <v>9.5890410958904104E-2</v>
      </c>
      <c r="T81" t="s">
        <v>16</v>
      </c>
      <c r="U81" t="s">
        <v>16</v>
      </c>
    </row>
    <row r="82" spans="1:21" x14ac:dyDescent="0.3">
      <c r="A82" t="s">
        <v>27</v>
      </c>
      <c r="B82" t="s">
        <v>24</v>
      </c>
      <c r="C82">
        <v>143</v>
      </c>
      <c r="D82" t="s">
        <v>14</v>
      </c>
      <c r="E82" t="s">
        <v>45</v>
      </c>
      <c r="F82" s="3" t="s">
        <v>50</v>
      </c>
      <c r="G82">
        <v>20018</v>
      </c>
      <c r="H82" t="s">
        <v>219</v>
      </c>
      <c r="I82" t="s">
        <v>220</v>
      </c>
      <c r="J82" t="s">
        <v>95</v>
      </c>
      <c r="K82" t="s">
        <v>272</v>
      </c>
      <c r="L82" t="s">
        <v>95</v>
      </c>
      <c r="M82" t="s">
        <v>95</v>
      </c>
      <c r="N82" t="s">
        <v>53</v>
      </c>
      <c r="O82">
        <v>300</v>
      </c>
      <c r="P82" s="7">
        <v>9065</v>
      </c>
      <c r="Q82">
        <v>0.08</v>
      </c>
      <c r="R82">
        <v>2.16</v>
      </c>
      <c r="S82" s="5">
        <f>O82/730</f>
        <v>0.41095890410958902</v>
      </c>
      <c r="T82" t="s">
        <v>16</v>
      </c>
      <c r="U82" t="s">
        <v>16</v>
      </c>
    </row>
    <row r="83" spans="1:21" x14ac:dyDescent="0.3">
      <c r="A83" t="s">
        <v>27</v>
      </c>
      <c r="B83" t="s">
        <v>68</v>
      </c>
      <c r="C83">
        <v>143</v>
      </c>
      <c r="D83" t="s">
        <v>14</v>
      </c>
      <c r="E83" t="s">
        <v>45</v>
      </c>
      <c r="F83" s="3" t="s">
        <v>134</v>
      </c>
      <c r="G83">
        <v>20018</v>
      </c>
      <c r="H83" t="s">
        <v>219</v>
      </c>
      <c r="I83" t="s">
        <v>220</v>
      </c>
      <c r="J83" t="s">
        <v>95</v>
      </c>
      <c r="K83" t="s">
        <v>95</v>
      </c>
      <c r="L83" t="s">
        <v>477</v>
      </c>
      <c r="M83" t="s">
        <v>489</v>
      </c>
      <c r="N83" t="s">
        <v>477</v>
      </c>
      <c r="O83">
        <v>49</v>
      </c>
      <c r="P83" s="7">
        <v>5729</v>
      </c>
      <c r="Q83">
        <v>0.1</v>
      </c>
      <c r="R83">
        <v>2.16</v>
      </c>
      <c r="S83" s="5">
        <f>O83/730</f>
        <v>6.7123287671232879E-2</v>
      </c>
      <c r="T83" t="s">
        <v>16</v>
      </c>
      <c r="U83" t="s">
        <v>16</v>
      </c>
    </row>
    <row r="84" spans="1:21" x14ac:dyDescent="0.3">
      <c r="A84" t="s">
        <v>27</v>
      </c>
      <c r="B84" t="s">
        <v>68</v>
      </c>
      <c r="C84">
        <v>143</v>
      </c>
      <c r="D84" t="s">
        <v>14</v>
      </c>
      <c r="E84" t="s">
        <v>45</v>
      </c>
      <c r="F84" s="3" t="s">
        <v>388</v>
      </c>
      <c r="G84">
        <v>20018</v>
      </c>
      <c r="H84" t="s">
        <v>219</v>
      </c>
      <c r="I84" t="s">
        <v>225</v>
      </c>
      <c r="J84" t="s">
        <v>389</v>
      </c>
      <c r="K84" t="s">
        <v>95</v>
      </c>
      <c r="L84" t="s">
        <v>95</v>
      </c>
      <c r="M84" t="s">
        <v>95</v>
      </c>
      <c r="N84" t="s">
        <v>387</v>
      </c>
      <c r="O84">
        <v>40</v>
      </c>
      <c r="P84" s="7">
        <v>4599</v>
      </c>
      <c r="Q84">
        <v>0.14000000000000001</v>
      </c>
      <c r="R84">
        <v>2.14</v>
      </c>
      <c r="S84" s="5">
        <f>O84/730</f>
        <v>5.4794520547945202E-2</v>
      </c>
      <c r="T84" t="s">
        <v>16</v>
      </c>
      <c r="U84" t="s">
        <v>16</v>
      </c>
    </row>
    <row r="85" spans="1:21" x14ac:dyDescent="0.3">
      <c r="A85" t="s">
        <v>27</v>
      </c>
      <c r="B85" t="s">
        <v>536</v>
      </c>
      <c r="C85">
        <v>143</v>
      </c>
      <c r="D85" t="s">
        <v>182</v>
      </c>
      <c r="E85" t="s">
        <v>45</v>
      </c>
      <c r="F85" s="3" t="s">
        <v>57</v>
      </c>
      <c r="G85">
        <v>20018</v>
      </c>
      <c r="H85" t="s">
        <v>219</v>
      </c>
      <c r="I85" t="s">
        <v>591</v>
      </c>
      <c r="J85" t="s">
        <v>95</v>
      </c>
      <c r="K85" t="s">
        <v>594</v>
      </c>
      <c r="L85" t="s">
        <v>579</v>
      </c>
      <c r="M85" t="s">
        <v>95</v>
      </c>
      <c r="N85" t="s">
        <v>596</v>
      </c>
      <c r="O85">
        <v>132</v>
      </c>
      <c r="P85" s="7">
        <v>15064</v>
      </c>
      <c r="Q85">
        <v>0.11</v>
      </c>
      <c r="R85">
        <v>2.14</v>
      </c>
      <c r="S85" s="5">
        <f>O85/730</f>
        <v>0.18082191780821918</v>
      </c>
      <c r="T85" t="s">
        <v>16</v>
      </c>
      <c r="U85" t="s">
        <v>16</v>
      </c>
    </row>
    <row r="86" spans="1:21" x14ac:dyDescent="0.3">
      <c r="A86" t="s">
        <v>27</v>
      </c>
      <c r="B86" t="s">
        <v>459</v>
      </c>
      <c r="C86">
        <v>143</v>
      </c>
      <c r="D86" t="s">
        <v>14</v>
      </c>
      <c r="E86" t="s">
        <v>45</v>
      </c>
      <c r="F86" s="3" t="s">
        <v>111</v>
      </c>
      <c r="G86">
        <v>20018</v>
      </c>
      <c r="H86" t="s">
        <v>219</v>
      </c>
      <c r="I86" t="s">
        <v>220</v>
      </c>
      <c r="J86" t="s">
        <v>95</v>
      </c>
      <c r="K86" t="s">
        <v>95</v>
      </c>
      <c r="L86" t="s">
        <v>460</v>
      </c>
      <c r="M86" t="s">
        <v>445</v>
      </c>
      <c r="N86" t="s">
        <v>95</v>
      </c>
      <c r="O86">
        <v>102</v>
      </c>
      <c r="P86" s="7">
        <v>11266</v>
      </c>
      <c r="Q86">
        <v>7.0000000000000007E-2</v>
      </c>
      <c r="R86">
        <v>2.1</v>
      </c>
      <c r="S86" s="5">
        <f>O86/730</f>
        <v>0.13972602739726028</v>
      </c>
      <c r="T86" t="s">
        <v>16</v>
      </c>
      <c r="U86" t="s">
        <v>16</v>
      </c>
    </row>
    <row r="87" spans="1:21" x14ac:dyDescent="0.3">
      <c r="A87" t="s">
        <v>27</v>
      </c>
      <c r="B87" t="s">
        <v>68</v>
      </c>
      <c r="C87">
        <v>143</v>
      </c>
      <c r="D87" t="s">
        <v>14</v>
      </c>
      <c r="E87" t="s">
        <v>45</v>
      </c>
      <c r="F87" s="3" t="s">
        <v>499</v>
      </c>
      <c r="G87">
        <v>20018</v>
      </c>
      <c r="H87" t="s">
        <v>219</v>
      </c>
      <c r="I87" t="s">
        <v>502</v>
      </c>
      <c r="J87" t="s">
        <v>95</v>
      </c>
      <c r="K87" t="s">
        <v>477</v>
      </c>
      <c r="L87" t="s">
        <v>95</v>
      </c>
      <c r="M87" t="s">
        <v>95</v>
      </c>
      <c r="N87" t="s">
        <v>503</v>
      </c>
      <c r="O87">
        <v>85</v>
      </c>
      <c r="P87" s="7">
        <v>9237</v>
      </c>
      <c r="Q87">
        <v>0.05</v>
      </c>
      <c r="R87">
        <v>2.08</v>
      </c>
      <c r="S87" s="5">
        <f>O87/730</f>
        <v>0.11643835616438356</v>
      </c>
      <c r="T87" t="s">
        <v>16</v>
      </c>
      <c r="U87" t="s">
        <v>16</v>
      </c>
    </row>
    <row r="88" spans="1:21" x14ac:dyDescent="0.3">
      <c r="A88" t="s">
        <v>27</v>
      </c>
      <c r="B88" t="s">
        <v>68</v>
      </c>
      <c r="C88">
        <v>143</v>
      </c>
      <c r="D88" t="s">
        <v>14</v>
      </c>
      <c r="E88" t="s">
        <v>45</v>
      </c>
      <c r="F88" s="3" t="s">
        <v>400</v>
      </c>
      <c r="G88">
        <v>20018</v>
      </c>
      <c r="H88" t="s">
        <v>219</v>
      </c>
      <c r="I88" t="s">
        <v>222</v>
      </c>
      <c r="J88" t="s">
        <v>95</v>
      </c>
      <c r="K88" t="s">
        <v>95</v>
      </c>
      <c r="L88" t="s">
        <v>95</v>
      </c>
      <c r="M88" t="s">
        <v>401</v>
      </c>
      <c r="N88" t="s">
        <v>387</v>
      </c>
      <c r="O88">
        <v>53</v>
      </c>
      <c r="P88" s="7">
        <v>5685</v>
      </c>
      <c r="Q88">
        <v>0.24</v>
      </c>
      <c r="R88">
        <v>2.0699999999999998</v>
      </c>
      <c r="S88" s="5">
        <f>O88/730</f>
        <v>7.260273972602739E-2</v>
      </c>
      <c r="T88" t="s">
        <v>16</v>
      </c>
      <c r="U88" t="s">
        <v>16</v>
      </c>
    </row>
    <row r="89" spans="1:21" x14ac:dyDescent="0.3">
      <c r="A89" t="s">
        <v>27</v>
      </c>
      <c r="B89" t="s">
        <v>47</v>
      </c>
      <c r="C89">
        <v>143</v>
      </c>
      <c r="D89" t="s">
        <v>14</v>
      </c>
      <c r="E89" t="s">
        <v>45</v>
      </c>
      <c r="F89" s="3" t="s">
        <v>391</v>
      </c>
      <c r="G89">
        <v>20018</v>
      </c>
      <c r="H89" t="s">
        <v>219</v>
      </c>
      <c r="I89" t="s">
        <v>225</v>
      </c>
      <c r="J89" t="s">
        <v>392</v>
      </c>
      <c r="K89" t="s">
        <v>95</v>
      </c>
      <c r="L89" t="s">
        <v>393</v>
      </c>
      <c r="M89" t="s">
        <v>95</v>
      </c>
      <c r="N89" t="s">
        <v>387</v>
      </c>
      <c r="O89">
        <v>47</v>
      </c>
      <c r="P89" s="7">
        <v>4986</v>
      </c>
      <c r="Q89">
        <v>0.17</v>
      </c>
      <c r="R89">
        <v>2.06</v>
      </c>
      <c r="S89" s="5">
        <f>O89/730</f>
        <v>6.4383561643835616E-2</v>
      </c>
      <c r="T89" t="s">
        <v>16</v>
      </c>
      <c r="U89" t="s">
        <v>16</v>
      </c>
    </row>
    <row r="90" spans="1:21" x14ac:dyDescent="0.3">
      <c r="A90" t="s">
        <v>27</v>
      </c>
      <c r="B90" t="s">
        <v>536</v>
      </c>
      <c r="C90">
        <v>143</v>
      </c>
      <c r="D90" t="s">
        <v>182</v>
      </c>
      <c r="E90" t="s">
        <v>45</v>
      </c>
      <c r="F90" s="3" t="s">
        <v>57</v>
      </c>
      <c r="G90">
        <v>20018</v>
      </c>
      <c r="H90" t="s">
        <v>219</v>
      </c>
      <c r="I90" t="s">
        <v>507</v>
      </c>
      <c r="J90" t="s">
        <v>95</v>
      </c>
      <c r="K90" t="s">
        <v>594</v>
      </c>
      <c r="L90" t="s">
        <v>579</v>
      </c>
      <c r="M90" t="s">
        <v>95</v>
      </c>
      <c r="N90" t="s">
        <v>597</v>
      </c>
      <c r="O90">
        <v>39</v>
      </c>
      <c r="P90" s="7">
        <v>4165</v>
      </c>
      <c r="Q90">
        <v>0.17</v>
      </c>
      <c r="R90">
        <v>2.06</v>
      </c>
      <c r="S90" s="5">
        <f>O90/730</f>
        <v>5.3424657534246578E-2</v>
      </c>
      <c r="T90" t="s">
        <v>16</v>
      </c>
      <c r="U90" t="s">
        <v>16</v>
      </c>
    </row>
    <row r="91" spans="1:21" x14ac:dyDescent="0.3">
      <c r="A91" t="s">
        <v>27</v>
      </c>
      <c r="B91" t="s">
        <v>536</v>
      </c>
      <c r="C91">
        <v>143</v>
      </c>
      <c r="D91" t="s">
        <v>14</v>
      </c>
      <c r="E91" t="s">
        <v>45</v>
      </c>
      <c r="F91" s="3" t="s">
        <v>559</v>
      </c>
      <c r="G91">
        <v>20018</v>
      </c>
      <c r="H91" t="s">
        <v>219</v>
      </c>
      <c r="I91" t="s">
        <v>220</v>
      </c>
      <c r="J91" t="s">
        <v>95</v>
      </c>
      <c r="K91" t="s">
        <v>539</v>
      </c>
      <c r="L91" t="s">
        <v>560</v>
      </c>
      <c r="M91" t="s">
        <v>95</v>
      </c>
      <c r="N91" t="s">
        <v>95</v>
      </c>
      <c r="O91">
        <v>29</v>
      </c>
      <c r="P91" s="7">
        <v>2916</v>
      </c>
      <c r="Q91">
        <v>0.1</v>
      </c>
      <c r="R91">
        <v>2</v>
      </c>
      <c r="S91" s="5">
        <f>O91/730</f>
        <v>3.9726027397260277E-2</v>
      </c>
      <c r="T91" t="s">
        <v>16</v>
      </c>
      <c r="U91" t="s">
        <v>16</v>
      </c>
    </row>
  </sheetData>
  <sortState ref="A2:U218">
    <sortCondition descending="1" ref="R3"/>
  </sortState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zoomScale="90" zoomScaleNormal="90" workbookViewId="0">
      <pane ySplit="1" topLeftCell="A2" activePane="bottomLeft" state="frozen"/>
      <selection activeCell="F4" sqref="F4"/>
      <selection pane="bottomLeft" activeCell="F4" sqref="F4"/>
    </sheetView>
  </sheetViews>
  <sheetFormatPr defaultRowHeight="16.5" x14ac:dyDescent="0.3"/>
  <cols>
    <col min="1" max="2" width="4.875" customWidth="1"/>
    <col min="3" max="3" width="3.125" customWidth="1"/>
    <col min="4" max="4" width="7.375" customWidth="1"/>
    <col min="5" max="5" width="7.5" customWidth="1"/>
    <col min="6" max="6" width="9" style="3"/>
    <col min="7" max="7" width="5.125" customWidth="1"/>
    <col min="8" max="8" width="5" customWidth="1"/>
    <col min="9" max="9" width="6.625" customWidth="1"/>
    <col min="11" max="11" width="10.375" customWidth="1"/>
    <col min="12" max="13" width="10.125" customWidth="1"/>
    <col min="14" max="14" width="10.5" customWidth="1"/>
    <col min="15" max="15" width="7" customWidth="1"/>
    <col min="16" max="16" width="9.125" style="7" customWidth="1"/>
    <col min="17" max="17" width="6.625" customWidth="1"/>
    <col min="18" max="18" width="7.125" customWidth="1"/>
    <col min="19" max="19" width="7.5" style="5" customWidth="1"/>
    <col min="20" max="20" width="3.5" customWidth="1"/>
    <col min="21" max="21" width="2.75" customWidth="1"/>
  </cols>
  <sheetData>
    <row r="1" spans="1:21" s="1" customFormat="1" ht="33" x14ac:dyDescent="0.3">
      <c r="A1" s="1" t="s">
        <v>0</v>
      </c>
      <c r="B1" s="1" t="s">
        <v>23</v>
      </c>
      <c r="C1" s="1" t="s">
        <v>25</v>
      </c>
      <c r="D1" s="1" t="s">
        <v>1</v>
      </c>
      <c r="E1" s="1" t="s">
        <v>2</v>
      </c>
      <c r="F1" s="8" t="s">
        <v>3</v>
      </c>
      <c r="G1" s="1" t="s">
        <v>4</v>
      </c>
      <c r="H1" s="1" t="s">
        <v>5</v>
      </c>
      <c r="I1" s="9" t="s">
        <v>6</v>
      </c>
      <c r="J1" s="1" t="s">
        <v>10</v>
      </c>
      <c r="K1" s="1" t="s">
        <v>21</v>
      </c>
      <c r="L1" s="1" t="s">
        <v>22</v>
      </c>
      <c r="M1" s="1" t="s">
        <v>11</v>
      </c>
      <c r="N1" s="1" t="s">
        <v>12</v>
      </c>
      <c r="O1" s="1" t="s">
        <v>7</v>
      </c>
      <c r="P1" s="6" t="s">
        <v>39</v>
      </c>
      <c r="Q1" s="1" t="s">
        <v>8</v>
      </c>
      <c r="R1" s="1" t="s">
        <v>19</v>
      </c>
      <c r="S1" s="4" t="s">
        <v>20</v>
      </c>
      <c r="T1" s="1" t="s">
        <v>9</v>
      </c>
      <c r="U1" s="1" t="s">
        <v>13</v>
      </c>
    </row>
    <row r="2" spans="1:21" x14ac:dyDescent="0.3">
      <c r="A2" t="s">
        <v>17</v>
      </c>
      <c r="B2" t="s">
        <v>24</v>
      </c>
      <c r="C2">
        <v>131</v>
      </c>
      <c r="D2" t="s">
        <v>14</v>
      </c>
      <c r="E2" t="s">
        <v>15</v>
      </c>
      <c r="F2" s="3">
        <v>123</v>
      </c>
      <c r="G2">
        <v>99100</v>
      </c>
      <c r="H2" t="s">
        <v>18</v>
      </c>
      <c r="I2" t="s">
        <v>18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>
        <v>20</v>
      </c>
      <c r="P2" s="7">
        <v>0</v>
      </c>
      <c r="Q2">
        <v>0.05</v>
      </c>
      <c r="R2">
        <v>0</v>
      </c>
      <c r="S2" s="5">
        <v>1</v>
      </c>
      <c r="T2" t="s">
        <v>16</v>
      </c>
      <c r="U2" t="s">
        <v>16</v>
      </c>
    </row>
    <row r="3" spans="1:21" x14ac:dyDescent="0.3">
      <c r="A3" t="s">
        <v>27</v>
      </c>
      <c r="B3" t="s">
        <v>68</v>
      </c>
      <c r="C3">
        <v>143</v>
      </c>
      <c r="D3" t="s">
        <v>14</v>
      </c>
      <c r="E3" t="s">
        <v>45</v>
      </c>
      <c r="F3" s="3" t="s">
        <v>103</v>
      </c>
      <c r="G3">
        <v>20018</v>
      </c>
      <c r="H3" t="s">
        <v>219</v>
      </c>
      <c r="I3" t="s">
        <v>372</v>
      </c>
      <c r="J3" t="s">
        <v>95</v>
      </c>
      <c r="K3" t="s">
        <v>95</v>
      </c>
      <c r="L3" t="s">
        <v>95</v>
      </c>
      <c r="M3" t="s">
        <v>444</v>
      </c>
      <c r="N3" t="s">
        <v>392</v>
      </c>
      <c r="O3">
        <v>597</v>
      </c>
      <c r="P3" s="7">
        <v>17921</v>
      </c>
      <c r="Q3">
        <v>0.05</v>
      </c>
      <c r="R3">
        <v>1.3</v>
      </c>
      <c r="S3" s="5">
        <f>O3/730</f>
        <v>0.81780821917808222</v>
      </c>
      <c r="T3" t="s">
        <v>16</v>
      </c>
      <c r="U3" t="s">
        <v>16</v>
      </c>
    </row>
    <row r="4" spans="1:21" x14ac:dyDescent="0.3">
      <c r="A4" t="s">
        <v>27</v>
      </c>
      <c r="B4" t="s">
        <v>68</v>
      </c>
      <c r="C4">
        <v>143</v>
      </c>
      <c r="D4" t="s">
        <v>14</v>
      </c>
      <c r="E4" t="s">
        <v>45</v>
      </c>
      <c r="F4" s="3" t="s">
        <v>185</v>
      </c>
      <c r="G4">
        <v>20018</v>
      </c>
      <c r="H4" t="s">
        <v>219</v>
      </c>
      <c r="I4" t="s">
        <v>225</v>
      </c>
      <c r="J4" t="s">
        <v>95</v>
      </c>
      <c r="K4" t="s">
        <v>95</v>
      </c>
      <c r="L4" t="s">
        <v>16</v>
      </c>
      <c r="M4" t="s">
        <v>95</v>
      </c>
      <c r="N4" t="s">
        <v>239</v>
      </c>
      <c r="O4">
        <v>510</v>
      </c>
      <c r="P4" s="7">
        <v>10335</v>
      </c>
      <c r="Q4">
        <v>0.1</v>
      </c>
      <c r="R4">
        <v>1.2</v>
      </c>
      <c r="S4" s="5">
        <f>O4/730</f>
        <v>0.69863013698630139</v>
      </c>
      <c r="T4" t="s">
        <v>16</v>
      </c>
      <c r="U4" t="s">
        <v>16</v>
      </c>
    </row>
    <row r="5" spans="1:21" x14ac:dyDescent="0.3">
      <c r="A5" t="s">
        <v>27</v>
      </c>
      <c r="B5" t="s">
        <v>536</v>
      </c>
      <c r="C5">
        <v>143</v>
      </c>
      <c r="D5" t="s">
        <v>182</v>
      </c>
      <c r="E5" t="s">
        <v>45</v>
      </c>
      <c r="F5" s="3" t="s">
        <v>585</v>
      </c>
      <c r="G5">
        <v>20018</v>
      </c>
      <c r="H5" t="s">
        <v>219</v>
      </c>
      <c r="I5" t="s">
        <v>225</v>
      </c>
      <c r="J5" t="s">
        <v>586</v>
      </c>
      <c r="K5" t="s">
        <v>95</v>
      </c>
      <c r="L5" t="s">
        <v>579</v>
      </c>
      <c r="M5" t="s">
        <v>95</v>
      </c>
      <c r="N5" t="s">
        <v>587</v>
      </c>
      <c r="O5">
        <v>503</v>
      </c>
      <c r="P5" s="7">
        <v>11091</v>
      </c>
      <c r="Q5">
        <v>0.04</v>
      </c>
      <c r="R5">
        <v>1.22</v>
      </c>
      <c r="S5" s="5">
        <f>O5/730</f>
        <v>0.68904109589041096</v>
      </c>
      <c r="T5" t="s">
        <v>16</v>
      </c>
      <c r="U5" t="s">
        <v>16</v>
      </c>
    </row>
    <row r="6" spans="1:21" x14ac:dyDescent="0.3">
      <c r="A6" t="s">
        <v>27</v>
      </c>
      <c r="B6" t="s">
        <v>68</v>
      </c>
      <c r="C6">
        <v>143</v>
      </c>
      <c r="D6" t="s">
        <v>14</v>
      </c>
      <c r="E6" t="s">
        <v>45</v>
      </c>
      <c r="F6" s="3" t="s">
        <v>256</v>
      </c>
      <c r="G6">
        <v>20018</v>
      </c>
      <c r="H6" t="s">
        <v>219</v>
      </c>
      <c r="I6" t="s">
        <v>222</v>
      </c>
      <c r="J6" t="s">
        <v>95</v>
      </c>
      <c r="K6" t="s">
        <v>95</v>
      </c>
      <c r="L6" t="s">
        <v>95</v>
      </c>
      <c r="M6" t="s">
        <v>95</v>
      </c>
      <c r="N6" t="s">
        <v>260</v>
      </c>
      <c r="O6">
        <v>477</v>
      </c>
      <c r="P6" s="7">
        <v>11099</v>
      </c>
      <c r="Q6">
        <v>0.1</v>
      </c>
      <c r="R6">
        <v>1.23</v>
      </c>
      <c r="S6" s="5">
        <f>O6/730</f>
        <v>0.65342465753424661</v>
      </c>
      <c r="T6" t="s">
        <v>16</v>
      </c>
      <c r="U6" t="s">
        <v>16</v>
      </c>
    </row>
    <row r="7" spans="1:21" x14ac:dyDescent="0.3">
      <c r="A7" t="s">
        <v>27</v>
      </c>
      <c r="B7" t="s">
        <v>24</v>
      </c>
      <c r="C7">
        <v>143</v>
      </c>
      <c r="D7" t="s">
        <v>14</v>
      </c>
      <c r="E7" t="s">
        <v>45</v>
      </c>
      <c r="F7" s="3" t="s">
        <v>185</v>
      </c>
      <c r="G7">
        <v>20018</v>
      </c>
      <c r="H7" t="s">
        <v>219</v>
      </c>
      <c r="I7" t="s">
        <v>220</v>
      </c>
      <c r="J7" t="s">
        <v>95</v>
      </c>
      <c r="K7" t="s">
        <v>95</v>
      </c>
      <c r="L7" t="s">
        <v>16</v>
      </c>
      <c r="M7" t="s">
        <v>241</v>
      </c>
      <c r="N7" t="s">
        <v>53</v>
      </c>
      <c r="O7">
        <v>451</v>
      </c>
      <c r="P7" s="7">
        <v>13647</v>
      </c>
      <c r="Q7">
        <v>7.0000000000000007E-2</v>
      </c>
      <c r="R7">
        <v>1.3</v>
      </c>
      <c r="S7" s="5">
        <f>O7/730</f>
        <v>0.61780821917808215</v>
      </c>
      <c r="T7" t="s">
        <v>16</v>
      </c>
      <c r="U7" t="s">
        <v>16</v>
      </c>
    </row>
    <row r="8" spans="1:21" x14ac:dyDescent="0.3">
      <c r="A8" t="s">
        <v>27</v>
      </c>
      <c r="B8" t="s">
        <v>24</v>
      </c>
      <c r="C8">
        <v>143</v>
      </c>
      <c r="D8" t="s">
        <v>14</v>
      </c>
      <c r="E8" t="s">
        <v>45</v>
      </c>
      <c r="F8" s="3" t="s">
        <v>50</v>
      </c>
      <c r="G8">
        <v>20018</v>
      </c>
      <c r="H8" t="s">
        <v>219</v>
      </c>
      <c r="I8" t="s">
        <v>222</v>
      </c>
      <c r="J8" t="s">
        <v>95</v>
      </c>
      <c r="K8" t="s">
        <v>95</v>
      </c>
      <c r="L8" t="s">
        <v>95</v>
      </c>
      <c r="M8" t="s">
        <v>95</v>
      </c>
      <c r="N8" t="s">
        <v>271</v>
      </c>
      <c r="O8">
        <v>395</v>
      </c>
      <c r="P8" s="7">
        <v>11994</v>
      </c>
      <c r="Q8">
        <v>0.16</v>
      </c>
      <c r="R8">
        <v>3.18</v>
      </c>
      <c r="S8" s="5">
        <f>O8/730</f>
        <v>0.54109589041095896</v>
      </c>
      <c r="T8" t="s">
        <v>16</v>
      </c>
      <c r="U8" t="s">
        <v>16</v>
      </c>
    </row>
    <row r="9" spans="1:21" x14ac:dyDescent="0.3">
      <c r="A9" t="s">
        <v>27</v>
      </c>
      <c r="B9" t="s">
        <v>536</v>
      </c>
      <c r="C9">
        <v>143</v>
      </c>
      <c r="D9" t="s">
        <v>182</v>
      </c>
      <c r="E9" t="s">
        <v>45</v>
      </c>
      <c r="F9" s="3" t="s">
        <v>576</v>
      </c>
      <c r="G9">
        <v>20018</v>
      </c>
      <c r="H9" t="s">
        <v>219</v>
      </c>
      <c r="I9" t="s">
        <v>225</v>
      </c>
      <c r="J9" t="s">
        <v>95</v>
      </c>
      <c r="K9" t="s">
        <v>539</v>
      </c>
      <c r="L9" t="s">
        <v>577</v>
      </c>
      <c r="M9" t="s">
        <v>477</v>
      </c>
      <c r="N9" t="s">
        <v>95</v>
      </c>
      <c r="O9">
        <v>390</v>
      </c>
      <c r="P9" s="7">
        <v>16432</v>
      </c>
      <c r="Q9">
        <v>0.08</v>
      </c>
      <c r="R9">
        <v>1.42</v>
      </c>
      <c r="S9" s="5">
        <f>O9/730</f>
        <v>0.53424657534246578</v>
      </c>
      <c r="T9" t="s">
        <v>16</v>
      </c>
      <c r="U9" t="s">
        <v>16</v>
      </c>
    </row>
    <row r="10" spans="1:21" x14ac:dyDescent="0.3">
      <c r="A10" t="s">
        <v>27</v>
      </c>
      <c r="B10" t="s">
        <v>24</v>
      </c>
      <c r="C10">
        <v>143</v>
      </c>
      <c r="D10" t="s">
        <v>14</v>
      </c>
      <c r="E10" t="s">
        <v>45</v>
      </c>
      <c r="F10" s="3" t="s">
        <v>50</v>
      </c>
      <c r="G10">
        <v>20018</v>
      </c>
      <c r="H10" t="s">
        <v>219</v>
      </c>
      <c r="I10" t="s">
        <v>225</v>
      </c>
      <c r="J10" t="s">
        <v>270</v>
      </c>
      <c r="K10" t="s">
        <v>95</v>
      </c>
      <c r="L10" t="s">
        <v>95</v>
      </c>
      <c r="M10" t="s">
        <v>95</v>
      </c>
      <c r="N10" t="s">
        <v>95</v>
      </c>
      <c r="O10">
        <v>327</v>
      </c>
      <c r="P10" s="7">
        <v>17376</v>
      </c>
      <c r="Q10">
        <v>0.18</v>
      </c>
      <c r="R10">
        <v>1.53</v>
      </c>
      <c r="S10" s="5">
        <f>O10/730</f>
        <v>0.44794520547945205</v>
      </c>
      <c r="T10" t="s">
        <v>16</v>
      </c>
      <c r="U10" t="s">
        <v>16</v>
      </c>
    </row>
    <row r="11" spans="1:21" x14ac:dyDescent="0.3">
      <c r="A11" t="s">
        <v>27</v>
      </c>
      <c r="B11" t="s">
        <v>68</v>
      </c>
      <c r="C11">
        <v>143</v>
      </c>
      <c r="D11" t="s">
        <v>14</v>
      </c>
      <c r="E11" t="s">
        <v>45</v>
      </c>
      <c r="F11" s="3" t="s">
        <v>416</v>
      </c>
      <c r="G11">
        <v>20018</v>
      </c>
      <c r="H11" t="s">
        <v>219</v>
      </c>
      <c r="I11" t="s">
        <v>222</v>
      </c>
      <c r="J11" t="s">
        <v>344</v>
      </c>
      <c r="K11" t="s">
        <v>419</v>
      </c>
      <c r="L11" t="s">
        <v>95</v>
      </c>
      <c r="M11" t="s">
        <v>95</v>
      </c>
      <c r="N11" t="s">
        <v>95</v>
      </c>
      <c r="O11">
        <v>320</v>
      </c>
      <c r="P11" s="7">
        <v>12390</v>
      </c>
      <c r="Q11">
        <v>0.06</v>
      </c>
      <c r="R11">
        <v>1.38</v>
      </c>
      <c r="S11" s="5">
        <f>O11/730</f>
        <v>0.43835616438356162</v>
      </c>
      <c r="T11" t="s">
        <v>16</v>
      </c>
      <c r="U11" t="s">
        <v>16</v>
      </c>
    </row>
    <row r="12" spans="1:21" x14ac:dyDescent="0.3">
      <c r="A12" t="s">
        <v>27</v>
      </c>
      <c r="B12" t="s">
        <v>24</v>
      </c>
      <c r="C12">
        <v>143</v>
      </c>
      <c r="D12" t="s">
        <v>14</v>
      </c>
      <c r="E12" t="s">
        <v>45</v>
      </c>
      <c r="F12" s="3" t="s">
        <v>50</v>
      </c>
      <c r="G12">
        <v>20018</v>
      </c>
      <c r="H12" t="s">
        <v>219</v>
      </c>
      <c r="I12" t="s">
        <v>220</v>
      </c>
      <c r="J12" t="s">
        <v>95</v>
      </c>
      <c r="K12" t="s">
        <v>272</v>
      </c>
      <c r="L12" t="s">
        <v>95</v>
      </c>
      <c r="M12" t="s">
        <v>95</v>
      </c>
      <c r="N12" t="s">
        <v>53</v>
      </c>
      <c r="O12">
        <v>300</v>
      </c>
      <c r="P12" s="7">
        <v>9065</v>
      </c>
      <c r="Q12">
        <v>0.08</v>
      </c>
      <c r="R12">
        <v>2.16</v>
      </c>
      <c r="S12" s="5">
        <f>O12/730</f>
        <v>0.41095890410958902</v>
      </c>
      <c r="T12" t="s">
        <v>16</v>
      </c>
      <c r="U12" t="s">
        <v>16</v>
      </c>
    </row>
    <row r="13" spans="1:21" x14ac:dyDescent="0.3">
      <c r="A13" t="s">
        <v>27</v>
      </c>
      <c r="B13" t="s">
        <v>24</v>
      </c>
      <c r="C13">
        <v>143</v>
      </c>
      <c r="D13" t="s">
        <v>14</v>
      </c>
      <c r="E13" t="s">
        <v>45</v>
      </c>
      <c r="F13" s="3" t="s">
        <v>318</v>
      </c>
      <c r="G13">
        <v>20018</v>
      </c>
      <c r="H13" t="s">
        <v>219</v>
      </c>
      <c r="I13" t="s">
        <v>220</v>
      </c>
      <c r="J13" t="s">
        <v>321</v>
      </c>
      <c r="K13" t="s">
        <v>95</v>
      </c>
      <c r="L13" t="s">
        <v>53</v>
      </c>
      <c r="M13" t="s">
        <v>53</v>
      </c>
      <c r="N13" t="s">
        <v>53</v>
      </c>
      <c r="O13">
        <v>290</v>
      </c>
      <c r="P13" s="7">
        <v>7805</v>
      </c>
      <c r="Q13">
        <v>0.11</v>
      </c>
      <c r="R13">
        <v>1.52</v>
      </c>
      <c r="S13" s="5">
        <f>O13/730</f>
        <v>0.39726027397260272</v>
      </c>
      <c r="T13" t="s">
        <v>16</v>
      </c>
      <c r="U13" t="s">
        <v>16</v>
      </c>
    </row>
    <row r="14" spans="1:21" x14ac:dyDescent="0.3">
      <c r="A14" t="s">
        <v>27</v>
      </c>
      <c r="B14" t="s">
        <v>47</v>
      </c>
      <c r="C14">
        <v>143</v>
      </c>
      <c r="D14" t="s">
        <v>14</v>
      </c>
      <c r="E14" t="s">
        <v>45</v>
      </c>
      <c r="F14" s="3" t="s">
        <v>46</v>
      </c>
      <c r="G14">
        <v>20018</v>
      </c>
      <c r="H14" t="s">
        <v>219</v>
      </c>
      <c r="I14" t="s">
        <v>225</v>
      </c>
      <c r="J14" t="s">
        <v>95</v>
      </c>
      <c r="K14" t="s">
        <v>16</v>
      </c>
      <c r="L14" t="s">
        <v>16</v>
      </c>
      <c r="M14" t="s">
        <v>226</v>
      </c>
      <c r="N14" t="s">
        <v>16</v>
      </c>
      <c r="O14">
        <v>271</v>
      </c>
      <c r="P14" s="7">
        <v>11460</v>
      </c>
      <c r="Q14">
        <v>7.0000000000000007E-2</v>
      </c>
      <c r="R14">
        <v>1.42</v>
      </c>
      <c r="S14" s="5">
        <f>O14/730</f>
        <v>0.37123287671232874</v>
      </c>
      <c r="T14" t="s">
        <v>16</v>
      </c>
      <c r="U14" t="s">
        <v>16</v>
      </c>
    </row>
    <row r="15" spans="1:21" x14ac:dyDescent="0.3">
      <c r="A15" t="s">
        <v>27</v>
      </c>
      <c r="B15" t="s">
        <v>68</v>
      </c>
      <c r="C15">
        <v>143</v>
      </c>
      <c r="D15" t="s">
        <v>14</v>
      </c>
      <c r="E15" t="s">
        <v>45</v>
      </c>
      <c r="F15" s="3" t="s">
        <v>479</v>
      </c>
      <c r="G15">
        <v>20018</v>
      </c>
      <c r="H15" t="s">
        <v>219</v>
      </c>
      <c r="I15" t="s">
        <v>220</v>
      </c>
      <c r="J15" t="s">
        <v>95</v>
      </c>
      <c r="K15" t="s">
        <v>480</v>
      </c>
      <c r="L15" t="s">
        <v>477</v>
      </c>
      <c r="M15" t="s">
        <v>95</v>
      </c>
      <c r="N15" t="s">
        <v>95</v>
      </c>
      <c r="O15">
        <v>267</v>
      </c>
      <c r="P15" s="7">
        <v>14597</v>
      </c>
      <c r="Q15">
        <v>0.08</v>
      </c>
      <c r="R15">
        <v>1.54</v>
      </c>
      <c r="S15" s="5">
        <f>O15/730</f>
        <v>0.36575342465753424</v>
      </c>
      <c r="T15" t="s">
        <v>16</v>
      </c>
      <c r="U15" t="s">
        <v>16</v>
      </c>
    </row>
    <row r="16" spans="1:21" x14ac:dyDescent="0.3">
      <c r="A16" t="s">
        <v>27</v>
      </c>
      <c r="B16" t="s">
        <v>24</v>
      </c>
      <c r="C16">
        <v>143</v>
      </c>
      <c r="D16" t="s">
        <v>14</v>
      </c>
      <c r="E16" t="s">
        <v>45</v>
      </c>
      <c r="F16" s="3" t="s">
        <v>46</v>
      </c>
      <c r="G16">
        <v>20018</v>
      </c>
      <c r="H16" t="s">
        <v>219</v>
      </c>
      <c r="I16" t="s">
        <v>220</v>
      </c>
      <c r="J16" t="s">
        <v>95</v>
      </c>
      <c r="K16" t="s">
        <v>16</v>
      </c>
      <c r="L16" t="s">
        <v>16</v>
      </c>
      <c r="M16" t="s">
        <v>53</v>
      </c>
      <c r="N16" t="s">
        <v>228</v>
      </c>
      <c r="O16">
        <v>258</v>
      </c>
      <c r="P16" s="7">
        <v>15135</v>
      </c>
      <c r="Q16">
        <v>0.06</v>
      </c>
      <c r="R16">
        <v>1.58</v>
      </c>
      <c r="S16" s="5">
        <f>O16/730</f>
        <v>0.35342465753424657</v>
      </c>
      <c r="T16" t="s">
        <v>16</v>
      </c>
      <c r="U16" t="s">
        <v>16</v>
      </c>
    </row>
    <row r="17" spans="1:21" x14ac:dyDescent="0.3">
      <c r="A17" t="s">
        <v>27</v>
      </c>
      <c r="B17" t="s">
        <v>47</v>
      </c>
      <c r="C17">
        <v>143</v>
      </c>
      <c r="D17" t="s">
        <v>14</v>
      </c>
      <c r="E17" t="s">
        <v>45</v>
      </c>
      <c r="F17" s="3" t="s">
        <v>183</v>
      </c>
      <c r="G17">
        <v>20018</v>
      </c>
      <c r="H17" t="s">
        <v>219</v>
      </c>
      <c r="I17" t="s">
        <v>220</v>
      </c>
      <c r="J17" t="s">
        <v>95</v>
      </c>
      <c r="K17" t="s">
        <v>53</v>
      </c>
      <c r="L17" t="s">
        <v>16</v>
      </c>
      <c r="M17" t="s">
        <v>233</v>
      </c>
      <c r="N17" t="s">
        <v>95</v>
      </c>
      <c r="O17">
        <v>257</v>
      </c>
      <c r="P17" s="7">
        <v>11836</v>
      </c>
      <c r="Q17">
        <v>0.09</v>
      </c>
      <c r="R17">
        <v>1.46</v>
      </c>
      <c r="S17" s="5">
        <f>O17/730</f>
        <v>0.35205479452054794</v>
      </c>
      <c r="T17" t="s">
        <v>16</v>
      </c>
      <c r="U17" t="s">
        <v>16</v>
      </c>
    </row>
  </sheetData>
  <sortState ref="A2:U218">
    <sortCondition descending="1" ref="S83"/>
  </sortState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"/>
  <sheetViews>
    <sheetView zoomScale="90" zoomScaleNormal="90" workbookViewId="0">
      <pane ySplit="1" topLeftCell="A2" activePane="bottomLeft" state="frozen"/>
      <selection activeCell="F4" sqref="F4"/>
      <selection pane="bottomLeft" activeCell="F4" sqref="F4"/>
    </sheetView>
  </sheetViews>
  <sheetFormatPr defaultRowHeight="16.5" x14ac:dyDescent="0.3"/>
  <cols>
    <col min="1" max="2" width="4.875" customWidth="1"/>
    <col min="3" max="3" width="3.125" customWidth="1"/>
    <col min="4" max="4" width="7.375" customWidth="1"/>
    <col min="5" max="5" width="7.5" customWidth="1"/>
    <col min="6" max="6" width="9" style="3"/>
    <col min="7" max="7" width="5.125" customWidth="1"/>
    <col min="8" max="8" width="5" customWidth="1"/>
    <col min="9" max="9" width="6.625" customWidth="1"/>
    <col min="11" max="11" width="10.375" customWidth="1"/>
    <col min="12" max="13" width="10.125" customWidth="1"/>
    <col min="14" max="14" width="10.5" customWidth="1"/>
    <col min="15" max="15" width="7" customWidth="1"/>
    <col min="16" max="16" width="9.125" style="7" customWidth="1"/>
    <col min="17" max="17" width="6.625" customWidth="1"/>
    <col min="18" max="18" width="7.125" customWidth="1"/>
    <col min="19" max="19" width="7.5" style="5" customWidth="1"/>
    <col min="20" max="20" width="3.5" customWidth="1"/>
    <col min="21" max="21" width="2.75" customWidth="1"/>
  </cols>
  <sheetData>
    <row r="1" spans="1:21" s="1" customFormat="1" ht="33" x14ac:dyDescent="0.3">
      <c r="A1" s="1" t="s">
        <v>0</v>
      </c>
      <c r="B1" s="1" t="s">
        <v>23</v>
      </c>
      <c r="C1" s="1" t="s">
        <v>25</v>
      </c>
      <c r="D1" s="1" t="s">
        <v>1</v>
      </c>
      <c r="E1" s="1" t="s">
        <v>2</v>
      </c>
      <c r="F1" s="8" t="s">
        <v>3</v>
      </c>
      <c r="G1" s="1" t="s">
        <v>4</v>
      </c>
      <c r="H1" s="1" t="s">
        <v>5</v>
      </c>
      <c r="I1" s="9" t="s">
        <v>6</v>
      </c>
      <c r="J1" s="1" t="s">
        <v>10</v>
      </c>
      <c r="K1" s="1" t="s">
        <v>21</v>
      </c>
      <c r="L1" s="1" t="s">
        <v>22</v>
      </c>
      <c r="M1" s="1" t="s">
        <v>11</v>
      </c>
      <c r="N1" s="1" t="s">
        <v>12</v>
      </c>
      <c r="O1" s="1" t="s">
        <v>7</v>
      </c>
      <c r="P1" s="6" t="s">
        <v>39</v>
      </c>
      <c r="Q1" s="1" t="s">
        <v>8</v>
      </c>
      <c r="R1" s="1" t="s">
        <v>19</v>
      </c>
      <c r="S1" s="4" t="s">
        <v>20</v>
      </c>
      <c r="T1" s="1" t="s">
        <v>9</v>
      </c>
      <c r="U1" s="1" t="s">
        <v>13</v>
      </c>
    </row>
    <row r="2" spans="1:21" x14ac:dyDescent="0.3">
      <c r="A2" t="s">
        <v>17</v>
      </c>
      <c r="B2" t="s">
        <v>24</v>
      </c>
      <c r="C2">
        <v>131</v>
      </c>
      <c r="D2" t="s">
        <v>14</v>
      </c>
      <c r="E2" t="s">
        <v>15</v>
      </c>
      <c r="F2" s="3">
        <v>123</v>
      </c>
      <c r="G2">
        <v>99100</v>
      </c>
      <c r="H2" t="s">
        <v>18</v>
      </c>
      <c r="I2" t="s">
        <v>18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>
        <v>20</v>
      </c>
      <c r="P2" s="7">
        <v>0</v>
      </c>
      <c r="Q2">
        <v>0.05</v>
      </c>
      <c r="R2">
        <v>0</v>
      </c>
      <c r="S2" s="5">
        <v>1</v>
      </c>
      <c r="T2" t="s">
        <v>16</v>
      </c>
      <c r="U2" t="s">
        <v>16</v>
      </c>
    </row>
    <row r="3" spans="1:21" x14ac:dyDescent="0.3">
      <c r="A3" t="s">
        <v>27</v>
      </c>
      <c r="B3" t="s">
        <v>24</v>
      </c>
      <c r="C3">
        <v>143</v>
      </c>
      <c r="D3" t="s">
        <v>14</v>
      </c>
      <c r="E3" t="s">
        <v>45</v>
      </c>
      <c r="F3" s="3" t="s">
        <v>46</v>
      </c>
      <c r="G3">
        <v>20018</v>
      </c>
      <c r="H3" t="s">
        <v>219</v>
      </c>
      <c r="I3" t="s">
        <v>221</v>
      </c>
      <c r="J3" t="s">
        <v>95</v>
      </c>
      <c r="K3" t="s">
        <v>231</v>
      </c>
      <c r="L3" t="s">
        <v>16</v>
      </c>
      <c r="M3" t="s">
        <v>53</v>
      </c>
      <c r="N3" t="s">
        <v>95</v>
      </c>
      <c r="O3">
        <v>61</v>
      </c>
      <c r="P3" s="7">
        <v>5062</v>
      </c>
      <c r="Q3">
        <v>0.22</v>
      </c>
      <c r="R3">
        <v>1.82</v>
      </c>
      <c r="S3" s="5">
        <f t="shared" ref="S3:S43" si="0">O3/730</f>
        <v>8.3561643835616442E-2</v>
      </c>
      <c r="T3" t="s">
        <v>16</v>
      </c>
      <c r="U3" t="s">
        <v>16</v>
      </c>
    </row>
    <row r="4" spans="1:21" x14ac:dyDescent="0.3">
      <c r="A4" t="s">
        <v>27</v>
      </c>
      <c r="B4" t="s">
        <v>24</v>
      </c>
      <c r="C4">
        <v>143</v>
      </c>
      <c r="D4" t="s">
        <v>14</v>
      </c>
      <c r="E4" t="s">
        <v>45</v>
      </c>
      <c r="F4" s="3" t="s">
        <v>183</v>
      </c>
      <c r="G4">
        <v>20018</v>
      </c>
      <c r="H4" t="s">
        <v>219</v>
      </c>
      <c r="I4" t="s">
        <v>222</v>
      </c>
      <c r="J4" t="s">
        <v>95</v>
      </c>
      <c r="K4" t="s">
        <v>232</v>
      </c>
      <c r="L4" t="s">
        <v>16</v>
      </c>
      <c r="M4" t="s">
        <v>53</v>
      </c>
      <c r="N4" t="s">
        <v>95</v>
      </c>
      <c r="O4">
        <v>24</v>
      </c>
      <c r="P4" s="7">
        <v>4838</v>
      </c>
      <c r="Q4">
        <v>0.12</v>
      </c>
      <c r="R4">
        <v>3.01</v>
      </c>
      <c r="S4" s="5">
        <f t="shared" si="0"/>
        <v>3.287671232876712E-2</v>
      </c>
      <c r="T4" t="s">
        <v>16</v>
      </c>
      <c r="U4" t="s">
        <v>16</v>
      </c>
    </row>
    <row r="5" spans="1:21" x14ac:dyDescent="0.3">
      <c r="A5" t="s">
        <v>27</v>
      </c>
      <c r="B5" t="s">
        <v>47</v>
      </c>
      <c r="C5">
        <v>143</v>
      </c>
      <c r="D5" t="s">
        <v>14</v>
      </c>
      <c r="E5" t="s">
        <v>45</v>
      </c>
      <c r="F5" s="3" t="s">
        <v>183</v>
      </c>
      <c r="G5">
        <v>20018</v>
      </c>
      <c r="H5" t="s">
        <v>219</v>
      </c>
      <c r="I5" t="s">
        <v>221</v>
      </c>
      <c r="J5" t="s">
        <v>95</v>
      </c>
      <c r="K5" t="s">
        <v>235</v>
      </c>
      <c r="L5" t="s">
        <v>16</v>
      </c>
      <c r="M5" t="s">
        <v>95</v>
      </c>
      <c r="N5" t="s">
        <v>95</v>
      </c>
      <c r="O5">
        <v>12</v>
      </c>
      <c r="P5" s="7">
        <v>1889</v>
      </c>
      <c r="Q5">
        <v>0.16</v>
      </c>
      <c r="R5">
        <v>2.57</v>
      </c>
      <c r="S5" s="5">
        <f t="shared" si="0"/>
        <v>1.643835616438356E-2</v>
      </c>
      <c r="T5" t="s">
        <v>16</v>
      </c>
      <c r="U5" t="s">
        <v>16</v>
      </c>
    </row>
    <row r="6" spans="1:21" x14ac:dyDescent="0.3">
      <c r="A6" t="s">
        <v>27</v>
      </c>
      <c r="B6" t="s">
        <v>47</v>
      </c>
      <c r="C6">
        <v>143</v>
      </c>
      <c r="D6" t="s">
        <v>14</v>
      </c>
      <c r="E6" t="s">
        <v>45</v>
      </c>
      <c r="F6" s="3" t="s">
        <v>188</v>
      </c>
      <c r="G6">
        <v>20018</v>
      </c>
      <c r="H6" t="s">
        <v>219</v>
      </c>
      <c r="I6" t="s">
        <v>221</v>
      </c>
      <c r="J6" t="s">
        <v>53</v>
      </c>
      <c r="K6" t="s">
        <v>246</v>
      </c>
      <c r="L6" t="s">
        <v>95</v>
      </c>
      <c r="M6" t="s">
        <v>95</v>
      </c>
      <c r="N6" t="s">
        <v>53</v>
      </c>
      <c r="O6">
        <v>30</v>
      </c>
      <c r="P6" s="7">
        <v>2528</v>
      </c>
      <c r="Q6">
        <v>0.1</v>
      </c>
      <c r="R6">
        <v>1.84</v>
      </c>
      <c r="S6" s="5">
        <f t="shared" si="0"/>
        <v>4.1095890410958902E-2</v>
      </c>
      <c r="T6" t="s">
        <v>16</v>
      </c>
      <c r="U6" t="s">
        <v>16</v>
      </c>
    </row>
    <row r="7" spans="1:21" x14ac:dyDescent="0.3">
      <c r="A7" t="s">
        <v>27</v>
      </c>
      <c r="B7" t="s">
        <v>24</v>
      </c>
      <c r="C7">
        <v>143</v>
      </c>
      <c r="D7" t="s">
        <v>14</v>
      </c>
      <c r="E7" t="s">
        <v>45</v>
      </c>
      <c r="F7" s="3" t="s">
        <v>247</v>
      </c>
      <c r="G7">
        <v>20018</v>
      </c>
      <c r="H7" t="s">
        <v>219</v>
      </c>
      <c r="I7" t="s">
        <v>225</v>
      </c>
      <c r="J7" t="s">
        <v>53</v>
      </c>
      <c r="K7" t="s">
        <v>248</v>
      </c>
      <c r="L7" t="s">
        <v>95</v>
      </c>
      <c r="M7" t="s">
        <v>95</v>
      </c>
      <c r="N7" t="s">
        <v>53</v>
      </c>
      <c r="O7">
        <v>39</v>
      </c>
      <c r="P7" s="7">
        <v>5366</v>
      </c>
      <c r="Q7">
        <v>0.1</v>
      </c>
      <c r="R7">
        <v>2.37</v>
      </c>
      <c r="S7" s="5">
        <f t="shared" si="0"/>
        <v>5.3424657534246578E-2</v>
      </c>
      <c r="T7" t="s">
        <v>16</v>
      </c>
      <c r="U7" t="s">
        <v>16</v>
      </c>
    </row>
    <row r="8" spans="1:21" x14ac:dyDescent="0.3">
      <c r="A8" t="s">
        <v>27</v>
      </c>
      <c r="B8" t="s">
        <v>47</v>
      </c>
      <c r="C8">
        <v>143</v>
      </c>
      <c r="D8" t="s">
        <v>14</v>
      </c>
      <c r="E8" t="s">
        <v>45</v>
      </c>
      <c r="F8" s="3" t="s">
        <v>247</v>
      </c>
      <c r="G8">
        <v>20018</v>
      </c>
      <c r="H8" t="s">
        <v>219</v>
      </c>
      <c r="I8" t="s">
        <v>222</v>
      </c>
      <c r="J8" t="s">
        <v>53</v>
      </c>
      <c r="K8" t="s">
        <v>249</v>
      </c>
      <c r="L8" t="s">
        <v>95</v>
      </c>
      <c r="M8" t="s">
        <v>95</v>
      </c>
      <c r="N8" t="s">
        <v>53</v>
      </c>
      <c r="O8">
        <v>155</v>
      </c>
      <c r="P8" s="7">
        <v>3356</v>
      </c>
      <c r="Q8">
        <v>0.12</v>
      </c>
      <c r="R8">
        <v>1.21</v>
      </c>
      <c r="S8" s="5">
        <f t="shared" si="0"/>
        <v>0.21232876712328766</v>
      </c>
      <c r="T8" t="s">
        <v>16</v>
      </c>
      <c r="U8" t="s">
        <v>16</v>
      </c>
    </row>
    <row r="9" spans="1:21" x14ac:dyDescent="0.3">
      <c r="A9" t="s">
        <v>27</v>
      </c>
      <c r="B9" t="s">
        <v>47</v>
      </c>
      <c r="C9">
        <v>143</v>
      </c>
      <c r="D9" t="s">
        <v>14</v>
      </c>
      <c r="E9" t="s">
        <v>45</v>
      </c>
      <c r="F9" s="3" t="s">
        <v>251</v>
      </c>
      <c r="G9">
        <v>20018</v>
      </c>
      <c r="H9" t="s">
        <v>219</v>
      </c>
      <c r="I9" t="s">
        <v>220</v>
      </c>
      <c r="J9" t="s">
        <v>53</v>
      </c>
      <c r="K9" t="s">
        <v>255</v>
      </c>
      <c r="L9" t="s">
        <v>95</v>
      </c>
      <c r="M9" t="s">
        <v>95</v>
      </c>
      <c r="N9" t="s">
        <v>53</v>
      </c>
      <c r="O9">
        <v>109</v>
      </c>
      <c r="P9" s="7">
        <v>4393</v>
      </c>
      <c r="Q9">
        <v>0.11</v>
      </c>
      <c r="R9">
        <v>1.4</v>
      </c>
      <c r="S9" s="5">
        <f t="shared" si="0"/>
        <v>0.14931506849315068</v>
      </c>
      <c r="T9" t="s">
        <v>16</v>
      </c>
      <c r="U9" t="s">
        <v>16</v>
      </c>
    </row>
    <row r="10" spans="1:21" x14ac:dyDescent="0.3">
      <c r="A10" t="s">
        <v>27</v>
      </c>
      <c r="B10" t="s">
        <v>24</v>
      </c>
      <c r="C10">
        <v>143</v>
      </c>
      <c r="D10" t="s">
        <v>14</v>
      </c>
      <c r="E10" t="s">
        <v>45</v>
      </c>
      <c r="F10" s="3" t="s">
        <v>50</v>
      </c>
      <c r="G10">
        <v>20018</v>
      </c>
      <c r="H10" t="s">
        <v>219</v>
      </c>
      <c r="I10" t="s">
        <v>220</v>
      </c>
      <c r="J10" t="s">
        <v>95</v>
      </c>
      <c r="K10" t="s">
        <v>272</v>
      </c>
      <c r="L10" t="s">
        <v>95</v>
      </c>
      <c r="M10" t="s">
        <v>95</v>
      </c>
      <c r="N10" t="s">
        <v>53</v>
      </c>
      <c r="O10">
        <v>300</v>
      </c>
      <c r="P10" s="7">
        <v>9065</v>
      </c>
      <c r="Q10">
        <v>0.08</v>
      </c>
      <c r="R10">
        <v>2.16</v>
      </c>
      <c r="S10" s="5">
        <f t="shared" si="0"/>
        <v>0.41095890410958902</v>
      </c>
      <c r="T10" t="s">
        <v>16</v>
      </c>
      <c r="U10" t="s">
        <v>16</v>
      </c>
    </row>
    <row r="11" spans="1:21" x14ac:dyDescent="0.3">
      <c r="A11" t="s">
        <v>27</v>
      </c>
      <c r="B11" t="s">
        <v>24</v>
      </c>
      <c r="C11">
        <v>143</v>
      </c>
      <c r="D11" t="s">
        <v>14</v>
      </c>
      <c r="E11" t="s">
        <v>45</v>
      </c>
      <c r="F11" s="3" t="s">
        <v>52</v>
      </c>
      <c r="G11">
        <v>20018</v>
      </c>
      <c r="H11" t="s">
        <v>219</v>
      </c>
      <c r="I11" t="s">
        <v>225</v>
      </c>
      <c r="J11" t="s">
        <v>95</v>
      </c>
      <c r="K11" t="s">
        <v>276</v>
      </c>
      <c r="L11" t="s">
        <v>95</v>
      </c>
      <c r="M11" t="s">
        <v>95</v>
      </c>
      <c r="N11" t="s">
        <v>53</v>
      </c>
      <c r="O11">
        <v>65</v>
      </c>
      <c r="P11" s="7">
        <v>4182</v>
      </c>
      <c r="Q11">
        <v>0.18</v>
      </c>
      <c r="R11">
        <v>1.64</v>
      </c>
      <c r="S11" s="5">
        <f t="shared" si="0"/>
        <v>8.9041095890410954E-2</v>
      </c>
      <c r="T11" t="s">
        <v>16</v>
      </c>
      <c r="U11" t="s">
        <v>16</v>
      </c>
    </row>
    <row r="12" spans="1:21" x14ac:dyDescent="0.3">
      <c r="A12" t="s">
        <v>27</v>
      </c>
      <c r="B12" t="s">
        <v>24</v>
      </c>
      <c r="C12">
        <v>143</v>
      </c>
      <c r="D12" t="s">
        <v>14</v>
      </c>
      <c r="E12" t="s">
        <v>45</v>
      </c>
      <c r="F12" s="3" t="s">
        <v>55</v>
      </c>
      <c r="G12">
        <v>20018</v>
      </c>
      <c r="H12" t="s">
        <v>219</v>
      </c>
      <c r="I12" t="s">
        <v>220</v>
      </c>
      <c r="J12" t="s">
        <v>53</v>
      </c>
      <c r="K12" t="s">
        <v>288</v>
      </c>
      <c r="L12" t="s">
        <v>53</v>
      </c>
      <c r="M12" t="s">
        <v>53</v>
      </c>
      <c r="N12" t="s">
        <v>95</v>
      </c>
      <c r="O12">
        <v>101</v>
      </c>
      <c r="P12" s="7">
        <v>15958</v>
      </c>
      <c r="Q12">
        <v>7.0000000000000007E-2</v>
      </c>
      <c r="R12">
        <v>2.58</v>
      </c>
      <c r="S12" s="5">
        <f t="shared" si="0"/>
        <v>0.13835616438356163</v>
      </c>
      <c r="T12" t="s">
        <v>16</v>
      </c>
      <c r="U12" t="s">
        <v>16</v>
      </c>
    </row>
    <row r="13" spans="1:21" x14ac:dyDescent="0.3">
      <c r="A13" t="s">
        <v>27</v>
      </c>
      <c r="B13" t="s">
        <v>297</v>
      </c>
      <c r="C13">
        <v>143</v>
      </c>
      <c r="D13" t="s">
        <v>14</v>
      </c>
      <c r="E13" t="s">
        <v>45</v>
      </c>
      <c r="F13" s="3" t="s">
        <v>293</v>
      </c>
      <c r="G13">
        <v>20018</v>
      </c>
      <c r="H13" t="s">
        <v>219</v>
      </c>
      <c r="I13" t="s">
        <v>222</v>
      </c>
      <c r="J13" t="s">
        <v>95</v>
      </c>
      <c r="K13" t="s">
        <v>298</v>
      </c>
      <c r="L13" t="s">
        <v>53</v>
      </c>
      <c r="M13" t="s">
        <v>53</v>
      </c>
      <c r="N13" t="s">
        <v>53</v>
      </c>
      <c r="O13">
        <v>39</v>
      </c>
      <c r="P13" s="7">
        <v>6527</v>
      </c>
      <c r="Q13">
        <v>0.12</v>
      </c>
      <c r="R13">
        <v>2.67</v>
      </c>
      <c r="S13" s="5">
        <f t="shared" si="0"/>
        <v>5.3424657534246578E-2</v>
      </c>
      <c r="T13" t="s">
        <v>16</v>
      </c>
      <c r="U13" t="s">
        <v>16</v>
      </c>
    </row>
    <row r="14" spans="1:21" x14ac:dyDescent="0.3">
      <c r="A14" t="s">
        <v>27</v>
      </c>
      <c r="B14" t="s">
        <v>297</v>
      </c>
      <c r="C14">
        <v>143</v>
      </c>
      <c r="D14" t="s">
        <v>14</v>
      </c>
      <c r="E14" t="s">
        <v>45</v>
      </c>
      <c r="F14" s="3" t="s">
        <v>302</v>
      </c>
      <c r="G14">
        <v>20018</v>
      </c>
      <c r="H14" t="s">
        <v>219</v>
      </c>
      <c r="I14" t="s">
        <v>225</v>
      </c>
      <c r="J14" t="s">
        <v>53</v>
      </c>
      <c r="K14" t="s">
        <v>301</v>
      </c>
      <c r="L14" t="s">
        <v>53</v>
      </c>
      <c r="M14" t="s">
        <v>53</v>
      </c>
      <c r="N14" t="s">
        <v>53</v>
      </c>
      <c r="O14">
        <v>27</v>
      </c>
      <c r="P14" s="7">
        <v>5068</v>
      </c>
      <c r="Q14">
        <v>0.11</v>
      </c>
      <c r="R14">
        <v>2.87</v>
      </c>
      <c r="S14" s="5">
        <f t="shared" si="0"/>
        <v>3.6986301369863014E-2</v>
      </c>
      <c r="T14" t="s">
        <v>16</v>
      </c>
      <c r="U14" t="s">
        <v>16</v>
      </c>
    </row>
    <row r="15" spans="1:21" x14ac:dyDescent="0.3">
      <c r="A15" t="s">
        <v>27</v>
      </c>
      <c r="B15" t="s">
        <v>297</v>
      </c>
      <c r="C15">
        <v>143</v>
      </c>
      <c r="D15" t="s">
        <v>14</v>
      </c>
      <c r="E15" t="s">
        <v>45</v>
      </c>
      <c r="F15" s="3" t="s">
        <v>306</v>
      </c>
      <c r="G15">
        <v>20018</v>
      </c>
      <c r="H15" t="s">
        <v>219</v>
      </c>
      <c r="I15" t="s">
        <v>307</v>
      </c>
      <c r="J15" t="s">
        <v>53</v>
      </c>
      <c r="K15" t="s">
        <v>308</v>
      </c>
      <c r="L15" t="s">
        <v>53</v>
      </c>
      <c r="M15" t="s">
        <v>53</v>
      </c>
      <c r="N15" t="s">
        <v>53</v>
      </c>
      <c r="O15">
        <v>33</v>
      </c>
      <c r="P15" s="7">
        <v>6898</v>
      </c>
      <c r="Q15">
        <v>0.12</v>
      </c>
      <c r="R15">
        <v>3.09</v>
      </c>
      <c r="S15" s="5">
        <f t="shared" si="0"/>
        <v>4.5205479452054796E-2</v>
      </c>
      <c r="T15" t="s">
        <v>16</v>
      </c>
      <c r="U15" t="s">
        <v>16</v>
      </c>
    </row>
    <row r="16" spans="1:21" x14ac:dyDescent="0.3">
      <c r="A16" t="s">
        <v>27</v>
      </c>
      <c r="B16" t="s">
        <v>47</v>
      </c>
      <c r="C16">
        <v>143</v>
      </c>
      <c r="D16" t="s">
        <v>14</v>
      </c>
      <c r="E16" t="s">
        <v>45</v>
      </c>
      <c r="F16" s="3" t="s">
        <v>306</v>
      </c>
      <c r="G16">
        <v>20018</v>
      </c>
      <c r="H16" t="s">
        <v>219</v>
      </c>
      <c r="I16" t="s">
        <v>220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>
        <v>58</v>
      </c>
      <c r="P16" s="7">
        <v>5156</v>
      </c>
      <c r="Q16">
        <v>0.15</v>
      </c>
      <c r="R16">
        <v>1.88</v>
      </c>
      <c r="S16" s="5">
        <f t="shared" si="0"/>
        <v>7.9452054794520555E-2</v>
      </c>
      <c r="T16" t="s">
        <v>16</v>
      </c>
      <c r="U16" t="s">
        <v>16</v>
      </c>
    </row>
    <row r="17" spans="1:21" x14ac:dyDescent="0.3">
      <c r="A17" t="s">
        <v>27</v>
      </c>
      <c r="B17" t="s">
        <v>47</v>
      </c>
      <c r="C17">
        <v>143</v>
      </c>
      <c r="D17" t="s">
        <v>14</v>
      </c>
      <c r="E17" t="s">
        <v>45</v>
      </c>
      <c r="F17" s="3" t="s">
        <v>318</v>
      </c>
      <c r="G17">
        <v>20018</v>
      </c>
      <c r="H17" t="s">
        <v>219</v>
      </c>
      <c r="I17" t="s">
        <v>222</v>
      </c>
      <c r="J17" t="s">
        <v>319</v>
      </c>
      <c r="K17" t="s">
        <v>320</v>
      </c>
      <c r="L17" t="s">
        <v>53</v>
      </c>
      <c r="M17" t="s">
        <v>53</v>
      </c>
      <c r="N17" t="s">
        <v>53</v>
      </c>
      <c r="O17">
        <v>134</v>
      </c>
      <c r="P17" s="7">
        <v>3615</v>
      </c>
      <c r="Q17">
        <v>0.08</v>
      </c>
      <c r="R17">
        <v>1.26</v>
      </c>
      <c r="S17" s="5">
        <f t="shared" si="0"/>
        <v>0.18356164383561643</v>
      </c>
      <c r="T17" t="s">
        <v>16</v>
      </c>
      <c r="U17" t="s">
        <v>16</v>
      </c>
    </row>
    <row r="18" spans="1:21" x14ac:dyDescent="0.3">
      <c r="A18" t="s">
        <v>27</v>
      </c>
      <c r="B18" t="s">
        <v>68</v>
      </c>
      <c r="C18">
        <v>143</v>
      </c>
      <c r="D18" t="s">
        <v>14</v>
      </c>
      <c r="E18" t="s">
        <v>45</v>
      </c>
      <c r="F18" s="3" t="s">
        <v>341</v>
      </c>
      <c r="G18">
        <v>20018</v>
      </c>
      <c r="H18" t="s">
        <v>219</v>
      </c>
      <c r="I18" t="s">
        <v>220</v>
      </c>
      <c r="J18" t="s">
        <v>95</v>
      </c>
      <c r="K18" t="s">
        <v>342</v>
      </c>
      <c r="L18" t="s">
        <v>53</v>
      </c>
      <c r="M18" t="s">
        <v>53</v>
      </c>
      <c r="N18" t="s">
        <v>95</v>
      </c>
      <c r="O18">
        <v>163</v>
      </c>
      <c r="P18" s="7">
        <v>10694</v>
      </c>
      <c r="Q18">
        <v>0.06</v>
      </c>
      <c r="R18">
        <v>1.65</v>
      </c>
      <c r="S18" s="5">
        <f t="shared" si="0"/>
        <v>0.22328767123287671</v>
      </c>
      <c r="T18" t="s">
        <v>16</v>
      </c>
      <c r="U18" t="s">
        <v>16</v>
      </c>
    </row>
    <row r="19" spans="1:21" x14ac:dyDescent="0.3">
      <c r="A19" t="s">
        <v>27</v>
      </c>
      <c r="B19" t="s">
        <v>68</v>
      </c>
      <c r="C19">
        <v>143</v>
      </c>
      <c r="D19" t="s">
        <v>14</v>
      </c>
      <c r="E19" t="s">
        <v>45</v>
      </c>
      <c r="F19" s="3" t="s">
        <v>359</v>
      </c>
      <c r="G19">
        <v>20018</v>
      </c>
      <c r="H19" t="s">
        <v>219</v>
      </c>
      <c r="I19" t="s">
        <v>363</v>
      </c>
      <c r="J19" t="s">
        <v>95</v>
      </c>
      <c r="K19" t="s">
        <v>364</v>
      </c>
      <c r="L19" t="s">
        <v>95</v>
      </c>
      <c r="M19" t="s">
        <v>344</v>
      </c>
      <c r="N19" t="s">
        <v>95</v>
      </c>
      <c r="O19">
        <v>40</v>
      </c>
      <c r="P19" s="7">
        <v>5009</v>
      </c>
      <c r="Q19">
        <v>0.12</v>
      </c>
      <c r="R19">
        <v>2.25</v>
      </c>
      <c r="S19" s="5">
        <f t="shared" si="0"/>
        <v>5.4794520547945202E-2</v>
      </c>
      <c r="T19" t="s">
        <v>16</v>
      </c>
      <c r="U19" t="s">
        <v>16</v>
      </c>
    </row>
    <row r="20" spans="1:21" x14ac:dyDescent="0.3">
      <c r="A20" t="s">
        <v>27</v>
      </c>
      <c r="B20" t="s">
        <v>68</v>
      </c>
      <c r="C20">
        <v>143</v>
      </c>
      <c r="D20" t="s">
        <v>14</v>
      </c>
      <c r="E20" t="s">
        <v>45</v>
      </c>
      <c r="F20" s="3" t="s">
        <v>65</v>
      </c>
      <c r="G20">
        <v>20018</v>
      </c>
      <c r="H20" t="s">
        <v>219</v>
      </c>
      <c r="I20" t="s">
        <v>225</v>
      </c>
      <c r="J20" t="s">
        <v>95</v>
      </c>
      <c r="K20" t="s">
        <v>365</v>
      </c>
      <c r="L20" t="s">
        <v>95</v>
      </c>
      <c r="M20" t="s">
        <v>344</v>
      </c>
      <c r="N20" t="s">
        <v>95</v>
      </c>
      <c r="O20">
        <v>98</v>
      </c>
      <c r="P20" s="7">
        <v>6431</v>
      </c>
      <c r="Q20">
        <v>0.17</v>
      </c>
      <c r="R20">
        <v>1.65</v>
      </c>
      <c r="S20" s="5">
        <f t="shared" si="0"/>
        <v>0.13424657534246576</v>
      </c>
      <c r="T20" t="s">
        <v>16</v>
      </c>
      <c r="U20" t="s">
        <v>16</v>
      </c>
    </row>
    <row r="21" spans="1:21" x14ac:dyDescent="0.3">
      <c r="A21" t="s">
        <v>27</v>
      </c>
      <c r="B21" t="s">
        <v>68</v>
      </c>
      <c r="C21">
        <v>143</v>
      </c>
      <c r="D21" t="s">
        <v>14</v>
      </c>
      <c r="E21" t="s">
        <v>45</v>
      </c>
      <c r="F21" s="3" t="s">
        <v>65</v>
      </c>
      <c r="G21">
        <v>20018</v>
      </c>
      <c r="H21" t="s">
        <v>219</v>
      </c>
      <c r="I21" t="s">
        <v>367</v>
      </c>
      <c r="J21" t="s">
        <v>95</v>
      </c>
      <c r="K21" t="s">
        <v>368</v>
      </c>
      <c r="L21" t="s">
        <v>95</v>
      </c>
      <c r="M21" t="s">
        <v>344</v>
      </c>
      <c r="N21" t="s">
        <v>95</v>
      </c>
      <c r="O21">
        <v>23</v>
      </c>
      <c r="P21" s="7">
        <v>8118</v>
      </c>
      <c r="Q21">
        <v>0.17</v>
      </c>
      <c r="R21">
        <v>4.5199999999999996</v>
      </c>
      <c r="S21" s="5">
        <f t="shared" si="0"/>
        <v>3.1506849315068496E-2</v>
      </c>
      <c r="T21" t="s">
        <v>16</v>
      </c>
      <c r="U21" t="s">
        <v>16</v>
      </c>
    </row>
    <row r="22" spans="1:21" x14ac:dyDescent="0.3">
      <c r="A22" t="s">
        <v>27</v>
      </c>
      <c r="B22" t="s">
        <v>68</v>
      </c>
      <c r="C22">
        <v>143</v>
      </c>
      <c r="D22" t="s">
        <v>14</v>
      </c>
      <c r="E22" t="s">
        <v>45</v>
      </c>
      <c r="F22" s="3" t="s">
        <v>374</v>
      </c>
      <c r="G22">
        <v>20018</v>
      </c>
      <c r="H22" t="s">
        <v>219</v>
      </c>
      <c r="I22" t="s">
        <v>376</v>
      </c>
      <c r="J22" t="s">
        <v>344</v>
      </c>
      <c r="K22" t="s">
        <v>377</v>
      </c>
      <c r="L22" t="s">
        <v>95</v>
      </c>
      <c r="M22" t="s">
        <v>95</v>
      </c>
      <c r="N22" t="s">
        <v>95</v>
      </c>
      <c r="O22">
        <v>59</v>
      </c>
      <c r="P22" s="7">
        <v>3699</v>
      </c>
      <c r="Q22">
        <v>0.06</v>
      </c>
      <c r="R22">
        <v>1.62</v>
      </c>
      <c r="S22" s="5">
        <f t="shared" si="0"/>
        <v>8.0821917808219179E-2</v>
      </c>
      <c r="T22" t="s">
        <v>16</v>
      </c>
      <c r="U22" t="s">
        <v>16</v>
      </c>
    </row>
    <row r="23" spans="1:21" x14ac:dyDescent="0.3">
      <c r="A23" t="s">
        <v>27</v>
      </c>
      <c r="B23" t="s">
        <v>47</v>
      </c>
      <c r="C23">
        <v>143</v>
      </c>
      <c r="D23" t="s">
        <v>14</v>
      </c>
      <c r="E23" t="s">
        <v>45</v>
      </c>
      <c r="F23" s="3" t="s">
        <v>391</v>
      </c>
      <c r="G23">
        <v>20018</v>
      </c>
      <c r="H23" t="s">
        <v>219</v>
      </c>
      <c r="I23" t="s">
        <v>220</v>
      </c>
      <c r="J23" t="s">
        <v>95</v>
      </c>
      <c r="K23" t="s">
        <v>395</v>
      </c>
      <c r="L23" t="s">
        <v>95</v>
      </c>
      <c r="M23" t="s">
        <v>95</v>
      </c>
      <c r="N23" t="s">
        <v>387</v>
      </c>
      <c r="O23">
        <v>57</v>
      </c>
      <c r="P23" s="7">
        <v>3456</v>
      </c>
      <c r="Q23">
        <v>0.08</v>
      </c>
      <c r="R23">
        <v>1.6</v>
      </c>
      <c r="S23" s="5">
        <f t="shared" si="0"/>
        <v>7.8082191780821916E-2</v>
      </c>
      <c r="T23" t="s">
        <v>16</v>
      </c>
      <c r="U23" t="s">
        <v>16</v>
      </c>
    </row>
    <row r="24" spans="1:21" x14ac:dyDescent="0.3">
      <c r="A24" t="s">
        <v>27</v>
      </c>
      <c r="B24" t="s">
        <v>68</v>
      </c>
      <c r="C24">
        <v>143</v>
      </c>
      <c r="D24" t="s">
        <v>14</v>
      </c>
      <c r="E24" t="s">
        <v>45</v>
      </c>
      <c r="F24" s="3" t="s">
        <v>396</v>
      </c>
      <c r="G24">
        <v>20018</v>
      </c>
      <c r="H24" t="s">
        <v>219</v>
      </c>
      <c r="I24" t="s">
        <v>225</v>
      </c>
      <c r="J24" t="s">
        <v>95</v>
      </c>
      <c r="K24" t="s">
        <v>397</v>
      </c>
      <c r="L24" t="s">
        <v>95</v>
      </c>
      <c r="M24" t="s">
        <v>95</v>
      </c>
      <c r="N24" t="s">
        <v>387</v>
      </c>
      <c r="O24">
        <v>53</v>
      </c>
      <c r="P24" s="7">
        <v>4457</v>
      </c>
      <c r="Q24">
        <v>0.15</v>
      </c>
      <c r="R24">
        <v>1.84</v>
      </c>
      <c r="S24" s="5">
        <f t="shared" si="0"/>
        <v>7.260273972602739E-2</v>
      </c>
      <c r="T24" t="s">
        <v>16</v>
      </c>
      <c r="U24" t="s">
        <v>16</v>
      </c>
    </row>
    <row r="25" spans="1:21" x14ac:dyDescent="0.3">
      <c r="A25" t="s">
        <v>27</v>
      </c>
      <c r="B25" t="s">
        <v>68</v>
      </c>
      <c r="C25">
        <v>143</v>
      </c>
      <c r="D25" t="s">
        <v>14</v>
      </c>
      <c r="E25" t="s">
        <v>45</v>
      </c>
      <c r="F25" s="3" t="s">
        <v>396</v>
      </c>
      <c r="G25">
        <v>20018</v>
      </c>
      <c r="H25" t="s">
        <v>219</v>
      </c>
      <c r="I25" t="s">
        <v>222</v>
      </c>
      <c r="J25" t="s">
        <v>95</v>
      </c>
      <c r="K25" t="s">
        <v>398</v>
      </c>
      <c r="L25" t="s">
        <v>95</v>
      </c>
      <c r="M25" t="s">
        <v>95</v>
      </c>
      <c r="N25" t="s">
        <v>387</v>
      </c>
      <c r="O25">
        <v>171</v>
      </c>
      <c r="P25" s="7">
        <v>10163</v>
      </c>
      <c r="Q25">
        <v>0.08</v>
      </c>
      <c r="R25">
        <v>1.59</v>
      </c>
      <c r="S25" s="5">
        <f t="shared" si="0"/>
        <v>0.23424657534246576</v>
      </c>
      <c r="T25" t="s">
        <v>16</v>
      </c>
      <c r="U25" t="s">
        <v>16</v>
      </c>
    </row>
    <row r="26" spans="1:21" x14ac:dyDescent="0.3">
      <c r="A26" t="s">
        <v>27</v>
      </c>
      <c r="B26" t="s">
        <v>68</v>
      </c>
      <c r="C26">
        <v>143</v>
      </c>
      <c r="D26" t="s">
        <v>14</v>
      </c>
      <c r="E26" t="s">
        <v>45</v>
      </c>
      <c r="F26" s="3" t="s">
        <v>396</v>
      </c>
      <c r="G26">
        <v>20018</v>
      </c>
      <c r="H26" t="s">
        <v>219</v>
      </c>
      <c r="I26" t="s">
        <v>220</v>
      </c>
      <c r="J26" t="s">
        <v>95</v>
      </c>
      <c r="K26" t="s">
        <v>399</v>
      </c>
      <c r="L26" t="s">
        <v>95</v>
      </c>
      <c r="M26" t="s">
        <v>95</v>
      </c>
      <c r="N26" t="s">
        <v>387</v>
      </c>
      <c r="O26">
        <v>30</v>
      </c>
      <c r="P26" s="7">
        <v>5788</v>
      </c>
      <c r="Q26">
        <v>0.1</v>
      </c>
      <c r="R26">
        <v>2.92</v>
      </c>
      <c r="S26" s="5">
        <f t="shared" si="0"/>
        <v>4.1095890410958902E-2</v>
      </c>
      <c r="T26" t="s">
        <v>16</v>
      </c>
      <c r="U26" t="s">
        <v>16</v>
      </c>
    </row>
    <row r="27" spans="1:21" x14ac:dyDescent="0.3">
      <c r="A27" t="s">
        <v>27</v>
      </c>
      <c r="B27" t="s">
        <v>68</v>
      </c>
      <c r="C27">
        <v>143</v>
      </c>
      <c r="D27" t="s">
        <v>14</v>
      </c>
      <c r="E27" t="s">
        <v>45</v>
      </c>
      <c r="F27" s="3" t="s">
        <v>400</v>
      </c>
      <c r="G27">
        <v>20018</v>
      </c>
      <c r="H27" t="s">
        <v>219</v>
      </c>
      <c r="I27" t="s">
        <v>220</v>
      </c>
      <c r="J27" t="s">
        <v>95</v>
      </c>
      <c r="K27" t="s">
        <v>402</v>
      </c>
      <c r="L27" t="s">
        <v>95</v>
      </c>
      <c r="M27" t="s">
        <v>95</v>
      </c>
      <c r="N27" t="s">
        <v>387</v>
      </c>
      <c r="O27">
        <v>44</v>
      </c>
      <c r="P27" s="7">
        <v>2529</v>
      </c>
      <c r="Q27">
        <v>0.11</v>
      </c>
      <c r="R27">
        <v>1.57</v>
      </c>
      <c r="S27" s="5">
        <f t="shared" si="0"/>
        <v>6.0273972602739728E-2</v>
      </c>
      <c r="T27" t="s">
        <v>16</v>
      </c>
      <c r="U27" t="s">
        <v>16</v>
      </c>
    </row>
    <row r="28" spans="1:21" x14ac:dyDescent="0.3">
      <c r="A28" t="s">
        <v>27</v>
      </c>
      <c r="B28" t="s">
        <v>68</v>
      </c>
      <c r="C28">
        <v>143</v>
      </c>
      <c r="D28" t="s">
        <v>14</v>
      </c>
      <c r="E28" t="s">
        <v>45</v>
      </c>
      <c r="F28" s="3" t="s">
        <v>87</v>
      </c>
      <c r="G28">
        <v>20018</v>
      </c>
      <c r="H28" t="s">
        <v>219</v>
      </c>
      <c r="I28" t="s">
        <v>225</v>
      </c>
      <c r="J28" t="s">
        <v>344</v>
      </c>
      <c r="K28" t="s">
        <v>412</v>
      </c>
      <c r="L28" t="s">
        <v>95</v>
      </c>
      <c r="M28" t="s">
        <v>95</v>
      </c>
      <c r="N28" t="s">
        <v>95</v>
      </c>
      <c r="O28">
        <v>94</v>
      </c>
      <c r="P28" s="7">
        <v>3202</v>
      </c>
      <c r="Q28">
        <v>0.13</v>
      </c>
      <c r="R28">
        <v>1.34</v>
      </c>
      <c r="S28" s="5">
        <f t="shared" si="0"/>
        <v>0.12876712328767123</v>
      </c>
      <c r="T28" t="s">
        <v>16</v>
      </c>
      <c r="U28" t="s">
        <v>16</v>
      </c>
    </row>
    <row r="29" spans="1:21" x14ac:dyDescent="0.3">
      <c r="A29" t="s">
        <v>27</v>
      </c>
      <c r="B29" t="s">
        <v>68</v>
      </c>
      <c r="C29">
        <v>143</v>
      </c>
      <c r="D29" t="s">
        <v>14</v>
      </c>
      <c r="E29" t="s">
        <v>45</v>
      </c>
      <c r="F29" s="3" t="s">
        <v>416</v>
      </c>
      <c r="G29">
        <v>20018</v>
      </c>
      <c r="H29" t="s">
        <v>219</v>
      </c>
      <c r="I29" t="s">
        <v>417</v>
      </c>
      <c r="J29" t="s">
        <v>344</v>
      </c>
      <c r="K29" t="s">
        <v>418</v>
      </c>
      <c r="L29" t="s">
        <v>95</v>
      </c>
      <c r="M29" t="s">
        <v>95</v>
      </c>
      <c r="N29" t="s">
        <v>95</v>
      </c>
      <c r="O29">
        <v>216</v>
      </c>
      <c r="P29" s="7">
        <v>8178</v>
      </c>
      <c r="Q29">
        <v>0.13</v>
      </c>
      <c r="R29">
        <v>1.37</v>
      </c>
      <c r="S29" s="5">
        <f t="shared" si="0"/>
        <v>0.29589041095890412</v>
      </c>
      <c r="T29" t="s">
        <v>16</v>
      </c>
      <c r="U29" t="s">
        <v>16</v>
      </c>
    </row>
    <row r="30" spans="1:21" x14ac:dyDescent="0.3">
      <c r="A30" t="s">
        <v>27</v>
      </c>
      <c r="B30" t="s">
        <v>68</v>
      </c>
      <c r="C30">
        <v>143</v>
      </c>
      <c r="D30" t="s">
        <v>14</v>
      </c>
      <c r="E30" t="s">
        <v>45</v>
      </c>
      <c r="F30" s="3" t="s">
        <v>416</v>
      </c>
      <c r="G30">
        <v>20018</v>
      </c>
      <c r="H30" t="s">
        <v>219</v>
      </c>
      <c r="I30" t="s">
        <v>222</v>
      </c>
      <c r="J30" t="s">
        <v>344</v>
      </c>
      <c r="K30" t="s">
        <v>419</v>
      </c>
      <c r="L30" t="s">
        <v>95</v>
      </c>
      <c r="M30" t="s">
        <v>95</v>
      </c>
      <c r="N30" t="s">
        <v>95</v>
      </c>
      <c r="O30">
        <v>320</v>
      </c>
      <c r="P30" s="7">
        <v>12390</v>
      </c>
      <c r="Q30">
        <v>0.06</v>
      </c>
      <c r="R30">
        <v>1.38</v>
      </c>
      <c r="S30" s="5">
        <f t="shared" si="0"/>
        <v>0.43835616438356162</v>
      </c>
      <c r="T30" t="s">
        <v>16</v>
      </c>
      <c r="U30" t="s">
        <v>16</v>
      </c>
    </row>
    <row r="31" spans="1:21" x14ac:dyDescent="0.3">
      <c r="A31" t="s">
        <v>27</v>
      </c>
      <c r="B31" t="s">
        <v>68</v>
      </c>
      <c r="C31">
        <v>143</v>
      </c>
      <c r="D31" t="s">
        <v>14</v>
      </c>
      <c r="E31" t="s">
        <v>45</v>
      </c>
      <c r="F31" s="3" t="s">
        <v>420</v>
      </c>
      <c r="G31">
        <v>20018</v>
      </c>
      <c r="H31" t="s">
        <v>219</v>
      </c>
      <c r="I31" t="s">
        <v>422</v>
      </c>
      <c r="J31" t="s">
        <v>95</v>
      </c>
      <c r="K31" t="s">
        <v>423</v>
      </c>
      <c r="L31" t="s">
        <v>95</v>
      </c>
      <c r="M31" t="s">
        <v>95</v>
      </c>
      <c r="N31" t="s">
        <v>392</v>
      </c>
      <c r="O31">
        <v>220</v>
      </c>
      <c r="P31" s="7">
        <v>12362</v>
      </c>
      <c r="Q31">
        <v>0.11</v>
      </c>
      <c r="R31">
        <v>1.56</v>
      </c>
      <c r="S31" s="5">
        <f t="shared" si="0"/>
        <v>0.30136986301369861</v>
      </c>
      <c r="T31" t="s">
        <v>16</v>
      </c>
      <c r="U31" t="s">
        <v>16</v>
      </c>
    </row>
    <row r="32" spans="1:21" x14ac:dyDescent="0.3">
      <c r="A32" t="s">
        <v>27</v>
      </c>
      <c r="B32" t="s">
        <v>68</v>
      </c>
      <c r="C32">
        <v>143</v>
      </c>
      <c r="D32" t="s">
        <v>14</v>
      </c>
      <c r="E32" t="s">
        <v>45</v>
      </c>
      <c r="F32" s="3" t="s">
        <v>430</v>
      </c>
      <c r="G32">
        <v>20018</v>
      </c>
      <c r="H32" t="s">
        <v>219</v>
      </c>
      <c r="I32" t="s">
        <v>225</v>
      </c>
      <c r="J32" t="s">
        <v>95</v>
      </c>
      <c r="K32" t="s">
        <v>431</v>
      </c>
      <c r="L32" t="s">
        <v>95</v>
      </c>
      <c r="M32" t="s">
        <v>95</v>
      </c>
      <c r="N32" t="s">
        <v>392</v>
      </c>
      <c r="O32">
        <v>127</v>
      </c>
      <c r="P32" s="7">
        <v>6026</v>
      </c>
      <c r="Q32">
        <v>0.1</v>
      </c>
      <c r="R32">
        <v>1.47</v>
      </c>
      <c r="S32" s="5">
        <f t="shared" si="0"/>
        <v>0.17397260273972603</v>
      </c>
      <c r="T32" t="s">
        <v>16</v>
      </c>
      <c r="U32" t="s">
        <v>16</v>
      </c>
    </row>
    <row r="33" spans="1:21" x14ac:dyDescent="0.3">
      <c r="A33" t="s">
        <v>27</v>
      </c>
      <c r="B33" t="s">
        <v>68</v>
      </c>
      <c r="C33">
        <v>143</v>
      </c>
      <c r="D33" t="s">
        <v>14</v>
      </c>
      <c r="E33" t="s">
        <v>45</v>
      </c>
      <c r="F33" s="3" t="s">
        <v>430</v>
      </c>
      <c r="G33">
        <v>20018</v>
      </c>
      <c r="H33" t="s">
        <v>219</v>
      </c>
      <c r="I33" t="s">
        <v>220</v>
      </c>
      <c r="J33" t="s">
        <v>95</v>
      </c>
      <c r="K33" t="s">
        <v>433</v>
      </c>
      <c r="L33" t="s">
        <v>95</v>
      </c>
      <c r="M33" t="s">
        <v>344</v>
      </c>
      <c r="N33" t="s">
        <v>392</v>
      </c>
      <c r="O33">
        <v>178</v>
      </c>
      <c r="P33" s="7">
        <v>8752</v>
      </c>
      <c r="Q33">
        <v>7.0000000000000007E-2</v>
      </c>
      <c r="R33">
        <v>1.49</v>
      </c>
      <c r="S33" s="5">
        <f t="shared" si="0"/>
        <v>0.24383561643835616</v>
      </c>
      <c r="T33" t="s">
        <v>16</v>
      </c>
      <c r="U33" t="s">
        <v>16</v>
      </c>
    </row>
    <row r="34" spans="1:21" x14ac:dyDescent="0.3">
      <c r="A34" t="s">
        <v>27</v>
      </c>
      <c r="B34" t="s">
        <v>68</v>
      </c>
      <c r="C34">
        <v>143</v>
      </c>
      <c r="D34" t="s">
        <v>14</v>
      </c>
      <c r="E34" t="s">
        <v>45</v>
      </c>
      <c r="F34" s="3" t="s">
        <v>446</v>
      </c>
      <c r="G34">
        <v>20018</v>
      </c>
      <c r="H34" t="s">
        <v>219</v>
      </c>
      <c r="I34" t="s">
        <v>222</v>
      </c>
      <c r="J34" t="s">
        <v>95</v>
      </c>
      <c r="K34" t="s">
        <v>447</v>
      </c>
      <c r="L34" t="s">
        <v>95</v>
      </c>
      <c r="M34" t="s">
        <v>445</v>
      </c>
      <c r="N34" t="s">
        <v>95</v>
      </c>
      <c r="O34">
        <v>44</v>
      </c>
      <c r="P34" s="7">
        <v>4207</v>
      </c>
      <c r="Q34">
        <v>0.15</v>
      </c>
      <c r="R34">
        <v>1.95</v>
      </c>
      <c r="S34" s="5">
        <f t="shared" si="0"/>
        <v>6.0273972602739728E-2</v>
      </c>
      <c r="T34" t="s">
        <v>16</v>
      </c>
      <c r="U34" t="s">
        <v>16</v>
      </c>
    </row>
    <row r="35" spans="1:21" x14ac:dyDescent="0.3">
      <c r="A35" t="s">
        <v>27</v>
      </c>
      <c r="B35" t="s">
        <v>68</v>
      </c>
      <c r="C35">
        <v>143</v>
      </c>
      <c r="D35" t="s">
        <v>14</v>
      </c>
      <c r="E35" t="s">
        <v>45</v>
      </c>
      <c r="F35" s="3" t="s">
        <v>451</v>
      </c>
      <c r="G35">
        <v>20018</v>
      </c>
      <c r="H35" t="s">
        <v>219</v>
      </c>
      <c r="I35" t="s">
        <v>453</v>
      </c>
      <c r="J35" t="s">
        <v>95</v>
      </c>
      <c r="K35" t="s">
        <v>455</v>
      </c>
      <c r="L35" t="s">
        <v>95</v>
      </c>
      <c r="M35" t="s">
        <v>445</v>
      </c>
      <c r="N35" t="s">
        <v>454</v>
      </c>
      <c r="O35">
        <v>228</v>
      </c>
      <c r="P35" s="7">
        <v>9402</v>
      </c>
      <c r="Q35">
        <v>0.06</v>
      </c>
      <c r="R35">
        <v>1.41</v>
      </c>
      <c r="S35" s="5">
        <f t="shared" si="0"/>
        <v>0.31232876712328766</v>
      </c>
      <c r="T35" t="s">
        <v>16</v>
      </c>
      <c r="U35" t="s">
        <v>16</v>
      </c>
    </row>
    <row r="36" spans="1:21" x14ac:dyDescent="0.3">
      <c r="A36" t="s">
        <v>27</v>
      </c>
      <c r="B36" t="s">
        <v>68</v>
      </c>
      <c r="C36">
        <v>143</v>
      </c>
      <c r="D36" t="s">
        <v>14</v>
      </c>
      <c r="E36" t="s">
        <v>45</v>
      </c>
      <c r="F36" s="3" t="s">
        <v>479</v>
      </c>
      <c r="G36">
        <v>20018</v>
      </c>
      <c r="H36" t="s">
        <v>219</v>
      </c>
      <c r="I36" t="s">
        <v>220</v>
      </c>
      <c r="J36" t="s">
        <v>95</v>
      </c>
      <c r="K36" t="s">
        <v>480</v>
      </c>
      <c r="L36" t="s">
        <v>477</v>
      </c>
      <c r="M36" t="s">
        <v>95</v>
      </c>
      <c r="N36" t="s">
        <v>95</v>
      </c>
      <c r="O36">
        <v>267</v>
      </c>
      <c r="P36" s="7">
        <v>14597</v>
      </c>
      <c r="Q36">
        <v>0.08</v>
      </c>
      <c r="R36">
        <v>1.54</v>
      </c>
      <c r="S36" s="5">
        <f t="shared" si="0"/>
        <v>0.36575342465753424</v>
      </c>
      <c r="T36" t="s">
        <v>16</v>
      </c>
      <c r="U36" t="s">
        <v>16</v>
      </c>
    </row>
    <row r="37" spans="1:21" x14ac:dyDescent="0.3">
      <c r="A37" t="s">
        <v>27</v>
      </c>
      <c r="B37" t="s">
        <v>68</v>
      </c>
      <c r="C37">
        <v>143</v>
      </c>
      <c r="D37" t="s">
        <v>14</v>
      </c>
      <c r="E37" t="s">
        <v>45</v>
      </c>
      <c r="F37" s="3" t="s">
        <v>494</v>
      </c>
      <c r="G37">
        <v>20018</v>
      </c>
      <c r="H37" t="s">
        <v>219</v>
      </c>
      <c r="I37" t="s">
        <v>220</v>
      </c>
      <c r="J37" t="s">
        <v>95</v>
      </c>
      <c r="K37" t="s">
        <v>496</v>
      </c>
      <c r="L37" t="s">
        <v>95</v>
      </c>
      <c r="M37" t="s">
        <v>95</v>
      </c>
      <c r="N37" t="s">
        <v>495</v>
      </c>
      <c r="O37">
        <v>30</v>
      </c>
      <c r="P37" s="7">
        <v>8117</v>
      </c>
      <c r="Q37">
        <v>0.1</v>
      </c>
      <c r="R37">
        <v>3.7</v>
      </c>
      <c r="S37" s="5">
        <f t="shared" si="0"/>
        <v>4.1095890410958902E-2</v>
      </c>
      <c r="T37" t="s">
        <v>16</v>
      </c>
      <c r="U37" t="s">
        <v>16</v>
      </c>
    </row>
    <row r="38" spans="1:21" x14ac:dyDescent="0.3">
      <c r="A38" t="s">
        <v>27</v>
      </c>
      <c r="B38" t="s">
        <v>68</v>
      </c>
      <c r="C38">
        <v>143</v>
      </c>
      <c r="D38" t="s">
        <v>14</v>
      </c>
      <c r="E38" t="s">
        <v>45</v>
      </c>
      <c r="F38" s="3" t="s">
        <v>497</v>
      </c>
      <c r="G38">
        <v>20018</v>
      </c>
      <c r="H38" t="s">
        <v>219</v>
      </c>
      <c r="I38" t="s">
        <v>220</v>
      </c>
      <c r="J38" t="s">
        <v>95</v>
      </c>
      <c r="K38" t="s">
        <v>498</v>
      </c>
      <c r="L38" t="s">
        <v>95</v>
      </c>
      <c r="M38" t="s">
        <v>95</v>
      </c>
      <c r="N38" t="s">
        <v>495</v>
      </c>
      <c r="O38">
        <v>104</v>
      </c>
      <c r="P38" s="7">
        <v>13007</v>
      </c>
      <c r="Q38">
        <v>0.05</v>
      </c>
      <c r="R38">
        <v>2.25</v>
      </c>
      <c r="S38" s="5">
        <f t="shared" si="0"/>
        <v>0.14246575342465753</v>
      </c>
      <c r="T38" t="s">
        <v>16</v>
      </c>
      <c r="U38" t="s">
        <v>16</v>
      </c>
    </row>
    <row r="39" spans="1:21" x14ac:dyDescent="0.3">
      <c r="A39" t="s">
        <v>27</v>
      </c>
      <c r="B39" t="s">
        <v>68</v>
      </c>
      <c r="C39">
        <v>143</v>
      </c>
      <c r="D39" t="s">
        <v>14</v>
      </c>
      <c r="E39" t="s">
        <v>45</v>
      </c>
      <c r="F39" s="3" t="s">
        <v>499</v>
      </c>
      <c r="G39">
        <v>20018</v>
      </c>
      <c r="H39" t="s">
        <v>219</v>
      </c>
      <c r="I39" t="s">
        <v>500</v>
      </c>
      <c r="J39" t="s">
        <v>95</v>
      </c>
      <c r="K39" t="s">
        <v>501</v>
      </c>
      <c r="L39" t="s">
        <v>95</v>
      </c>
      <c r="M39" t="s">
        <v>95</v>
      </c>
      <c r="N39" t="s">
        <v>495</v>
      </c>
      <c r="O39">
        <v>63</v>
      </c>
      <c r="P39" s="7">
        <v>9637</v>
      </c>
      <c r="Q39">
        <v>0.09</v>
      </c>
      <c r="R39">
        <v>2.52</v>
      </c>
      <c r="S39" s="5">
        <f t="shared" si="0"/>
        <v>8.6301369863013705E-2</v>
      </c>
      <c r="T39" t="s">
        <v>16</v>
      </c>
      <c r="U39" t="s">
        <v>16</v>
      </c>
    </row>
    <row r="40" spans="1:21" x14ac:dyDescent="0.3">
      <c r="A40" t="s">
        <v>27</v>
      </c>
      <c r="B40" t="s">
        <v>512</v>
      </c>
      <c r="C40">
        <v>143</v>
      </c>
      <c r="D40" t="s">
        <v>14</v>
      </c>
      <c r="E40" t="s">
        <v>45</v>
      </c>
      <c r="F40" s="3" t="s">
        <v>515</v>
      </c>
      <c r="G40">
        <v>20018</v>
      </c>
      <c r="H40" t="s">
        <v>219</v>
      </c>
      <c r="I40" t="s">
        <v>220</v>
      </c>
      <c r="J40" t="s">
        <v>95</v>
      </c>
      <c r="K40" t="s">
        <v>516</v>
      </c>
      <c r="L40" t="s">
        <v>95</v>
      </c>
      <c r="M40" t="s">
        <v>344</v>
      </c>
      <c r="N40" t="s">
        <v>392</v>
      </c>
      <c r="O40">
        <v>67</v>
      </c>
      <c r="P40" s="7">
        <v>20398</v>
      </c>
      <c r="Q40">
        <v>0.1</v>
      </c>
      <c r="R40">
        <v>4.04</v>
      </c>
      <c r="S40" s="5">
        <f t="shared" si="0"/>
        <v>9.1780821917808217E-2</v>
      </c>
      <c r="T40" t="s">
        <v>16</v>
      </c>
      <c r="U40" t="s">
        <v>16</v>
      </c>
    </row>
    <row r="41" spans="1:21" x14ac:dyDescent="0.3">
      <c r="A41" t="s">
        <v>27</v>
      </c>
      <c r="B41" t="s">
        <v>68</v>
      </c>
      <c r="C41">
        <v>143</v>
      </c>
      <c r="D41" t="s">
        <v>14</v>
      </c>
      <c r="E41" t="s">
        <v>45</v>
      </c>
      <c r="F41" s="3" t="s">
        <v>523</v>
      </c>
      <c r="G41">
        <v>20018</v>
      </c>
      <c r="H41" t="s">
        <v>219</v>
      </c>
      <c r="I41" t="s">
        <v>220</v>
      </c>
      <c r="J41" t="s">
        <v>95</v>
      </c>
      <c r="K41" t="s">
        <v>524</v>
      </c>
      <c r="L41" t="s">
        <v>477</v>
      </c>
      <c r="M41" t="s">
        <v>344</v>
      </c>
      <c r="N41" t="s">
        <v>392</v>
      </c>
      <c r="O41">
        <v>28</v>
      </c>
      <c r="P41" s="7">
        <v>7788</v>
      </c>
      <c r="Q41">
        <v>0.14000000000000001</v>
      </c>
      <c r="R41">
        <v>3.78</v>
      </c>
      <c r="S41" s="5">
        <f t="shared" si="0"/>
        <v>3.8356164383561646E-2</v>
      </c>
      <c r="T41" t="s">
        <v>16</v>
      </c>
      <c r="U41" t="s">
        <v>16</v>
      </c>
    </row>
    <row r="42" spans="1:21" x14ac:dyDescent="0.3">
      <c r="A42" t="s">
        <v>27</v>
      </c>
      <c r="B42" t="s">
        <v>68</v>
      </c>
      <c r="C42">
        <v>143</v>
      </c>
      <c r="D42" t="s">
        <v>14</v>
      </c>
      <c r="E42" t="s">
        <v>45</v>
      </c>
      <c r="F42" s="3" t="s">
        <v>157</v>
      </c>
      <c r="G42">
        <v>20018</v>
      </c>
      <c r="H42" t="s">
        <v>219</v>
      </c>
      <c r="I42" t="s">
        <v>220</v>
      </c>
      <c r="J42" t="s">
        <v>95</v>
      </c>
      <c r="K42" t="s">
        <v>527</v>
      </c>
      <c r="L42" t="s">
        <v>477</v>
      </c>
      <c r="M42" t="s">
        <v>344</v>
      </c>
      <c r="N42" t="s">
        <v>392</v>
      </c>
      <c r="O42">
        <v>75</v>
      </c>
      <c r="P42" s="7">
        <v>9844</v>
      </c>
      <c r="Q42">
        <v>0.13</v>
      </c>
      <c r="R42">
        <v>2.31</v>
      </c>
      <c r="S42" s="5">
        <f t="shared" si="0"/>
        <v>0.10273972602739725</v>
      </c>
      <c r="T42" t="s">
        <v>16</v>
      </c>
      <c r="U42" t="s">
        <v>16</v>
      </c>
    </row>
    <row r="43" spans="1:21" x14ac:dyDescent="0.3">
      <c r="A43" t="s">
        <v>27</v>
      </c>
      <c r="B43" t="s">
        <v>536</v>
      </c>
      <c r="C43">
        <v>143</v>
      </c>
      <c r="D43" t="s">
        <v>14</v>
      </c>
      <c r="E43" t="s">
        <v>45</v>
      </c>
      <c r="F43" s="3" t="s">
        <v>537</v>
      </c>
      <c r="G43">
        <v>20018</v>
      </c>
      <c r="H43" t="s">
        <v>219</v>
      </c>
      <c r="I43" t="s">
        <v>222</v>
      </c>
      <c r="J43" t="s">
        <v>534</v>
      </c>
      <c r="K43" t="s">
        <v>538</v>
      </c>
      <c r="L43" t="s">
        <v>477</v>
      </c>
      <c r="M43" t="s">
        <v>344</v>
      </c>
      <c r="N43" t="s">
        <v>95</v>
      </c>
      <c r="O43">
        <v>65</v>
      </c>
      <c r="P43" s="7">
        <v>3144</v>
      </c>
      <c r="Q43">
        <v>0.12</v>
      </c>
      <c r="R43">
        <v>1.48</v>
      </c>
      <c r="S43" s="5">
        <f t="shared" si="0"/>
        <v>8.9041095890410954E-2</v>
      </c>
      <c r="T43" t="s">
        <v>16</v>
      </c>
      <c r="U43" t="s">
        <v>16</v>
      </c>
    </row>
    <row r="44" spans="1:21" x14ac:dyDescent="0.3">
      <c r="A44" t="s">
        <v>27</v>
      </c>
      <c r="B44" t="s">
        <v>536</v>
      </c>
      <c r="C44">
        <v>143</v>
      </c>
      <c r="D44" t="s">
        <v>182</v>
      </c>
      <c r="E44" t="s">
        <v>45</v>
      </c>
      <c r="F44" s="3" t="s">
        <v>183</v>
      </c>
      <c r="G44">
        <v>20018</v>
      </c>
      <c r="H44" t="s">
        <v>219</v>
      </c>
      <c r="I44" t="s">
        <v>222</v>
      </c>
      <c r="J44" t="s">
        <v>95</v>
      </c>
      <c r="K44" t="s">
        <v>580</v>
      </c>
      <c r="L44" t="s">
        <v>579</v>
      </c>
      <c r="M44" t="s">
        <v>477</v>
      </c>
      <c r="N44" t="s">
        <v>95</v>
      </c>
      <c r="O44">
        <v>38</v>
      </c>
      <c r="P44" s="7">
        <v>5246</v>
      </c>
      <c r="Q44">
        <v>0.15</v>
      </c>
      <c r="R44">
        <v>2.38</v>
      </c>
      <c r="S44" s="5">
        <f t="shared" ref="S44:S45" si="1">O44/730</f>
        <v>5.2054794520547946E-2</v>
      </c>
      <c r="T44" t="s">
        <v>16</v>
      </c>
      <c r="U44" t="s">
        <v>16</v>
      </c>
    </row>
    <row r="45" spans="1:21" x14ac:dyDescent="0.3">
      <c r="A45" t="s">
        <v>27</v>
      </c>
      <c r="B45" t="s">
        <v>536</v>
      </c>
      <c r="C45">
        <v>143</v>
      </c>
      <c r="D45" t="s">
        <v>182</v>
      </c>
      <c r="E45" t="s">
        <v>45</v>
      </c>
      <c r="F45" s="3" t="s">
        <v>590</v>
      </c>
      <c r="G45">
        <v>20018</v>
      </c>
      <c r="H45" t="s">
        <v>219</v>
      </c>
      <c r="I45" t="s">
        <v>591</v>
      </c>
      <c r="J45" t="s">
        <v>95</v>
      </c>
      <c r="K45" t="s">
        <v>592</v>
      </c>
      <c r="L45" t="s">
        <v>579</v>
      </c>
      <c r="M45" t="s">
        <v>95</v>
      </c>
      <c r="N45" t="s">
        <v>95</v>
      </c>
      <c r="O45">
        <v>59</v>
      </c>
      <c r="P45" s="7">
        <v>8827</v>
      </c>
      <c r="Q45">
        <v>0.1</v>
      </c>
      <c r="R45">
        <v>2.4900000000000002</v>
      </c>
      <c r="S45" s="5">
        <f t="shared" si="1"/>
        <v>8.0821917808219179E-2</v>
      </c>
      <c r="T45" t="s">
        <v>16</v>
      </c>
      <c r="U45" t="s">
        <v>16</v>
      </c>
    </row>
    <row r="46" spans="1:21" x14ac:dyDescent="0.3">
      <c r="A46" t="s">
        <v>27</v>
      </c>
      <c r="B46" t="s">
        <v>536</v>
      </c>
      <c r="C46">
        <v>143</v>
      </c>
      <c r="D46" t="s">
        <v>14</v>
      </c>
      <c r="E46" t="s">
        <v>570</v>
      </c>
      <c r="F46" s="3" t="s">
        <v>571</v>
      </c>
      <c r="G46">
        <v>20018</v>
      </c>
      <c r="H46" t="s">
        <v>219</v>
      </c>
      <c r="I46" t="s">
        <v>220</v>
      </c>
      <c r="J46" t="s">
        <v>95</v>
      </c>
      <c r="K46" t="s">
        <v>575</v>
      </c>
      <c r="L46" t="s">
        <v>572</v>
      </c>
      <c r="M46" t="s">
        <v>574</v>
      </c>
      <c r="N46" t="s">
        <v>95</v>
      </c>
      <c r="O46">
        <v>178</v>
      </c>
      <c r="P46" s="7">
        <v>5703</v>
      </c>
      <c r="Q46">
        <v>0.11</v>
      </c>
      <c r="R46">
        <v>1.32</v>
      </c>
      <c r="S46" s="5">
        <f>O46/730</f>
        <v>0.24383561643835616</v>
      </c>
      <c r="T46" t="s">
        <v>16</v>
      </c>
      <c r="U46" t="s">
        <v>16</v>
      </c>
    </row>
    <row r="47" spans="1:21" x14ac:dyDescent="0.3">
      <c r="A47" t="s">
        <v>27</v>
      </c>
      <c r="B47" t="s">
        <v>536</v>
      </c>
      <c r="C47">
        <v>143</v>
      </c>
      <c r="D47" t="s">
        <v>14</v>
      </c>
      <c r="E47" t="s">
        <v>570</v>
      </c>
      <c r="F47" s="3" t="s">
        <v>607</v>
      </c>
      <c r="G47">
        <v>20018</v>
      </c>
      <c r="H47" t="s">
        <v>219</v>
      </c>
      <c r="I47" t="s">
        <v>220</v>
      </c>
      <c r="J47" t="s">
        <v>477</v>
      </c>
      <c r="K47" t="s">
        <v>610</v>
      </c>
      <c r="L47" t="s">
        <v>95</v>
      </c>
      <c r="M47" t="s">
        <v>95</v>
      </c>
      <c r="N47" t="s">
        <v>95</v>
      </c>
      <c r="O47">
        <v>39</v>
      </c>
      <c r="P47" s="7">
        <v>6729</v>
      </c>
      <c r="Q47">
        <v>7.0000000000000007E-2</v>
      </c>
      <c r="R47">
        <v>2.72</v>
      </c>
      <c r="S47" s="5">
        <f>O47/730</f>
        <v>5.3424657534246578E-2</v>
      </c>
      <c r="T47" t="s">
        <v>16</v>
      </c>
      <c r="U47" t="s">
        <v>16</v>
      </c>
    </row>
    <row r="48" spans="1:21" x14ac:dyDescent="0.3">
      <c r="A48" t="s">
        <v>27</v>
      </c>
      <c r="B48" t="s">
        <v>536</v>
      </c>
      <c r="C48">
        <v>143</v>
      </c>
      <c r="D48" t="s">
        <v>14</v>
      </c>
      <c r="E48" t="s">
        <v>570</v>
      </c>
      <c r="F48" s="3" t="s">
        <v>612</v>
      </c>
      <c r="G48">
        <v>20018</v>
      </c>
      <c r="H48" t="s">
        <v>219</v>
      </c>
      <c r="I48" t="s">
        <v>507</v>
      </c>
      <c r="J48" t="s">
        <v>477</v>
      </c>
      <c r="K48" t="s">
        <v>613</v>
      </c>
      <c r="L48" t="s">
        <v>95</v>
      </c>
      <c r="M48" t="s">
        <v>95</v>
      </c>
      <c r="N48" t="s">
        <v>95</v>
      </c>
      <c r="O48">
        <v>276</v>
      </c>
      <c r="P48" s="7">
        <v>4208</v>
      </c>
      <c r="Q48">
        <v>0.1</v>
      </c>
      <c r="R48">
        <v>1.1499999999999999</v>
      </c>
      <c r="S48" s="5">
        <f>O48/730</f>
        <v>0.37808219178082192</v>
      </c>
      <c r="T48" t="s">
        <v>16</v>
      </c>
      <c r="U48" t="s">
        <v>16</v>
      </c>
    </row>
    <row r="49" spans="1:21" x14ac:dyDescent="0.3">
      <c r="A49" t="s">
        <v>27</v>
      </c>
      <c r="B49" t="s">
        <v>536</v>
      </c>
      <c r="C49">
        <v>143</v>
      </c>
      <c r="D49" t="s">
        <v>14</v>
      </c>
      <c r="E49" t="s">
        <v>570</v>
      </c>
      <c r="F49" s="3" t="s">
        <v>620</v>
      </c>
      <c r="G49">
        <v>20018</v>
      </c>
      <c r="H49" t="s">
        <v>219</v>
      </c>
      <c r="I49" t="s">
        <v>222</v>
      </c>
      <c r="J49" t="s">
        <v>477</v>
      </c>
      <c r="K49" t="s">
        <v>621</v>
      </c>
      <c r="L49" t="s">
        <v>95</v>
      </c>
      <c r="M49" t="s">
        <v>95</v>
      </c>
      <c r="N49" t="s">
        <v>95</v>
      </c>
      <c r="O49">
        <v>326</v>
      </c>
      <c r="P49" s="7">
        <v>13996</v>
      </c>
      <c r="Q49">
        <v>0.12</v>
      </c>
      <c r="R49">
        <v>1.42</v>
      </c>
      <c r="S49" s="5">
        <f>O49/730</f>
        <v>0.44657534246575342</v>
      </c>
      <c r="T49" t="s">
        <v>16</v>
      </c>
      <c r="U49" t="s">
        <v>16</v>
      </c>
    </row>
    <row r="50" spans="1:21" x14ac:dyDescent="0.3">
      <c r="A50" t="s">
        <v>27</v>
      </c>
      <c r="B50" t="s">
        <v>536</v>
      </c>
      <c r="C50">
        <v>143</v>
      </c>
      <c r="D50" t="s">
        <v>14</v>
      </c>
      <c r="E50" t="s">
        <v>570</v>
      </c>
      <c r="F50" s="3" t="s">
        <v>634</v>
      </c>
      <c r="G50">
        <v>20018</v>
      </c>
      <c r="H50" t="s">
        <v>219</v>
      </c>
      <c r="I50" t="s">
        <v>632</v>
      </c>
      <c r="J50" t="s">
        <v>95</v>
      </c>
      <c r="K50" t="s">
        <v>635</v>
      </c>
      <c r="L50" t="s">
        <v>95</v>
      </c>
      <c r="M50" t="s">
        <v>95</v>
      </c>
      <c r="N50" t="s">
        <v>95</v>
      </c>
      <c r="O50">
        <v>98</v>
      </c>
      <c r="P50" s="7">
        <v>7408</v>
      </c>
      <c r="Q50">
        <v>0.09</v>
      </c>
      <c r="R50">
        <v>1.75</v>
      </c>
      <c r="S50" s="5">
        <f>O50/730</f>
        <v>0.13424657534246576</v>
      </c>
      <c r="T50" t="s">
        <v>16</v>
      </c>
      <c r="U50" t="s">
        <v>16</v>
      </c>
    </row>
    <row r="51" spans="1:21" x14ac:dyDescent="0.3">
      <c r="A51" t="s">
        <v>27</v>
      </c>
      <c r="B51" t="s">
        <v>68</v>
      </c>
      <c r="C51">
        <v>143</v>
      </c>
      <c r="D51" t="s">
        <v>14</v>
      </c>
      <c r="E51" t="s">
        <v>570</v>
      </c>
      <c r="F51" s="3" t="s">
        <v>198</v>
      </c>
      <c r="G51">
        <v>20018</v>
      </c>
      <c r="H51" t="s">
        <v>219</v>
      </c>
      <c r="I51" t="s">
        <v>644</v>
      </c>
      <c r="J51" t="s">
        <v>640</v>
      </c>
      <c r="K51" t="s">
        <v>645</v>
      </c>
      <c r="L51" t="s">
        <v>95</v>
      </c>
      <c r="M51" t="s">
        <v>640</v>
      </c>
      <c r="N51" t="s">
        <v>95</v>
      </c>
      <c r="O51">
        <v>242</v>
      </c>
      <c r="P51" s="7">
        <v>8553</v>
      </c>
      <c r="Q51">
        <v>0.16</v>
      </c>
      <c r="R51">
        <v>1.35</v>
      </c>
      <c r="S51" s="5">
        <f>O51/730</f>
        <v>0.33150684931506852</v>
      </c>
      <c r="T51" t="s">
        <v>16</v>
      </c>
      <c r="U51" t="s">
        <v>16</v>
      </c>
    </row>
    <row r="52" spans="1:21" x14ac:dyDescent="0.3">
      <c r="A52" t="s">
        <v>27</v>
      </c>
      <c r="B52" t="s">
        <v>68</v>
      </c>
      <c r="C52">
        <v>143</v>
      </c>
      <c r="D52" t="s">
        <v>14</v>
      </c>
      <c r="E52" t="s">
        <v>570</v>
      </c>
      <c r="F52" s="3" t="s">
        <v>198</v>
      </c>
      <c r="G52">
        <v>20018</v>
      </c>
      <c r="H52" t="s">
        <v>219</v>
      </c>
      <c r="I52" t="s">
        <v>220</v>
      </c>
      <c r="J52" t="s">
        <v>640</v>
      </c>
      <c r="K52" t="s">
        <v>646</v>
      </c>
      <c r="L52" t="s">
        <v>95</v>
      </c>
      <c r="M52" t="s">
        <v>640</v>
      </c>
      <c r="N52" t="s">
        <v>95</v>
      </c>
      <c r="O52">
        <v>37</v>
      </c>
      <c r="P52" s="7">
        <v>5079</v>
      </c>
      <c r="Q52">
        <v>0.13</v>
      </c>
      <c r="R52">
        <v>2.37</v>
      </c>
      <c r="S52" s="5">
        <f>O52/730</f>
        <v>5.0684931506849315E-2</v>
      </c>
      <c r="T52" t="s">
        <v>16</v>
      </c>
      <c r="U52" t="s">
        <v>16</v>
      </c>
    </row>
    <row r="53" spans="1:21" x14ac:dyDescent="0.3">
      <c r="A53" t="s">
        <v>27</v>
      </c>
      <c r="B53" t="s">
        <v>655</v>
      </c>
      <c r="C53">
        <v>143</v>
      </c>
      <c r="D53" t="s">
        <v>14</v>
      </c>
      <c r="E53" t="s">
        <v>570</v>
      </c>
      <c r="F53" s="3" t="s">
        <v>656</v>
      </c>
      <c r="G53">
        <v>20018</v>
      </c>
      <c r="H53" t="s">
        <v>219</v>
      </c>
      <c r="I53" t="s">
        <v>657</v>
      </c>
      <c r="J53" t="s">
        <v>640</v>
      </c>
      <c r="K53" t="s">
        <v>658</v>
      </c>
      <c r="L53" t="s">
        <v>95</v>
      </c>
      <c r="M53" t="s">
        <v>95</v>
      </c>
      <c r="N53" t="s">
        <v>95</v>
      </c>
      <c r="O53">
        <v>63</v>
      </c>
      <c r="P53" s="7">
        <v>2005</v>
      </c>
      <c r="Q53">
        <v>0.17</v>
      </c>
      <c r="R53">
        <v>1.31</v>
      </c>
      <c r="S53" s="5">
        <f>O53/730</f>
        <v>8.6301369863013705E-2</v>
      </c>
      <c r="T53" t="s">
        <v>16</v>
      </c>
      <c r="U53" t="s">
        <v>16</v>
      </c>
    </row>
    <row r="54" spans="1:21" x14ac:dyDescent="0.3">
      <c r="A54" t="s">
        <v>27</v>
      </c>
      <c r="B54" t="s">
        <v>24</v>
      </c>
      <c r="C54">
        <v>143</v>
      </c>
      <c r="D54" t="s">
        <v>14</v>
      </c>
      <c r="E54" t="s">
        <v>570</v>
      </c>
      <c r="F54" s="3" t="s">
        <v>661</v>
      </c>
      <c r="G54">
        <v>20018</v>
      </c>
      <c r="H54" t="s">
        <v>219</v>
      </c>
      <c r="I54" t="s">
        <v>632</v>
      </c>
      <c r="J54" t="s">
        <v>555</v>
      </c>
      <c r="K54" t="s">
        <v>663</v>
      </c>
      <c r="L54" t="s">
        <v>344</v>
      </c>
      <c r="M54" t="s">
        <v>95</v>
      </c>
      <c r="N54" t="s">
        <v>95</v>
      </c>
      <c r="O54">
        <v>109</v>
      </c>
      <c r="P54" s="7">
        <v>6459</v>
      </c>
      <c r="Q54">
        <v>0.08</v>
      </c>
      <c r="R54">
        <v>1.59</v>
      </c>
      <c r="S54" s="5">
        <f>O54/730</f>
        <v>0.14931506849315068</v>
      </c>
      <c r="T54" t="s">
        <v>16</v>
      </c>
      <c r="U54" t="s">
        <v>16</v>
      </c>
    </row>
    <row r="55" spans="1:21" x14ac:dyDescent="0.3">
      <c r="A55" t="s">
        <v>27</v>
      </c>
      <c r="B55" t="s">
        <v>24</v>
      </c>
      <c r="C55">
        <v>143</v>
      </c>
      <c r="D55" t="s">
        <v>14</v>
      </c>
      <c r="E55" t="s">
        <v>570</v>
      </c>
      <c r="F55" s="3" t="s">
        <v>674</v>
      </c>
      <c r="G55">
        <v>20018</v>
      </c>
      <c r="H55" t="s">
        <v>219</v>
      </c>
      <c r="I55" t="s">
        <v>632</v>
      </c>
      <c r="J55" t="s">
        <v>640</v>
      </c>
      <c r="K55" t="s">
        <v>264</v>
      </c>
      <c r="L55" t="s">
        <v>95</v>
      </c>
      <c r="M55" t="s">
        <v>95</v>
      </c>
      <c r="N55" t="s">
        <v>95</v>
      </c>
      <c r="O55">
        <v>27</v>
      </c>
      <c r="P55" s="7">
        <v>3598</v>
      </c>
      <c r="Q55">
        <v>0.14000000000000001</v>
      </c>
      <c r="R55">
        <v>2.33</v>
      </c>
      <c r="S55" s="5">
        <f>O55/730</f>
        <v>3.6986301369863014E-2</v>
      </c>
      <c r="T55" t="s">
        <v>16</v>
      </c>
      <c r="U55" t="s">
        <v>16</v>
      </c>
    </row>
    <row r="56" spans="1:21" x14ac:dyDescent="0.3">
      <c r="A56" t="s">
        <v>27</v>
      </c>
      <c r="B56" t="s">
        <v>24</v>
      </c>
      <c r="C56">
        <v>143</v>
      </c>
      <c r="D56" t="s">
        <v>14</v>
      </c>
      <c r="E56" t="s">
        <v>570</v>
      </c>
      <c r="F56" s="3" t="s">
        <v>208</v>
      </c>
      <c r="G56">
        <v>20018</v>
      </c>
      <c r="H56" t="s">
        <v>219</v>
      </c>
      <c r="I56" t="s">
        <v>632</v>
      </c>
      <c r="J56" t="s">
        <v>677</v>
      </c>
      <c r="K56" t="s">
        <v>678</v>
      </c>
      <c r="L56" t="s">
        <v>95</v>
      </c>
      <c r="M56" t="s">
        <v>95</v>
      </c>
      <c r="N56" t="s">
        <v>95</v>
      </c>
      <c r="O56">
        <v>350</v>
      </c>
      <c r="P56" s="7">
        <v>18529</v>
      </c>
      <c r="Q56">
        <v>7.0000000000000007E-2</v>
      </c>
      <c r="R56">
        <v>1.52</v>
      </c>
      <c r="S56" s="5">
        <f>O56/730</f>
        <v>0.47945205479452052</v>
      </c>
      <c r="T56" t="s">
        <v>16</v>
      </c>
      <c r="U56" t="s">
        <v>16</v>
      </c>
    </row>
    <row r="57" spans="1:21" x14ac:dyDescent="0.3">
      <c r="A57" t="s">
        <v>27</v>
      </c>
      <c r="B57" t="s">
        <v>68</v>
      </c>
      <c r="C57">
        <v>143</v>
      </c>
      <c r="D57" t="s">
        <v>14</v>
      </c>
      <c r="E57" t="s">
        <v>570</v>
      </c>
      <c r="F57" s="3" t="s">
        <v>690</v>
      </c>
      <c r="G57">
        <v>20018</v>
      </c>
      <c r="H57" t="s">
        <v>219</v>
      </c>
      <c r="I57" t="s">
        <v>221</v>
      </c>
      <c r="J57" t="s">
        <v>677</v>
      </c>
      <c r="K57" t="s">
        <v>691</v>
      </c>
      <c r="L57" t="s">
        <v>640</v>
      </c>
      <c r="M57" t="s">
        <v>95</v>
      </c>
      <c r="N57" t="s">
        <v>95</v>
      </c>
      <c r="O57">
        <v>40</v>
      </c>
      <c r="P57" s="7">
        <v>1756</v>
      </c>
      <c r="Q57">
        <v>0.2</v>
      </c>
      <c r="R57">
        <v>1.43</v>
      </c>
      <c r="S57" s="5">
        <f>O57/730</f>
        <v>5.4794520547945202E-2</v>
      </c>
      <c r="T57" t="s">
        <v>16</v>
      </c>
      <c r="U57" t="s">
        <v>16</v>
      </c>
    </row>
    <row r="58" spans="1:21" x14ac:dyDescent="0.3">
      <c r="A58" t="s">
        <v>27</v>
      </c>
      <c r="B58" t="s">
        <v>68</v>
      </c>
      <c r="C58">
        <v>143</v>
      </c>
      <c r="D58" t="s">
        <v>14</v>
      </c>
      <c r="E58" t="s">
        <v>570</v>
      </c>
      <c r="F58" s="3" t="s">
        <v>699</v>
      </c>
      <c r="G58">
        <v>20018</v>
      </c>
      <c r="H58" t="s">
        <v>219</v>
      </c>
      <c r="I58" t="s">
        <v>220</v>
      </c>
      <c r="J58" t="s">
        <v>95</v>
      </c>
      <c r="K58" t="s">
        <v>700</v>
      </c>
      <c r="L58" t="s">
        <v>640</v>
      </c>
      <c r="M58" t="s">
        <v>95</v>
      </c>
      <c r="N58" t="s">
        <v>640</v>
      </c>
      <c r="O58">
        <v>27</v>
      </c>
      <c r="P58" s="7">
        <v>4848</v>
      </c>
      <c r="Q58">
        <v>0.18</v>
      </c>
      <c r="R58">
        <v>2.79</v>
      </c>
      <c r="S58" s="5">
        <f>O58/730</f>
        <v>3.6986301369863014E-2</v>
      </c>
      <c r="T58" t="s">
        <v>16</v>
      </c>
      <c r="U58" t="s">
        <v>16</v>
      </c>
    </row>
    <row r="59" spans="1:21" x14ac:dyDescent="0.3">
      <c r="A59" t="s">
        <v>27</v>
      </c>
      <c r="B59" t="s">
        <v>726</v>
      </c>
      <c r="C59">
        <v>143</v>
      </c>
      <c r="D59" t="s">
        <v>182</v>
      </c>
      <c r="E59" t="s">
        <v>570</v>
      </c>
      <c r="F59" s="3" t="s">
        <v>727</v>
      </c>
      <c r="G59">
        <v>20018</v>
      </c>
      <c r="H59" t="s">
        <v>219</v>
      </c>
      <c r="I59" t="s">
        <v>225</v>
      </c>
      <c r="J59" t="s">
        <v>95</v>
      </c>
      <c r="K59" t="s">
        <v>728</v>
      </c>
      <c r="L59" t="s">
        <v>95</v>
      </c>
      <c r="M59" t="s">
        <v>555</v>
      </c>
      <c r="N59" t="s">
        <v>95</v>
      </c>
      <c r="O59">
        <v>41</v>
      </c>
      <c r="P59" s="7">
        <v>3467</v>
      </c>
      <c r="Q59">
        <v>0.17</v>
      </c>
      <c r="R59">
        <v>1.84</v>
      </c>
      <c r="S59" s="5">
        <f>O59/730</f>
        <v>5.6164383561643834E-2</v>
      </c>
      <c r="T59" t="s">
        <v>16</v>
      </c>
      <c r="U59" t="s">
        <v>16</v>
      </c>
    </row>
  </sheetData>
  <autoFilter ref="A1:U59"/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"/>
  <sheetViews>
    <sheetView zoomScale="90" zoomScaleNormal="90" workbookViewId="0">
      <pane ySplit="1" topLeftCell="A2" activePane="bottomLeft" state="frozen"/>
      <selection activeCell="F4" sqref="F4"/>
      <selection pane="bottomLeft" activeCell="F4" sqref="F4"/>
    </sheetView>
  </sheetViews>
  <sheetFormatPr defaultRowHeight="16.5" x14ac:dyDescent="0.3"/>
  <cols>
    <col min="1" max="2" width="4.875" customWidth="1"/>
    <col min="3" max="3" width="3.125" customWidth="1"/>
    <col min="4" max="4" width="7.375" customWidth="1"/>
    <col min="5" max="5" width="7.5" customWidth="1"/>
    <col min="6" max="6" width="9" style="3"/>
    <col min="7" max="7" width="5.125" customWidth="1"/>
    <col min="8" max="8" width="5" customWidth="1"/>
    <col min="9" max="9" width="6.625" customWidth="1"/>
    <col min="11" max="11" width="10.375" customWidth="1"/>
    <col min="12" max="13" width="10.125" customWidth="1"/>
    <col min="14" max="14" width="10.5" customWidth="1"/>
    <col min="15" max="15" width="7" customWidth="1"/>
    <col min="16" max="16" width="9.125" style="7" customWidth="1"/>
    <col min="17" max="17" width="6.625" customWidth="1"/>
    <col min="18" max="18" width="7.125" customWidth="1"/>
    <col min="19" max="19" width="7.5" style="5" customWidth="1"/>
    <col min="20" max="20" width="3.5" customWidth="1"/>
    <col min="21" max="21" width="2.75" customWidth="1"/>
  </cols>
  <sheetData>
    <row r="1" spans="1:21" s="1" customFormat="1" ht="33" x14ac:dyDescent="0.3">
      <c r="A1" s="1" t="s">
        <v>0</v>
      </c>
      <c r="B1" s="1" t="s">
        <v>23</v>
      </c>
      <c r="C1" s="1" t="s">
        <v>25</v>
      </c>
      <c r="D1" s="1" t="s">
        <v>1</v>
      </c>
      <c r="E1" s="1" t="s">
        <v>2</v>
      </c>
      <c r="F1" s="8" t="s">
        <v>3</v>
      </c>
      <c r="G1" s="1" t="s">
        <v>4</v>
      </c>
      <c r="H1" s="1" t="s">
        <v>5</v>
      </c>
      <c r="I1" s="9" t="s">
        <v>6</v>
      </c>
      <c r="J1" s="1" t="s">
        <v>10</v>
      </c>
      <c r="K1" s="1" t="s">
        <v>21</v>
      </c>
      <c r="L1" s="1" t="s">
        <v>22</v>
      </c>
      <c r="M1" s="1" t="s">
        <v>11</v>
      </c>
      <c r="N1" s="1" t="s">
        <v>12</v>
      </c>
      <c r="O1" s="1" t="s">
        <v>7</v>
      </c>
      <c r="P1" s="6" t="s">
        <v>39</v>
      </c>
      <c r="Q1" s="1" t="s">
        <v>8</v>
      </c>
      <c r="R1" s="1" t="s">
        <v>19</v>
      </c>
      <c r="S1" s="4" t="s">
        <v>20</v>
      </c>
      <c r="T1" s="1" t="s">
        <v>9</v>
      </c>
      <c r="U1" s="1" t="s">
        <v>13</v>
      </c>
    </row>
    <row r="2" spans="1:21" x14ac:dyDescent="0.3">
      <c r="A2" t="s">
        <v>17</v>
      </c>
      <c r="B2" t="s">
        <v>24</v>
      </c>
      <c r="C2">
        <v>131</v>
      </c>
      <c r="D2" t="s">
        <v>14</v>
      </c>
      <c r="E2" t="s">
        <v>15</v>
      </c>
      <c r="F2" s="3">
        <v>123</v>
      </c>
      <c r="G2">
        <v>99100</v>
      </c>
      <c r="H2" t="s">
        <v>18</v>
      </c>
      <c r="I2" t="s">
        <v>18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>
        <v>20</v>
      </c>
      <c r="P2" s="7">
        <v>0</v>
      </c>
      <c r="Q2">
        <v>0.05</v>
      </c>
      <c r="R2">
        <v>0</v>
      </c>
      <c r="S2" s="5">
        <v>1</v>
      </c>
      <c r="T2" t="s">
        <v>16</v>
      </c>
      <c r="U2" t="s">
        <v>16</v>
      </c>
    </row>
    <row r="3" spans="1:21" x14ac:dyDescent="0.3">
      <c r="A3" t="s">
        <v>27</v>
      </c>
      <c r="B3" t="s">
        <v>24</v>
      </c>
      <c r="C3">
        <v>143</v>
      </c>
      <c r="D3" t="s">
        <v>14</v>
      </c>
      <c r="E3" t="s">
        <v>45</v>
      </c>
      <c r="F3" s="3" t="s">
        <v>46</v>
      </c>
      <c r="G3">
        <v>20018</v>
      </c>
      <c r="H3" t="s">
        <v>219</v>
      </c>
      <c r="I3" t="s">
        <v>221</v>
      </c>
      <c r="J3" t="s">
        <v>95</v>
      </c>
      <c r="K3" t="s">
        <v>231</v>
      </c>
      <c r="L3" t="s">
        <v>16</v>
      </c>
      <c r="M3" t="s">
        <v>53</v>
      </c>
      <c r="N3" t="s">
        <v>95</v>
      </c>
      <c r="O3">
        <v>61</v>
      </c>
      <c r="P3" s="7">
        <v>5062</v>
      </c>
      <c r="Q3">
        <v>0.22</v>
      </c>
      <c r="R3">
        <v>1.82</v>
      </c>
      <c r="S3" s="5">
        <f t="shared" ref="S3:S20" si="0">O3/730</f>
        <v>8.3561643835616442E-2</v>
      </c>
      <c r="T3" t="s">
        <v>16</v>
      </c>
      <c r="U3" t="s">
        <v>16</v>
      </c>
    </row>
    <row r="4" spans="1:21" x14ac:dyDescent="0.3">
      <c r="A4" t="s">
        <v>27</v>
      </c>
      <c r="B4" t="s">
        <v>24</v>
      </c>
      <c r="C4">
        <v>143</v>
      </c>
      <c r="D4" t="s">
        <v>14</v>
      </c>
      <c r="E4" t="s">
        <v>45</v>
      </c>
      <c r="F4" s="3" t="s">
        <v>183</v>
      </c>
      <c r="G4">
        <v>20018</v>
      </c>
      <c r="H4" t="s">
        <v>219</v>
      </c>
      <c r="I4" t="s">
        <v>222</v>
      </c>
      <c r="J4" t="s">
        <v>95</v>
      </c>
      <c r="K4" t="s">
        <v>232</v>
      </c>
      <c r="L4" t="s">
        <v>16</v>
      </c>
      <c r="M4" t="s">
        <v>53</v>
      </c>
      <c r="N4" t="s">
        <v>95</v>
      </c>
      <c r="O4">
        <v>24</v>
      </c>
      <c r="P4" s="7">
        <v>4838</v>
      </c>
      <c r="Q4">
        <v>0.12</v>
      </c>
      <c r="R4">
        <v>3.01</v>
      </c>
      <c r="S4" s="5">
        <f t="shared" si="0"/>
        <v>3.287671232876712E-2</v>
      </c>
      <c r="T4" t="s">
        <v>16</v>
      </c>
      <c r="U4" t="s">
        <v>16</v>
      </c>
    </row>
    <row r="5" spans="1:21" x14ac:dyDescent="0.3">
      <c r="A5" t="s">
        <v>27</v>
      </c>
      <c r="B5" t="s">
        <v>47</v>
      </c>
      <c r="C5">
        <v>143</v>
      </c>
      <c r="D5" t="s">
        <v>14</v>
      </c>
      <c r="E5" t="s">
        <v>45</v>
      </c>
      <c r="F5" s="3" t="s">
        <v>183</v>
      </c>
      <c r="G5">
        <v>20018</v>
      </c>
      <c r="H5" t="s">
        <v>219</v>
      </c>
      <c r="I5" t="s">
        <v>221</v>
      </c>
      <c r="J5" t="s">
        <v>95</v>
      </c>
      <c r="K5" t="s">
        <v>235</v>
      </c>
      <c r="L5" t="s">
        <v>16</v>
      </c>
      <c r="M5" t="s">
        <v>95</v>
      </c>
      <c r="N5" t="s">
        <v>95</v>
      </c>
      <c r="O5">
        <v>12</v>
      </c>
      <c r="P5" s="7">
        <v>1889</v>
      </c>
      <c r="Q5">
        <v>0.16</v>
      </c>
      <c r="R5">
        <v>2.57</v>
      </c>
      <c r="S5" s="5">
        <f t="shared" si="0"/>
        <v>1.643835616438356E-2</v>
      </c>
      <c r="T5" t="s">
        <v>16</v>
      </c>
      <c r="U5" t="s">
        <v>16</v>
      </c>
    </row>
    <row r="6" spans="1:21" x14ac:dyDescent="0.3">
      <c r="A6" t="s">
        <v>27</v>
      </c>
      <c r="B6" t="s">
        <v>24</v>
      </c>
      <c r="C6">
        <v>143</v>
      </c>
      <c r="D6" t="s">
        <v>14</v>
      </c>
      <c r="E6" t="s">
        <v>45</v>
      </c>
      <c r="F6" s="3" t="s">
        <v>188</v>
      </c>
      <c r="G6">
        <v>20018</v>
      </c>
      <c r="H6" t="s">
        <v>219</v>
      </c>
      <c r="I6" t="s">
        <v>222</v>
      </c>
      <c r="J6" t="s">
        <v>95</v>
      </c>
      <c r="K6" t="s">
        <v>95</v>
      </c>
      <c r="L6" t="s">
        <v>243</v>
      </c>
      <c r="M6" t="s">
        <v>95</v>
      </c>
      <c r="N6" t="s">
        <v>53</v>
      </c>
      <c r="O6">
        <v>148</v>
      </c>
      <c r="P6" s="7">
        <v>11505</v>
      </c>
      <c r="Q6">
        <v>0.08</v>
      </c>
      <c r="R6">
        <v>1.77</v>
      </c>
      <c r="S6" s="5">
        <f t="shared" si="0"/>
        <v>0.20273972602739726</v>
      </c>
      <c r="T6" t="s">
        <v>16</v>
      </c>
      <c r="U6" t="s">
        <v>16</v>
      </c>
    </row>
    <row r="7" spans="1:21" x14ac:dyDescent="0.3">
      <c r="A7" t="s">
        <v>27</v>
      </c>
      <c r="B7" t="s">
        <v>47</v>
      </c>
      <c r="C7">
        <v>143</v>
      </c>
      <c r="D7" t="s">
        <v>14</v>
      </c>
      <c r="E7" t="s">
        <v>45</v>
      </c>
      <c r="F7" s="3" t="s">
        <v>188</v>
      </c>
      <c r="G7">
        <v>20018</v>
      </c>
      <c r="H7" t="s">
        <v>219</v>
      </c>
      <c r="I7" t="s">
        <v>221</v>
      </c>
      <c r="J7" t="s">
        <v>53</v>
      </c>
      <c r="K7" t="s">
        <v>246</v>
      </c>
      <c r="L7" t="s">
        <v>95</v>
      </c>
      <c r="M7" t="s">
        <v>95</v>
      </c>
      <c r="N7" t="s">
        <v>53</v>
      </c>
      <c r="O7">
        <v>30</v>
      </c>
      <c r="P7" s="7">
        <v>2528</v>
      </c>
      <c r="Q7">
        <v>0.1</v>
      </c>
      <c r="R7">
        <v>1.84</v>
      </c>
      <c r="S7" s="5">
        <f t="shared" si="0"/>
        <v>4.1095890410958902E-2</v>
      </c>
      <c r="T7" t="s">
        <v>16</v>
      </c>
      <c r="U7" t="s">
        <v>16</v>
      </c>
    </row>
    <row r="8" spans="1:21" x14ac:dyDescent="0.3">
      <c r="A8" t="s">
        <v>27</v>
      </c>
      <c r="B8" t="s">
        <v>24</v>
      </c>
      <c r="C8">
        <v>143</v>
      </c>
      <c r="D8" t="s">
        <v>14</v>
      </c>
      <c r="E8" t="s">
        <v>45</v>
      </c>
      <c r="F8" s="3" t="s">
        <v>247</v>
      </c>
      <c r="G8">
        <v>20018</v>
      </c>
      <c r="H8" t="s">
        <v>219</v>
      </c>
      <c r="I8" t="s">
        <v>225</v>
      </c>
      <c r="J8" t="s">
        <v>53</v>
      </c>
      <c r="K8" t="s">
        <v>248</v>
      </c>
      <c r="L8" t="s">
        <v>95</v>
      </c>
      <c r="M8" t="s">
        <v>95</v>
      </c>
      <c r="N8" t="s">
        <v>53</v>
      </c>
      <c r="O8">
        <v>39</v>
      </c>
      <c r="P8" s="7">
        <v>5366</v>
      </c>
      <c r="Q8">
        <v>0.1</v>
      </c>
      <c r="R8">
        <v>2.37</v>
      </c>
      <c r="S8" s="5">
        <f t="shared" si="0"/>
        <v>5.3424657534246578E-2</v>
      </c>
      <c r="T8" t="s">
        <v>16</v>
      </c>
      <c r="U8" t="s">
        <v>16</v>
      </c>
    </row>
    <row r="9" spans="1:21" x14ac:dyDescent="0.3">
      <c r="A9" t="s">
        <v>27</v>
      </c>
      <c r="B9" t="s">
        <v>47</v>
      </c>
      <c r="C9">
        <v>143</v>
      </c>
      <c r="D9" t="s">
        <v>14</v>
      </c>
      <c r="E9" t="s">
        <v>45</v>
      </c>
      <c r="F9" s="3" t="s">
        <v>247</v>
      </c>
      <c r="G9">
        <v>20018</v>
      </c>
      <c r="H9" t="s">
        <v>219</v>
      </c>
      <c r="I9" t="s">
        <v>222</v>
      </c>
      <c r="J9" t="s">
        <v>53</v>
      </c>
      <c r="K9" t="s">
        <v>249</v>
      </c>
      <c r="L9" t="s">
        <v>95</v>
      </c>
      <c r="M9" t="s">
        <v>95</v>
      </c>
      <c r="N9" t="s">
        <v>53</v>
      </c>
      <c r="O9">
        <v>155</v>
      </c>
      <c r="P9" s="7">
        <v>3356</v>
      </c>
      <c r="Q9">
        <v>0.12</v>
      </c>
      <c r="R9">
        <v>1.21</v>
      </c>
      <c r="S9" s="5">
        <f t="shared" si="0"/>
        <v>0.21232876712328766</v>
      </c>
      <c r="T9" t="s">
        <v>16</v>
      </c>
      <c r="U9" t="s">
        <v>16</v>
      </c>
    </row>
    <row r="10" spans="1:21" x14ac:dyDescent="0.3">
      <c r="A10" t="s">
        <v>27</v>
      </c>
      <c r="B10" t="s">
        <v>47</v>
      </c>
      <c r="C10">
        <v>143</v>
      </c>
      <c r="D10" t="s">
        <v>14</v>
      </c>
      <c r="E10" t="s">
        <v>45</v>
      </c>
      <c r="F10" s="3" t="s">
        <v>251</v>
      </c>
      <c r="G10">
        <v>20018</v>
      </c>
      <c r="H10" t="s">
        <v>219</v>
      </c>
      <c r="I10" t="s">
        <v>220</v>
      </c>
      <c r="J10" t="s">
        <v>53</v>
      </c>
      <c r="K10" t="s">
        <v>255</v>
      </c>
      <c r="L10" t="s">
        <v>95</v>
      </c>
      <c r="M10" t="s">
        <v>95</v>
      </c>
      <c r="N10" t="s">
        <v>53</v>
      </c>
      <c r="O10">
        <v>109</v>
      </c>
      <c r="P10" s="7">
        <v>4393</v>
      </c>
      <c r="Q10">
        <v>0.11</v>
      </c>
      <c r="R10">
        <v>1.4</v>
      </c>
      <c r="S10" s="5">
        <f t="shared" si="0"/>
        <v>0.14931506849315068</v>
      </c>
      <c r="T10" t="s">
        <v>16</v>
      </c>
      <c r="U10" t="s">
        <v>16</v>
      </c>
    </row>
    <row r="11" spans="1:21" x14ac:dyDescent="0.3">
      <c r="A11" t="s">
        <v>27</v>
      </c>
      <c r="B11" t="s">
        <v>24</v>
      </c>
      <c r="C11">
        <v>143</v>
      </c>
      <c r="D11" t="s">
        <v>14</v>
      </c>
      <c r="E11" t="s">
        <v>45</v>
      </c>
      <c r="F11" s="3" t="s">
        <v>50</v>
      </c>
      <c r="G11">
        <v>20018</v>
      </c>
      <c r="H11" t="s">
        <v>219</v>
      </c>
      <c r="I11" t="s">
        <v>220</v>
      </c>
      <c r="J11" t="s">
        <v>95</v>
      </c>
      <c r="K11" t="s">
        <v>272</v>
      </c>
      <c r="L11" t="s">
        <v>95</v>
      </c>
      <c r="M11" t="s">
        <v>95</v>
      </c>
      <c r="N11" t="s">
        <v>53</v>
      </c>
      <c r="O11">
        <v>300</v>
      </c>
      <c r="P11" s="7">
        <v>9065</v>
      </c>
      <c r="Q11">
        <v>0.08</v>
      </c>
      <c r="R11">
        <v>2.16</v>
      </c>
      <c r="S11" s="5">
        <f t="shared" si="0"/>
        <v>0.41095890410958902</v>
      </c>
      <c r="T11" t="s">
        <v>16</v>
      </c>
      <c r="U11" t="s">
        <v>16</v>
      </c>
    </row>
    <row r="12" spans="1:21" x14ac:dyDescent="0.3">
      <c r="A12" t="s">
        <v>27</v>
      </c>
      <c r="B12" t="s">
        <v>24</v>
      </c>
      <c r="C12">
        <v>143</v>
      </c>
      <c r="D12" t="s">
        <v>14</v>
      </c>
      <c r="E12" t="s">
        <v>45</v>
      </c>
      <c r="F12" s="3" t="s">
        <v>52</v>
      </c>
      <c r="G12">
        <v>20018</v>
      </c>
      <c r="H12" t="s">
        <v>219</v>
      </c>
      <c r="I12" t="s">
        <v>225</v>
      </c>
      <c r="J12" t="s">
        <v>95</v>
      </c>
      <c r="K12" t="s">
        <v>276</v>
      </c>
      <c r="L12" t="s">
        <v>95</v>
      </c>
      <c r="M12" t="s">
        <v>95</v>
      </c>
      <c r="N12" t="s">
        <v>53</v>
      </c>
      <c r="O12">
        <v>65</v>
      </c>
      <c r="P12" s="7">
        <v>4182</v>
      </c>
      <c r="Q12">
        <v>0.18</v>
      </c>
      <c r="R12">
        <v>1.64</v>
      </c>
      <c r="S12" s="5">
        <f t="shared" si="0"/>
        <v>8.9041095890410954E-2</v>
      </c>
      <c r="T12" t="s">
        <v>16</v>
      </c>
      <c r="U12" t="s">
        <v>16</v>
      </c>
    </row>
    <row r="13" spans="1:21" x14ac:dyDescent="0.3">
      <c r="A13" t="s">
        <v>27</v>
      </c>
      <c r="B13" t="s">
        <v>47</v>
      </c>
      <c r="C13">
        <v>143</v>
      </c>
      <c r="D13" t="s">
        <v>14</v>
      </c>
      <c r="E13" t="s">
        <v>45</v>
      </c>
      <c r="F13" s="3" t="s">
        <v>190</v>
      </c>
      <c r="G13">
        <v>20018</v>
      </c>
      <c r="H13" t="s">
        <v>219</v>
      </c>
      <c r="I13" t="s">
        <v>222</v>
      </c>
      <c r="J13" t="s">
        <v>53</v>
      </c>
      <c r="K13" t="s">
        <v>95</v>
      </c>
      <c r="L13" t="s">
        <v>282</v>
      </c>
      <c r="M13" t="s">
        <v>53</v>
      </c>
      <c r="N13" t="s">
        <v>53</v>
      </c>
      <c r="O13">
        <v>138</v>
      </c>
      <c r="P13" s="7">
        <v>5745</v>
      </c>
      <c r="Q13">
        <v>0.1</v>
      </c>
      <c r="R13">
        <v>1.41</v>
      </c>
      <c r="S13" s="5">
        <f t="shared" si="0"/>
        <v>0.18904109589041096</v>
      </c>
      <c r="T13" t="s">
        <v>16</v>
      </c>
      <c r="U13" t="s">
        <v>16</v>
      </c>
    </row>
    <row r="14" spans="1:21" x14ac:dyDescent="0.3">
      <c r="A14" t="s">
        <v>27</v>
      </c>
      <c r="B14" t="s">
        <v>24</v>
      </c>
      <c r="C14">
        <v>143</v>
      </c>
      <c r="D14" t="s">
        <v>14</v>
      </c>
      <c r="E14" t="s">
        <v>45</v>
      </c>
      <c r="F14" s="3" t="s">
        <v>55</v>
      </c>
      <c r="G14">
        <v>20018</v>
      </c>
      <c r="H14" t="s">
        <v>219</v>
      </c>
      <c r="I14" t="s">
        <v>220</v>
      </c>
      <c r="J14" t="s">
        <v>53</v>
      </c>
      <c r="K14" t="s">
        <v>288</v>
      </c>
      <c r="L14" t="s">
        <v>53</v>
      </c>
      <c r="M14" t="s">
        <v>53</v>
      </c>
      <c r="N14" t="s">
        <v>95</v>
      </c>
      <c r="O14">
        <v>101</v>
      </c>
      <c r="P14" s="7">
        <v>15958</v>
      </c>
      <c r="Q14">
        <v>7.0000000000000007E-2</v>
      </c>
      <c r="R14">
        <v>2.58</v>
      </c>
      <c r="S14" s="5">
        <f t="shared" si="0"/>
        <v>0.13835616438356163</v>
      </c>
      <c r="T14" t="s">
        <v>16</v>
      </c>
      <c r="U14" t="s">
        <v>16</v>
      </c>
    </row>
    <row r="15" spans="1:21" x14ac:dyDescent="0.3">
      <c r="A15" t="s">
        <v>27</v>
      </c>
      <c r="B15" t="s">
        <v>47</v>
      </c>
      <c r="C15">
        <v>143</v>
      </c>
      <c r="D15" t="s">
        <v>14</v>
      </c>
      <c r="E15" t="s">
        <v>45</v>
      </c>
      <c r="F15" s="3" t="s">
        <v>57</v>
      </c>
      <c r="G15">
        <v>20018</v>
      </c>
      <c r="H15" t="s">
        <v>219</v>
      </c>
      <c r="I15" t="s">
        <v>222</v>
      </c>
      <c r="J15" t="s">
        <v>53</v>
      </c>
      <c r="K15" t="s">
        <v>53</v>
      </c>
      <c r="L15" t="s">
        <v>290</v>
      </c>
      <c r="M15" t="s">
        <v>53</v>
      </c>
      <c r="N15" t="s">
        <v>53</v>
      </c>
      <c r="O15">
        <v>115</v>
      </c>
      <c r="P15" s="7">
        <v>14505</v>
      </c>
      <c r="Q15">
        <v>0.14000000000000001</v>
      </c>
      <c r="R15">
        <v>2.2599999999999998</v>
      </c>
      <c r="S15" s="5">
        <f t="shared" si="0"/>
        <v>0.15753424657534246</v>
      </c>
      <c r="T15" t="s">
        <v>16</v>
      </c>
      <c r="U15" t="s">
        <v>16</v>
      </c>
    </row>
    <row r="16" spans="1:21" x14ac:dyDescent="0.3">
      <c r="A16" t="s">
        <v>27</v>
      </c>
      <c r="B16" t="s">
        <v>297</v>
      </c>
      <c r="C16">
        <v>143</v>
      </c>
      <c r="D16" t="s">
        <v>14</v>
      </c>
      <c r="E16" t="s">
        <v>45</v>
      </c>
      <c r="F16" s="3" t="s">
        <v>293</v>
      </c>
      <c r="G16">
        <v>20018</v>
      </c>
      <c r="H16" t="s">
        <v>219</v>
      </c>
      <c r="I16" t="s">
        <v>222</v>
      </c>
      <c r="J16" t="s">
        <v>95</v>
      </c>
      <c r="K16" t="s">
        <v>298</v>
      </c>
      <c r="L16" t="s">
        <v>53</v>
      </c>
      <c r="M16" t="s">
        <v>53</v>
      </c>
      <c r="N16" t="s">
        <v>53</v>
      </c>
      <c r="O16">
        <v>39</v>
      </c>
      <c r="P16" s="7">
        <v>6527</v>
      </c>
      <c r="Q16">
        <v>0.12</v>
      </c>
      <c r="R16">
        <v>2.67</v>
      </c>
      <c r="S16" s="5">
        <f t="shared" si="0"/>
        <v>5.3424657534246578E-2</v>
      </c>
      <c r="T16" t="s">
        <v>16</v>
      </c>
      <c r="U16" t="s">
        <v>16</v>
      </c>
    </row>
    <row r="17" spans="1:21" x14ac:dyDescent="0.3">
      <c r="A17" t="s">
        <v>27</v>
      </c>
      <c r="B17" t="s">
        <v>297</v>
      </c>
      <c r="C17">
        <v>143</v>
      </c>
      <c r="D17" t="s">
        <v>14</v>
      </c>
      <c r="E17" t="s">
        <v>45</v>
      </c>
      <c r="F17" s="3" t="s">
        <v>302</v>
      </c>
      <c r="G17">
        <v>20018</v>
      </c>
      <c r="H17" t="s">
        <v>219</v>
      </c>
      <c r="I17" t="s">
        <v>225</v>
      </c>
      <c r="J17" t="s">
        <v>53</v>
      </c>
      <c r="K17" t="s">
        <v>301</v>
      </c>
      <c r="L17" t="s">
        <v>53</v>
      </c>
      <c r="M17" t="s">
        <v>53</v>
      </c>
      <c r="N17" t="s">
        <v>53</v>
      </c>
      <c r="O17">
        <v>27</v>
      </c>
      <c r="P17" s="7">
        <v>5068</v>
      </c>
      <c r="Q17">
        <v>0.11</v>
      </c>
      <c r="R17">
        <v>2.87</v>
      </c>
      <c r="S17" s="5">
        <f t="shared" si="0"/>
        <v>3.6986301369863014E-2</v>
      </c>
      <c r="T17" t="s">
        <v>16</v>
      </c>
      <c r="U17" t="s">
        <v>16</v>
      </c>
    </row>
    <row r="18" spans="1:21" x14ac:dyDescent="0.3">
      <c r="A18" t="s">
        <v>27</v>
      </c>
      <c r="B18" t="s">
        <v>297</v>
      </c>
      <c r="C18">
        <v>143</v>
      </c>
      <c r="D18" t="s">
        <v>14</v>
      </c>
      <c r="E18" t="s">
        <v>45</v>
      </c>
      <c r="F18" s="3" t="s">
        <v>306</v>
      </c>
      <c r="G18">
        <v>20018</v>
      </c>
      <c r="H18" t="s">
        <v>219</v>
      </c>
      <c r="I18" t="s">
        <v>307</v>
      </c>
      <c r="J18" t="s">
        <v>53</v>
      </c>
      <c r="K18" t="s">
        <v>308</v>
      </c>
      <c r="L18" t="s">
        <v>53</v>
      </c>
      <c r="M18" t="s">
        <v>53</v>
      </c>
      <c r="N18" t="s">
        <v>53</v>
      </c>
      <c r="O18">
        <v>33</v>
      </c>
      <c r="P18" s="7">
        <v>6898</v>
      </c>
      <c r="Q18">
        <v>0.12</v>
      </c>
      <c r="R18">
        <v>3.09</v>
      </c>
      <c r="S18" s="5">
        <f t="shared" si="0"/>
        <v>4.5205479452054796E-2</v>
      </c>
      <c r="T18" t="s">
        <v>16</v>
      </c>
      <c r="U18" t="s">
        <v>16</v>
      </c>
    </row>
    <row r="19" spans="1:21" x14ac:dyDescent="0.3">
      <c r="A19" t="s">
        <v>27</v>
      </c>
      <c r="B19" t="s">
        <v>47</v>
      </c>
      <c r="C19">
        <v>143</v>
      </c>
      <c r="D19" t="s">
        <v>14</v>
      </c>
      <c r="E19" t="s">
        <v>45</v>
      </c>
      <c r="F19" s="3" t="s">
        <v>306</v>
      </c>
      <c r="G19">
        <v>20018</v>
      </c>
      <c r="H19" t="s">
        <v>219</v>
      </c>
      <c r="I19" t="s">
        <v>220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>
        <v>58</v>
      </c>
      <c r="P19" s="7">
        <v>5156</v>
      </c>
      <c r="Q19">
        <v>0.15</v>
      </c>
      <c r="R19">
        <v>1.88</v>
      </c>
      <c r="S19" s="5">
        <f t="shared" si="0"/>
        <v>7.9452054794520555E-2</v>
      </c>
      <c r="T19" t="s">
        <v>16</v>
      </c>
      <c r="U19" t="s">
        <v>16</v>
      </c>
    </row>
    <row r="20" spans="1:21" x14ac:dyDescent="0.3">
      <c r="A20" t="s">
        <v>27</v>
      </c>
      <c r="B20" t="s">
        <v>47</v>
      </c>
      <c r="C20">
        <v>143</v>
      </c>
      <c r="D20" t="s">
        <v>14</v>
      </c>
      <c r="E20" t="s">
        <v>45</v>
      </c>
      <c r="F20" s="3" t="s">
        <v>318</v>
      </c>
      <c r="G20">
        <v>20018</v>
      </c>
      <c r="H20" t="s">
        <v>219</v>
      </c>
      <c r="I20" t="s">
        <v>222</v>
      </c>
      <c r="J20" t="s">
        <v>319</v>
      </c>
      <c r="K20" t="s">
        <v>320</v>
      </c>
      <c r="L20" t="s">
        <v>53</v>
      </c>
      <c r="M20" t="s">
        <v>53</v>
      </c>
      <c r="N20" t="s">
        <v>53</v>
      </c>
      <c r="O20">
        <v>134</v>
      </c>
      <c r="P20" s="7">
        <v>3615</v>
      </c>
      <c r="Q20">
        <v>0.08</v>
      </c>
      <c r="R20">
        <v>1.26</v>
      </c>
      <c r="S20" s="5">
        <f t="shared" si="0"/>
        <v>0.18356164383561643</v>
      </c>
      <c r="T20" t="s">
        <v>16</v>
      </c>
      <c r="U20" t="s">
        <v>16</v>
      </c>
    </row>
    <row r="21" spans="1:21" x14ac:dyDescent="0.3">
      <c r="A21" t="s">
        <v>27</v>
      </c>
      <c r="B21" t="s">
        <v>68</v>
      </c>
      <c r="C21">
        <v>143</v>
      </c>
      <c r="D21" t="s">
        <v>14</v>
      </c>
      <c r="E21" t="s">
        <v>45</v>
      </c>
      <c r="F21" s="3" t="s">
        <v>336</v>
      </c>
      <c r="G21">
        <v>20018</v>
      </c>
      <c r="H21" t="s">
        <v>219</v>
      </c>
      <c r="I21" t="s">
        <v>225</v>
      </c>
      <c r="J21" t="s">
        <v>95</v>
      </c>
      <c r="K21" t="s">
        <v>95</v>
      </c>
      <c r="L21" t="s">
        <v>337</v>
      </c>
      <c r="M21" t="s">
        <v>53</v>
      </c>
      <c r="N21" t="s">
        <v>53</v>
      </c>
      <c r="O21">
        <v>15</v>
      </c>
      <c r="P21" s="7">
        <v>4759</v>
      </c>
      <c r="Q21">
        <v>0.2</v>
      </c>
      <c r="R21">
        <v>4.17</v>
      </c>
      <c r="S21" s="5">
        <f t="shared" ref="S21:S42" si="1">O21/730</f>
        <v>2.0547945205479451E-2</v>
      </c>
      <c r="T21" t="s">
        <v>16</v>
      </c>
      <c r="U21" t="s">
        <v>16</v>
      </c>
    </row>
    <row r="22" spans="1:21" x14ac:dyDescent="0.3">
      <c r="A22" t="s">
        <v>27</v>
      </c>
      <c r="B22" t="s">
        <v>68</v>
      </c>
      <c r="C22">
        <v>143</v>
      </c>
      <c r="D22" t="s">
        <v>14</v>
      </c>
      <c r="E22" t="s">
        <v>45</v>
      </c>
      <c r="F22" s="3" t="s">
        <v>341</v>
      </c>
      <c r="G22">
        <v>20018</v>
      </c>
      <c r="H22" t="s">
        <v>219</v>
      </c>
      <c r="I22" t="s">
        <v>220</v>
      </c>
      <c r="J22" t="s">
        <v>95</v>
      </c>
      <c r="K22" t="s">
        <v>342</v>
      </c>
      <c r="L22" t="s">
        <v>53</v>
      </c>
      <c r="M22" t="s">
        <v>53</v>
      </c>
      <c r="N22" t="s">
        <v>95</v>
      </c>
      <c r="O22">
        <v>163</v>
      </c>
      <c r="P22" s="7">
        <v>10694</v>
      </c>
      <c r="Q22">
        <v>0.06</v>
      </c>
      <c r="R22">
        <v>1.65</v>
      </c>
      <c r="S22" s="5">
        <f t="shared" si="1"/>
        <v>0.22328767123287671</v>
      </c>
      <c r="T22" t="s">
        <v>16</v>
      </c>
      <c r="U22" t="s">
        <v>16</v>
      </c>
    </row>
    <row r="23" spans="1:21" x14ac:dyDescent="0.3">
      <c r="A23" t="s">
        <v>27</v>
      </c>
      <c r="B23" t="s">
        <v>353</v>
      </c>
      <c r="C23">
        <v>143</v>
      </c>
      <c r="D23" t="s">
        <v>14</v>
      </c>
      <c r="E23" t="s">
        <v>45</v>
      </c>
      <c r="F23" s="3" t="s">
        <v>356</v>
      </c>
      <c r="G23">
        <v>20018</v>
      </c>
      <c r="H23" t="s">
        <v>219</v>
      </c>
      <c r="I23" t="s">
        <v>222</v>
      </c>
      <c r="J23" t="s">
        <v>95</v>
      </c>
      <c r="K23" t="s">
        <v>344</v>
      </c>
      <c r="L23" t="s">
        <v>358</v>
      </c>
      <c r="M23" t="s">
        <v>344</v>
      </c>
      <c r="N23" t="s">
        <v>95</v>
      </c>
      <c r="O23">
        <v>31</v>
      </c>
      <c r="P23" s="7">
        <v>2297</v>
      </c>
      <c r="Q23">
        <v>0.12</v>
      </c>
      <c r="R23">
        <v>1.74</v>
      </c>
      <c r="S23" s="5">
        <f t="shared" si="1"/>
        <v>4.2465753424657533E-2</v>
      </c>
      <c r="T23" t="s">
        <v>16</v>
      </c>
      <c r="U23" t="s">
        <v>16</v>
      </c>
    </row>
    <row r="24" spans="1:21" x14ac:dyDescent="0.3">
      <c r="A24" t="s">
        <v>27</v>
      </c>
      <c r="B24" t="s">
        <v>353</v>
      </c>
      <c r="C24">
        <v>143</v>
      </c>
      <c r="D24" t="s">
        <v>14</v>
      </c>
      <c r="E24" t="s">
        <v>45</v>
      </c>
      <c r="F24" s="3" t="s">
        <v>359</v>
      </c>
      <c r="G24">
        <v>20018</v>
      </c>
      <c r="H24" t="s">
        <v>219</v>
      </c>
      <c r="I24" t="s">
        <v>225</v>
      </c>
      <c r="J24" t="s">
        <v>95</v>
      </c>
      <c r="K24" t="s">
        <v>344</v>
      </c>
      <c r="L24" t="s">
        <v>360</v>
      </c>
      <c r="M24" t="s">
        <v>344</v>
      </c>
      <c r="N24" t="s">
        <v>95</v>
      </c>
      <c r="O24">
        <v>41</v>
      </c>
      <c r="P24" s="7">
        <v>1218</v>
      </c>
      <c r="Q24">
        <v>0.12</v>
      </c>
      <c r="R24">
        <v>1.29</v>
      </c>
      <c r="S24" s="5">
        <f t="shared" si="1"/>
        <v>5.6164383561643834E-2</v>
      </c>
      <c r="T24" t="s">
        <v>16</v>
      </c>
      <c r="U24" t="s">
        <v>16</v>
      </c>
    </row>
    <row r="25" spans="1:21" x14ac:dyDescent="0.3">
      <c r="A25" t="s">
        <v>27</v>
      </c>
      <c r="B25" t="s">
        <v>68</v>
      </c>
      <c r="C25">
        <v>143</v>
      </c>
      <c r="D25" t="s">
        <v>14</v>
      </c>
      <c r="E25" t="s">
        <v>45</v>
      </c>
      <c r="F25" s="3" t="s">
        <v>359</v>
      </c>
      <c r="G25">
        <v>20018</v>
      </c>
      <c r="H25" t="s">
        <v>219</v>
      </c>
      <c r="I25" t="s">
        <v>361</v>
      </c>
      <c r="J25" t="s">
        <v>95</v>
      </c>
      <c r="K25" t="s">
        <v>344</v>
      </c>
      <c r="L25" t="s">
        <v>362</v>
      </c>
      <c r="M25" t="s">
        <v>344</v>
      </c>
      <c r="N25" t="s">
        <v>95</v>
      </c>
      <c r="O25">
        <v>32</v>
      </c>
      <c r="P25" s="7">
        <v>4840</v>
      </c>
      <c r="Q25">
        <v>0.09</v>
      </c>
      <c r="R25">
        <v>2.5099999999999998</v>
      </c>
      <c r="S25" s="5">
        <f t="shared" si="1"/>
        <v>4.3835616438356165E-2</v>
      </c>
      <c r="T25" t="s">
        <v>16</v>
      </c>
      <c r="U25" t="s">
        <v>16</v>
      </c>
    </row>
    <row r="26" spans="1:21" x14ac:dyDescent="0.3">
      <c r="A26" t="s">
        <v>27</v>
      </c>
      <c r="B26" t="s">
        <v>68</v>
      </c>
      <c r="C26">
        <v>143</v>
      </c>
      <c r="D26" t="s">
        <v>14</v>
      </c>
      <c r="E26" t="s">
        <v>45</v>
      </c>
      <c r="F26" s="3" t="s">
        <v>359</v>
      </c>
      <c r="G26">
        <v>20018</v>
      </c>
      <c r="H26" t="s">
        <v>219</v>
      </c>
      <c r="I26" t="s">
        <v>363</v>
      </c>
      <c r="J26" t="s">
        <v>95</v>
      </c>
      <c r="K26" t="s">
        <v>364</v>
      </c>
      <c r="L26" t="s">
        <v>95</v>
      </c>
      <c r="M26" t="s">
        <v>344</v>
      </c>
      <c r="N26" t="s">
        <v>95</v>
      </c>
      <c r="O26">
        <v>40</v>
      </c>
      <c r="P26" s="7">
        <v>5009</v>
      </c>
      <c r="Q26">
        <v>0.12</v>
      </c>
      <c r="R26">
        <v>2.25</v>
      </c>
      <c r="S26" s="5">
        <f t="shared" si="1"/>
        <v>5.4794520547945202E-2</v>
      </c>
      <c r="T26" t="s">
        <v>16</v>
      </c>
      <c r="U26" t="s">
        <v>16</v>
      </c>
    </row>
    <row r="27" spans="1:21" x14ac:dyDescent="0.3">
      <c r="A27" t="s">
        <v>27</v>
      </c>
      <c r="B27" t="s">
        <v>68</v>
      </c>
      <c r="C27">
        <v>143</v>
      </c>
      <c r="D27" t="s">
        <v>14</v>
      </c>
      <c r="E27" t="s">
        <v>45</v>
      </c>
      <c r="F27" s="3" t="s">
        <v>65</v>
      </c>
      <c r="G27">
        <v>20018</v>
      </c>
      <c r="H27" t="s">
        <v>219</v>
      </c>
      <c r="I27" t="s">
        <v>225</v>
      </c>
      <c r="J27" t="s">
        <v>95</v>
      </c>
      <c r="K27" t="s">
        <v>365</v>
      </c>
      <c r="L27" t="s">
        <v>95</v>
      </c>
      <c r="M27" t="s">
        <v>344</v>
      </c>
      <c r="N27" t="s">
        <v>95</v>
      </c>
      <c r="O27">
        <v>98</v>
      </c>
      <c r="P27" s="7">
        <v>6431</v>
      </c>
      <c r="Q27">
        <v>0.17</v>
      </c>
      <c r="R27">
        <v>1.65</v>
      </c>
      <c r="S27" s="5">
        <f t="shared" si="1"/>
        <v>0.13424657534246576</v>
      </c>
      <c r="T27" t="s">
        <v>16</v>
      </c>
      <c r="U27" t="s">
        <v>16</v>
      </c>
    </row>
    <row r="28" spans="1:21" x14ac:dyDescent="0.3">
      <c r="A28" t="s">
        <v>27</v>
      </c>
      <c r="B28" t="s">
        <v>68</v>
      </c>
      <c r="C28">
        <v>143</v>
      </c>
      <c r="D28" t="s">
        <v>14</v>
      </c>
      <c r="E28" t="s">
        <v>45</v>
      </c>
      <c r="F28" s="3" t="s">
        <v>65</v>
      </c>
      <c r="G28">
        <v>20018</v>
      </c>
      <c r="H28" t="s">
        <v>219</v>
      </c>
      <c r="I28" t="s">
        <v>367</v>
      </c>
      <c r="J28" t="s">
        <v>95</v>
      </c>
      <c r="K28" t="s">
        <v>368</v>
      </c>
      <c r="L28" t="s">
        <v>95</v>
      </c>
      <c r="M28" t="s">
        <v>344</v>
      </c>
      <c r="N28" t="s">
        <v>95</v>
      </c>
      <c r="O28">
        <v>23</v>
      </c>
      <c r="P28" s="7">
        <v>8118</v>
      </c>
      <c r="Q28">
        <v>0.17</v>
      </c>
      <c r="R28">
        <v>4.5199999999999996</v>
      </c>
      <c r="S28" s="5">
        <f t="shared" si="1"/>
        <v>3.1506849315068496E-2</v>
      </c>
      <c r="T28" t="s">
        <v>16</v>
      </c>
      <c r="U28" t="s">
        <v>16</v>
      </c>
    </row>
    <row r="29" spans="1:21" x14ac:dyDescent="0.3">
      <c r="A29" t="s">
        <v>27</v>
      </c>
      <c r="B29" t="s">
        <v>68</v>
      </c>
      <c r="C29">
        <v>143</v>
      </c>
      <c r="D29" t="s">
        <v>14</v>
      </c>
      <c r="E29" t="s">
        <v>45</v>
      </c>
      <c r="F29" s="3" t="s">
        <v>374</v>
      </c>
      <c r="G29">
        <v>20018</v>
      </c>
      <c r="H29" t="s">
        <v>219</v>
      </c>
      <c r="I29" t="s">
        <v>225</v>
      </c>
      <c r="J29" t="s">
        <v>344</v>
      </c>
      <c r="K29" t="s">
        <v>95</v>
      </c>
      <c r="L29" t="s">
        <v>375</v>
      </c>
      <c r="M29" t="s">
        <v>95</v>
      </c>
      <c r="N29" t="s">
        <v>95</v>
      </c>
      <c r="O29">
        <v>60</v>
      </c>
      <c r="P29" s="7">
        <v>11879</v>
      </c>
      <c r="Q29">
        <v>0.11</v>
      </c>
      <c r="R29">
        <v>2.97</v>
      </c>
      <c r="S29" s="5">
        <f t="shared" si="1"/>
        <v>8.2191780821917804E-2</v>
      </c>
      <c r="T29" t="s">
        <v>16</v>
      </c>
      <c r="U29" t="s">
        <v>16</v>
      </c>
    </row>
    <row r="30" spans="1:21" x14ac:dyDescent="0.3">
      <c r="A30" t="s">
        <v>27</v>
      </c>
      <c r="B30" t="s">
        <v>68</v>
      </c>
      <c r="C30">
        <v>143</v>
      </c>
      <c r="D30" t="s">
        <v>14</v>
      </c>
      <c r="E30" t="s">
        <v>45</v>
      </c>
      <c r="F30" s="3" t="s">
        <v>374</v>
      </c>
      <c r="G30">
        <v>20018</v>
      </c>
      <c r="H30" t="s">
        <v>219</v>
      </c>
      <c r="I30" t="s">
        <v>376</v>
      </c>
      <c r="J30" t="s">
        <v>344</v>
      </c>
      <c r="K30" t="s">
        <v>377</v>
      </c>
      <c r="L30" t="s">
        <v>95</v>
      </c>
      <c r="M30" t="s">
        <v>95</v>
      </c>
      <c r="N30" t="s">
        <v>95</v>
      </c>
      <c r="O30">
        <v>59</v>
      </c>
      <c r="P30" s="7">
        <v>3699</v>
      </c>
      <c r="Q30">
        <v>0.06</v>
      </c>
      <c r="R30">
        <v>1.62</v>
      </c>
      <c r="S30" s="5">
        <f t="shared" si="1"/>
        <v>8.0821917808219179E-2</v>
      </c>
      <c r="T30" t="s">
        <v>16</v>
      </c>
      <c r="U30" t="s">
        <v>16</v>
      </c>
    </row>
    <row r="31" spans="1:21" x14ac:dyDescent="0.3">
      <c r="A31" t="s">
        <v>27</v>
      </c>
      <c r="B31" t="s">
        <v>68</v>
      </c>
      <c r="C31">
        <v>143</v>
      </c>
      <c r="D31" t="s">
        <v>14</v>
      </c>
      <c r="E31" t="s">
        <v>45</v>
      </c>
      <c r="F31" s="3" t="s">
        <v>379</v>
      </c>
      <c r="G31">
        <v>20018</v>
      </c>
      <c r="H31" t="s">
        <v>219</v>
      </c>
      <c r="I31" t="s">
        <v>222</v>
      </c>
      <c r="J31" t="s">
        <v>95</v>
      </c>
      <c r="K31" t="s">
        <v>95</v>
      </c>
      <c r="L31" t="s">
        <v>382</v>
      </c>
      <c r="M31" t="s">
        <v>95</v>
      </c>
      <c r="N31" t="s">
        <v>381</v>
      </c>
      <c r="O31">
        <v>35</v>
      </c>
      <c r="P31" s="7">
        <v>6819</v>
      </c>
      <c r="Q31">
        <v>0.17</v>
      </c>
      <c r="R31">
        <v>2.94</v>
      </c>
      <c r="S31" s="5">
        <f t="shared" si="1"/>
        <v>4.7945205479452052E-2</v>
      </c>
      <c r="T31" t="s">
        <v>16</v>
      </c>
      <c r="U31" t="s">
        <v>16</v>
      </c>
    </row>
    <row r="32" spans="1:21" x14ac:dyDescent="0.3">
      <c r="A32" t="s">
        <v>27</v>
      </c>
      <c r="B32" t="s">
        <v>47</v>
      </c>
      <c r="C32">
        <v>143</v>
      </c>
      <c r="D32" t="s">
        <v>14</v>
      </c>
      <c r="E32" t="s">
        <v>45</v>
      </c>
      <c r="F32" s="3" t="s">
        <v>391</v>
      </c>
      <c r="G32">
        <v>20018</v>
      </c>
      <c r="H32" t="s">
        <v>219</v>
      </c>
      <c r="I32" t="s">
        <v>225</v>
      </c>
      <c r="J32" t="s">
        <v>392</v>
      </c>
      <c r="K32" t="s">
        <v>95</v>
      </c>
      <c r="L32" t="s">
        <v>393</v>
      </c>
      <c r="M32" t="s">
        <v>95</v>
      </c>
      <c r="N32" t="s">
        <v>387</v>
      </c>
      <c r="O32">
        <v>47</v>
      </c>
      <c r="P32" s="7">
        <v>4986</v>
      </c>
      <c r="Q32">
        <v>0.17</v>
      </c>
      <c r="R32">
        <v>2.06</v>
      </c>
      <c r="S32" s="5">
        <f t="shared" si="1"/>
        <v>6.4383561643835616E-2</v>
      </c>
      <c r="T32" t="s">
        <v>16</v>
      </c>
      <c r="U32" t="s">
        <v>16</v>
      </c>
    </row>
    <row r="33" spans="1:21" x14ac:dyDescent="0.3">
      <c r="A33" t="s">
        <v>27</v>
      </c>
      <c r="B33" t="s">
        <v>47</v>
      </c>
      <c r="C33">
        <v>143</v>
      </c>
      <c r="D33" t="s">
        <v>14</v>
      </c>
      <c r="E33" t="s">
        <v>45</v>
      </c>
      <c r="F33" s="3" t="s">
        <v>391</v>
      </c>
      <c r="G33">
        <v>20018</v>
      </c>
      <c r="H33" t="s">
        <v>219</v>
      </c>
      <c r="I33" t="s">
        <v>220</v>
      </c>
      <c r="J33" t="s">
        <v>95</v>
      </c>
      <c r="K33" t="s">
        <v>395</v>
      </c>
      <c r="L33" t="s">
        <v>95</v>
      </c>
      <c r="M33" t="s">
        <v>95</v>
      </c>
      <c r="N33" t="s">
        <v>387</v>
      </c>
      <c r="O33">
        <v>57</v>
      </c>
      <c r="P33" s="7">
        <v>3456</v>
      </c>
      <c r="Q33">
        <v>0.08</v>
      </c>
      <c r="R33">
        <v>1.6</v>
      </c>
      <c r="S33" s="5">
        <f t="shared" si="1"/>
        <v>7.8082191780821916E-2</v>
      </c>
      <c r="T33" t="s">
        <v>16</v>
      </c>
      <c r="U33" t="s">
        <v>16</v>
      </c>
    </row>
    <row r="34" spans="1:21" x14ac:dyDescent="0.3">
      <c r="A34" t="s">
        <v>27</v>
      </c>
      <c r="B34" t="s">
        <v>68</v>
      </c>
      <c r="C34">
        <v>143</v>
      </c>
      <c r="D34" t="s">
        <v>14</v>
      </c>
      <c r="E34" t="s">
        <v>45</v>
      </c>
      <c r="F34" s="3" t="s">
        <v>396</v>
      </c>
      <c r="G34">
        <v>20018</v>
      </c>
      <c r="H34" t="s">
        <v>219</v>
      </c>
      <c r="I34" t="s">
        <v>225</v>
      </c>
      <c r="J34" t="s">
        <v>95</v>
      </c>
      <c r="K34" t="s">
        <v>397</v>
      </c>
      <c r="L34" t="s">
        <v>95</v>
      </c>
      <c r="M34" t="s">
        <v>95</v>
      </c>
      <c r="N34" t="s">
        <v>387</v>
      </c>
      <c r="O34">
        <v>53</v>
      </c>
      <c r="P34" s="7">
        <v>4457</v>
      </c>
      <c r="Q34">
        <v>0.15</v>
      </c>
      <c r="R34">
        <v>1.84</v>
      </c>
      <c r="S34" s="5">
        <f t="shared" si="1"/>
        <v>7.260273972602739E-2</v>
      </c>
      <c r="T34" t="s">
        <v>16</v>
      </c>
      <c r="U34" t="s">
        <v>16</v>
      </c>
    </row>
    <row r="35" spans="1:21" x14ac:dyDescent="0.3">
      <c r="A35" t="s">
        <v>27</v>
      </c>
      <c r="B35" t="s">
        <v>68</v>
      </c>
      <c r="C35">
        <v>143</v>
      </c>
      <c r="D35" t="s">
        <v>14</v>
      </c>
      <c r="E35" t="s">
        <v>45</v>
      </c>
      <c r="F35" s="3" t="s">
        <v>396</v>
      </c>
      <c r="G35">
        <v>20018</v>
      </c>
      <c r="H35" t="s">
        <v>219</v>
      </c>
      <c r="I35" t="s">
        <v>222</v>
      </c>
      <c r="J35" t="s">
        <v>95</v>
      </c>
      <c r="K35" t="s">
        <v>398</v>
      </c>
      <c r="L35" t="s">
        <v>95</v>
      </c>
      <c r="M35" t="s">
        <v>95</v>
      </c>
      <c r="N35" t="s">
        <v>387</v>
      </c>
      <c r="O35">
        <v>171</v>
      </c>
      <c r="P35" s="7">
        <v>10163</v>
      </c>
      <c r="Q35">
        <v>0.08</v>
      </c>
      <c r="R35">
        <v>1.59</v>
      </c>
      <c r="S35" s="5">
        <f t="shared" si="1"/>
        <v>0.23424657534246576</v>
      </c>
      <c r="T35" t="s">
        <v>16</v>
      </c>
      <c r="U35" t="s">
        <v>16</v>
      </c>
    </row>
    <row r="36" spans="1:21" x14ac:dyDescent="0.3">
      <c r="A36" t="s">
        <v>27</v>
      </c>
      <c r="B36" t="s">
        <v>68</v>
      </c>
      <c r="C36">
        <v>143</v>
      </c>
      <c r="D36" t="s">
        <v>14</v>
      </c>
      <c r="E36" t="s">
        <v>45</v>
      </c>
      <c r="F36" s="3" t="s">
        <v>396</v>
      </c>
      <c r="G36">
        <v>20018</v>
      </c>
      <c r="H36" t="s">
        <v>219</v>
      </c>
      <c r="I36" t="s">
        <v>220</v>
      </c>
      <c r="J36" t="s">
        <v>95</v>
      </c>
      <c r="K36" t="s">
        <v>399</v>
      </c>
      <c r="L36" t="s">
        <v>95</v>
      </c>
      <c r="M36" t="s">
        <v>95</v>
      </c>
      <c r="N36" t="s">
        <v>387</v>
      </c>
      <c r="O36">
        <v>30</v>
      </c>
      <c r="P36" s="7">
        <v>5788</v>
      </c>
      <c r="Q36">
        <v>0.1</v>
      </c>
      <c r="R36">
        <v>2.92</v>
      </c>
      <c r="S36" s="5">
        <f t="shared" si="1"/>
        <v>4.1095890410958902E-2</v>
      </c>
      <c r="T36" t="s">
        <v>16</v>
      </c>
      <c r="U36" t="s">
        <v>16</v>
      </c>
    </row>
    <row r="37" spans="1:21" x14ac:dyDescent="0.3">
      <c r="A37" t="s">
        <v>27</v>
      </c>
      <c r="B37" t="s">
        <v>68</v>
      </c>
      <c r="C37">
        <v>143</v>
      </c>
      <c r="D37" t="s">
        <v>14</v>
      </c>
      <c r="E37" t="s">
        <v>45</v>
      </c>
      <c r="F37" s="3" t="s">
        <v>400</v>
      </c>
      <c r="G37">
        <v>20018</v>
      </c>
      <c r="H37" t="s">
        <v>219</v>
      </c>
      <c r="I37" t="s">
        <v>220</v>
      </c>
      <c r="J37" t="s">
        <v>95</v>
      </c>
      <c r="K37" t="s">
        <v>402</v>
      </c>
      <c r="L37" t="s">
        <v>95</v>
      </c>
      <c r="M37" t="s">
        <v>95</v>
      </c>
      <c r="N37" t="s">
        <v>387</v>
      </c>
      <c r="O37">
        <v>44</v>
      </c>
      <c r="P37" s="7">
        <v>2529</v>
      </c>
      <c r="Q37">
        <v>0.11</v>
      </c>
      <c r="R37">
        <v>1.57</v>
      </c>
      <c r="S37" s="5">
        <f t="shared" si="1"/>
        <v>6.0273972602739728E-2</v>
      </c>
      <c r="T37" t="s">
        <v>16</v>
      </c>
      <c r="U37" t="s">
        <v>16</v>
      </c>
    </row>
    <row r="38" spans="1:21" x14ac:dyDescent="0.3">
      <c r="A38" t="s">
        <v>27</v>
      </c>
      <c r="B38" t="s">
        <v>68</v>
      </c>
      <c r="C38">
        <v>143</v>
      </c>
      <c r="D38" t="s">
        <v>14</v>
      </c>
      <c r="E38" t="s">
        <v>45</v>
      </c>
      <c r="F38" s="3" t="s">
        <v>406</v>
      </c>
      <c r="G38">
        <v>20018</v>
      </c>
      <c r="H38" t="s">
        <v>219</v>
      </c>
      <c r="I38" t="s">
        <v>222</v>
      </c>
      <c r="J38" t="s">
        <v>95</v>
      </c>
      <c r="K38" t="s">
        <v>95</v>
      </c>
      <c r="L38" t="s">
        <v>407</v>
      </c>
      <c r="M38" t="s">
        <v>95</v>
      </c>
      <c r="N38" t="s">
        <v>95</v>
      </c>
      <c r="O38">
        <v>27</v>
      </c>
      <c r="P38" s="7">
        <v>3917</v>
      </c>
      <c r="Q38">
        <v>0.22</v>
      </c>
      <c r="R38">
        <v>2.4500000000000002</v>
      </c>
      <c r="S38" s="5">
        <f t="shared" si="1"/>
        <v>3.6986301369863014E-2</v>
      </c>
      <c r="T38" t="s">
        <v>16</v>
      </c>
      <c r="U38" t="s">
        <v>16</v>
      </c>
    </row>
    <row r="39" spans="1:21" x14ac:dyDescent="0.3">
      <c r="A39" t="s">
        <v>27</v>
      </c>
      <c r="B39" t="s">
        <v>68</v>
      </c>
      <c r="C39">
        <v>143</v>
      </c>
      <c r="D39" t="s">
        <v>14</v>
      </c>
      <c r="E39" t="s">
        <v>45</v>
      </c>
      <c r="F39" s="3" t="s">
        <v>87</v>
      </c>
      <c r="G39">
        <v>20018</v>
      </c>
      <c r="H39" t="s">
        <v>219</v>
      </c>
      <c r="I39" t="s">
        <v>225</v>
      </c>
      <c r="J39" t="s">
        <v>344</v>
      </c>
      <c r="K39" t="s">
        <v>412</v>
      </c>
      <c r="L39" t="s">
        <v>95</v>
      </c>
      <c r="M39" t="s">
        <v>95</v>
      </c>
      <c r="N39" t="s">
        <v>95</v>
      </c>
      <c r="O39">
        <v>94</v>
      </c>
      <c r="P39" s="7">
        <v>3202</v>
      </c>
      <c r="Q39">
        <v>0.13</v>
      </c>
      <c r="R39">
        <v>1.34</v>
      </c>
      <c r="S39" s="5">
        <f t="shared" si="1"/>
        <v>0.12876712328767123</v>
      </c>
      <c r="T39" t="s">
        <v>16</v>
      </c>
      <c r="U39" t="s">
        <v>16</v>
      </c>
    </row>
    <row r="40" spans="1:21" x14ac:dyDescent="0.3">
      <c r="A40" t="s">
        <v>27</v>
      </c>
      <c r="B40" t="s">
        <v>68</v>
      </c>
      <c r="C40">
        <v>143</v>
      </c>
      <c r="D40" t="s">
        <v>14</v>
      </c>
      <c r="E40" t="s">
        <v>45</v>
      </c>
      <c r="F40" s="3" t="s">
        <v>416</v>
      </c>
      <c r="G40">
        <v>20018</v>
      </c>
      <c r="H40" t="s">
        <v>219</v>
      </c>
      <c r="I40" t="s">
        <v>417</v>
      </c>
      <c r="J40" t="s">
        <v>344</v>
      </c>
      <c r="K40" t="s">
        <v>418</v>
      </c>
      <c r="L40" t="s">
        <v>95</v>
      </c>
      <c r="M40" t="s">
        <v>95</v>
      </c>
      <c r="N40" t="s">
        <v>95</v>
      </c>
      <c r="O40">
        <v>216</v>
      </c>
      <c r="P40" s="7">
        <v>8178</v>
      </c>
      <c r="Q40">
        <v>0.13</v>
      </c>
      <c r="R40">
        <v>1.37</v>
      </c>
      <c r="S40" s="5">
        <f t="shared" si="1"/>
        <v>0.29589041095890412</v>
      </c>
      <c r="T40" t="s">
        <v>16</v>
      </c>
      <c r="U40" t="s">
        <v>16</v>
      </c>
    </row>
    <row r="41" spans="1:21" x14ac:dyDescent="0.3">
      <c r="A41" t="s">
        <v>27</v>
      </c>
      <c r="B41" t="s">
        <v>68</v>
      </c>
      <c r="C41">
        <v>143</v>
      </c>
      <c r="D41" t="s">
        <v>14</v>
      </c>
      <c r="E41" t="s">
        <v>45</v>
      </c>
      <c r="F41" s="3" t="s">
        <v>416</v>
      </c>
      <c r="G41">
        <v>20018</v>
      </c>
      <c r="H41" t="s">
        <v>219</v>
      </c>
      <c r="I41" t="s">
        <v>222</v>
      </c>
      <c r="J41" t="s">
        <v>344</v>
      </c>
      <c r="K41" t="s">
        <v>419</v>
      </c>
      <c r="L41" t="s">
        <v>95</v>
      </c>
      <c r="M41" t="s">
        <v>95</v>
      </c>
      <c r="N41" t="s">
        <v>95</v>
      </c>
      <c r="O41">
        <v>320</v>
      </c>
      <c r="P41" s="7">
        <v>12390</v>
      </c>
      <c r="Q41">
        <v>0.06</v>
      </c>
      <c r="R41">
        <v>1.38</v>
      </c>
      <c r="S41" s="5">
        <f t="shared" si="1"/>
        <v>0.43835616438356162</v>
      </c>
      <c r="T41" t="s">
        <v>16</v>
      </c>
      <c r="U41" t="s">
        <v>16</v>
      </c>
    </row>
    <row r="42" spans="1:21" x14ac:dyDescent="0.3">
      <c r="A42" t="s">
        <v>27</v>
      </c>
      <c r="B42" t="s">
        <v>68</v>
      </c>
      <c r="C42">
        <v>143</v>
      </c>
      <c r="D42" t="s">
        <v>14</v>
      </c>
      <c r="E42" t="s">
        <v>45</v>
      </c>
      <c r="F42" s="3" t="s">
        <v>420</v>
      </c>
      <c r="G42">
        <v>20018</v>
      </c>
      <c r="H42" t="s">
        <v>219</v>
      </c>
      <c r="I42" t="s">
        <v>422</v>
      </c>
      <c r="J42" t="s">
        <v>95</v>
      </c>
      <c r="K42" t="s">
        <v>423</v>
      </c>
      <c r="L42" t="s">
        <v>95</v>
      </c>
      <c r="M42" t="s">
        <v>95</v>
      </c>
      <c r="N42" t="s">
        <v>392</v>
      </c>
      <c r="O42">
        <v>220</v>
      </c>
      <c r="P42" s="7">
        <v>12362</v>
      </c>
      <c r="Q42">
        <v>0.11</v>
      </c>
      <c r="R42">
        <v>1.56</v>
      </c>
      <c r="S42" s="5">
        <f t="shared" si="1"/>
        <v>0.30136986301369861</v>
      </c>
      <c r="T42" t="s">
        <v>16</v>
      </c>
      <c r="U42" t="s">
        <v>16</v>
      </c>
    </row>
    <row r="43" spans="1:21" x14ac:dyDescent="0.3">
      <c r="A43" t="s">
        <v>27</v>
      </c>
      <c r="B43" t="s">
        <v>68</v>
      </c>
      <c r="C43">
        <v>143</v>
      </c>
      <c r="D43" t="s">
        <v>14</v>
      </c>
      <c r="E43" t="s">
        <v>45</v>
      </c>
      <c r="F43" s="3" t="s">
        <v>420</v>
      </c>
      <c r="G43">
        <v>20018</v>
      </c>
      <c r="H43" t="s">
        <v>219</v>
      </c>
      <c r="I43" t="s">
        <v>424</v>
      </c>
      <c r="J43" t="s">
        <v>95</v>
      </c>
      <c r="K43" t="s">
        <v>425</v>
      </c>
      <c r="L43" t="s">
        <v>426</v>
      </c>
      <c r="M43" t="s">
        <v>95</v>
      </c>
      <c r="N43" t="s">
        <v>392</v>
      </c>
      <c r="O43">
        <v>50</v>
      </c>
      <c r="P43" s="7">
        <v>6558</v>
      </c>
      <c r="Q43">
        <v>0.1</v>
      </c>
      <c r="R43">
        <v>2.31</v>
      </c>
      <c r="S43" s="5">
        <f t="shared" ref="S43:S64" si="2">O43/730</f>
        <v>6.8493150684931503E-2</v>
      </c>
      <c r="T43" t="s">
        <v>16</v>
      </c>
      <c r="U43" t="s">
        <v>16</v>
      </c>
    </row>
    <row r="44" spans="1:21" x14ac:dyDescent="0.3">
      <c r="A44" t="s">
        <v>27</v>
      </c>
      <c r="B44" t="s">
        <v>68</v>
      </c>
      <c r="C44">
        <v>143</v>
      </c>
      <c r="D44" t="s">
        <v>14</v>
      </c>
      <c r="E44" t="s">
        <v>45</v>
      </c>
      <c r="F44" s="3" t="s">
        <v>430</v>
      </c>
      <c r="G44">
        <v>20018</v>
      </c>
      <c r="H44" t="s">
        <v>219</v>
      </c>
      <c r="I44" t="s">
        <v>225</v>
      </c>
      <c r="J44" t="s">
        <v>95</v>
      </c>
      <c r="K44" t="s">
        <v>431</v>
      </c>
      <c r="L44" t="s">
        <v>95</v>
      </c>
      <c r="M44" t="s">
        <v>95</v>
      </c>
      <c r="N44" t="s">
        <v>392</v>
      </c>
      <c r="O44">
        <v>127</v>
      </c>
      <c r="P44" s="7">
        <v>6026</v>
      </c>
      <c r="Q44">
        <v>0.1</v>
      </c>
      <c r="R44">
        <v>1.47</v>
      </c>
      <c r="S44" s="5">
        <f t="shared" si="2"/>
        <v>0.17397260273972603</v>
      </c>
      <c r="T44" t="s">
        <v>16</v>
      </c>
      <c r="U44" t="s">
        <v>16</v>
      </c>
    </row>
    <row r="45" spans="1:21" x14ac:dyDescent="0.3">
      <c r="A45" t="s">
        <v>27</v>
      </c>
      <c r="B45" t="s">
        <v>68</v>
      </c>
      <c r="C45">
        <v>143</v>
      </c>
      <c r="D45" t="s">
        <v>14</v>
      </c>
      <c r="E45" t="s">
        <v>45</v>
      </c>
      <c r="F45" s="3" t="s">
        <v>430</v>
      </c>
      <c r="G45">
        <v>20018</v>
      </c>
      <c r="H45" t="s">
        <v>219</v>
      </c>
      <c r="I45" t="s">
        <v>220</v>
      </c>
      <c r="J45" t="s">
        <v>95</v>
      </c>
      <c r="K45" t="s">
        <v>433</v>
      </c>
      <c r="L45" t="s">
        <v>95</v>
      </c>
      <c r="M45" t="s">
        <v>344</v>
      </c>
      <c r="N45" t="s">
        <v>392</v>
      </c>
      <c r="O45">
        <v>178</v>
      </c>
      <c r="P45" s="7">
        <v>8752</v>
      </c>
      <c r="Q45">
        <v>7.0000000000000007E-2</v>
      </c>
      <c r="R45">
        <v>1.49</v>
      </c>
      <c r="S45" s="5">
        <f t="shared" si="2"/>
        <v>0.24383561643835616</v>
      </c>
      <c r="T45" t="s">
        <v>16</v>
      </c>
      <c r="U45" t="s">
        <v>16</v>
      </c>
    </row>
    <row r="46" spans="1:21" x14ac:dyDescent="0.3">
      <c r="A46" t="s">
        <v>27</v>
      </c>
      <c r="B46" t="s">
        <v>68</v>
      </c>
      <c r="C46">
        <v>143</v>
      </c>
      <c r="D46" t="s">
        <v>14</v>
      </c>
      <c r="E46" t="s">
        <v>45</v>
      </c>
      <c r="F46" s="3" t="s">
        <v>439</v>
      </c>
      <c r="G46">
        <v>20018</v>
      </c>
      <c r="H46" t="s">
        <v>219</v>
      </c>
      <c r="I46" t="s">
        <v>220</v>
      </c>
      <c r="J46" t="s">
        <v>95</v>
      </c>
      <c r="K46" t="s">
        <v>95</v>
      </c>
      <c r="L46" t="s">
        <v>440</v>
      </c>
      <c r="M46" t="s">
        <v>95</v>
      </c>
      <c r="N46" t="s">
        <v>392</v>
      </c>
      <c r="O46">
        <v>27</v>
      </c>
      <c r="P46" s="7">
        <v>7298</v>
      </c>
      <c r="Q46">
        <v>0.18</v>
      </c>
      <c r="R46">
        <v>3.7</v>
      </c>
      <c r="S46" s="5">
        <f t="shared" si="2"/>
        <v>3.6986301369863014E-2</v>
      </c>
      <c r="T46" t="s">
        <v>16</v>
      </c>
      <c r="U46" t="s">
        <v>16</v>
      </c>
    </row>
    <row r="47" spans="1:21" x14ac:dyDescent="0.3">
      <c r="A47" t="s">
        <v>27</v>
      </c>
      <c r="B47" t="s">
        <v>68</v>
      </c>
      <c r="C47">
        <v>143</v>
      </c>
      <c r="D47" t="s">
        <v>14</v>
      </c>
      <c r="E47" t="s">
        <v>45</v>
      </c>
      <c r="F47" s="3" t="s">
        <v>446</v>
      </c>
      <c r="G47">
        <v>20018</v>
      </c>
      <c r="H47" t="s">
        <v>219</v>
      </c>
      <c r="I47" t="s">
        <v>222</v>
      </c>
      <c r="J47" t="s">
        <v>95</v>
      </c>
      <c r="K47" t="s">
        <v>447</v>
      </c>
      <c r="L47" t="s">
        <v>95</v>
      </c>
      <c r="M47" t="s">
        <v>445</v>
      </c>
      <c r="N47" t="s">
        <v>95</v>
      </c>
      <c r="O47">
        <v>44</v>
      </c>
      <c r="P47" s="7">
        <v>4207</v>
      </c>
      <c r="Q47">
        <v>0.15</v>
      </c>
      <c r="R47">
        <v>1.95</v>
      </c>
      <c r="S47" s="5">
        <f t="shared" si="2"/>
        <v>6.0273972602739728E-2</v>
      </c>
      <c r="T47" t="s">
        <v>16</v>
      </c>
      <c r="U47" t="s">
        <v>16</v>
      </c>
    </row>
    <row r="48" spans="1:21" x14ac:dyDescent="0.3">
      <c r="A48" t="s">
        <v>27</v>
      </c>
      <c r="B48" t="s">
        <v>68</v>
      </c>
      <c r="C48">
        <v>143</v>
      </c>
      <c r="D48" t="s">
        <v>14</v>
      </c>
      <c r="E48" t="s">
        <v>45</v>
      </c>
      <c r="F48" s="3" t="s">
        <v>451</v>
      </c>
      <c r="G48">
        <v>20018</v>
      </c>
      <c r="H48" t="s">
        <v>219</v>
      </c>
      <c r="I48" t="s">
        <v>453</v>
      </c>
      <c r="J48" t="s">
        <v>95</v>
      </c>
      <c r="K48" t="s">
        <v>455</v>
      </c>
      <c r="L48" t="s">
        <v>95</v>
      </c>
      <c r="M48" t="s">
        <v>445</v>
      </c>
      <c r="N48" t="s">
        <v>454</v>
      </c>
      <c r="O48">
        <v>228</v>
      </c>
      <c r="P48" s="7">
        <v>9402</v>
      </c>
      <c r="Q48">
        <v>0.06</v>
      </c>
      <c r="R48">
        <v>1.41</v>
      </c>
      <c r="S48" s="5">
        <f t="shared" si="2"/>
        <v>0.31232876712328766</v>
      </c>
      <c r="T48" t="s">
        <v>16</v>
      </c>
      <c r="U48" t="s">
        <v>16</v>
      </c>
    </row>
    <row r="49" spans="1:21" x14ac:dyDescent="0.3">
      <c r="A49" t="s">
        <v>27</v>
      </c>
      <c r="B49" t="s">
        <v>459</v>
      </c>
      <c r="C49">
        <v>143</v>
      </c>
      <c r="D49" t="s">
        <v>14</v>
      </c>
      <c r="E49" t="s">
        <v>45</v>
      </c>
      <c r="F49" s="3" t="s">
        <v>111</v>
      </c>
      <c r="G49">
        <v>20018</v>
      </c>
      <c r="H49" t="s">
        <v>219</v>
      </c>
      <c r="I49" t="s">
        <v>220</v>
      </c>
      <c r="J49" t="s">
        <v>95</v>
      </c>
      <c r="K49" t="s">
        <v>95</v>
      </c>
      <c r="L49" t="s">
        <v>460</v>
      </c>
      <c r="M49" t="s">
        <v>445</v>
      </c>
      <c r="N49" t="s">
        <v>95</v>
      </c>
      <c r="O49">
        <v>102</v>
      </c>
      <c r="P49" s="7">
        <v>11266</v>
      </c>
      <c r="Q49">
        <v>7.0000000000000007E-2</v>
      </c>
      <c r="R49">
        <v>2.1</v>
      </c>
      <c r="S49" s="5">
        <f t="shared" si="2"/>
        <v>0.13972602739726028</v>
      </c>
      <c r="T49" t="s">
        <v>16</v>
      </c>
      <c r="U49" t="s">
        <v>16</v>
      </c>
    </row>
    <row r="50" spans="1:21" x14ac:dyDescent="0.3">
      <c r="A50" t="s">
        <v>27</v>
      </c>
      <c r="B50" t="s">
        <v>459</v>
      </c>
      <c r="C50">
        <v>143</v>
      </c>
      <c r="D50" t="s">
        <v>14</v>
      </c>
      <c r="E50" t="s">
        <v>45</v>
      </c>
      <c r="F50" s="3" t="s">
        <v>461</v>
      </c>
      <c r="G50">
        <v>20018</v>
      </c>
      <c r="H50" t="s">
        <v>219</v>
      </c>
      <c r="I50" t="s">
        <v>220</v>
      </c>
      <c r="J50" t="s">
        <v>95</v>
      </c>
      <c r="K50" t="s">
        <v>95</v>
      </c>
      <c r="L50" t="s">
        <v>462</v>
      </c>
      <c r="M50" t="s">
        <v>445</v>
      </c>
      <c r="N50" t="s">
        <v>95</v>
      </c>
      <c r="O50">
        <v>58</v>
      </c>
      <c r="P50" s="7">
        <v>14839</v>
      </c>
      <c r="Q50">
        <v>0.1</v>
      </c>
      <c r="R50">
        <v>3.55</v>
      </c>
      <c r="S50" s="5">
        <f t="shared" si="2"/>
        <v>7.9452054794520555E-2</v>
      </c>
      <c r="T50" t="s">
        <v>16</v>
      </c>
      <c r="U50" t="s">
        <v>16</v>
      </c>
    </row>
    <row r="51" spans="1:21" x14ac:dyDescent="0.3">
      <c r="A51" t="s">
        <v>27</v>
      </c>
      <c r="B51" t="s">
        <v>68</v>
      </c>
      <c r="C51">
        <v>143</v>
      </c>
      <c r="D51" t="s">
        <v>14</v>
      </c>
      <c r="E51" t="s">
        <v>45</v>
      </c>
      <c r="F51" s="3" t="s">
        <v>474</v>
      </c>
      <c r="G51">
        <v>20018</v>
      </c>
      <c r="H51" t="s">
        <v>219</v>
      </c>
      <c r="I51" t="s">
        <v>220</v>
      </c>
      <c r="J51" t="s">
        <v>95</v>
      </c>
      <c r="K51" t="s">
        <v>95</v>
      </c>
      <c r="L51" t="s">
        <v>475</v>
      </c>
      <c r="M51" t="s">
        <v>95</v>
      </c>
      <c r="N51" t="s">
        <v>95</v>
      </c>
      <c r="O51">
        <v>170</v>
      </c>
      <c r="P51" s="7">
        <v>11067</v>
      </c>
      <c r="Q51">
        <v>7.0000000000000007E-2</v>
      </c>
      <c r="R51">
        <v>1.65</v>
      </c>
      <c r="S51" s="5">
        <f t="shared" si="2"/>
        <v>0.23287671232876711</v>
      </c>
      <c r="T51" t="s">
        <v>16</v>
      </c>
      <c r="U51" t="s">
        <v>16</v>
      </c>
    </row>
    <row r="52" spans="1:21" x14ac:dyDescent="0.3">
      <c r="A52" t="s">
        <v>27</v>
      </c>
      <c r="B52" t="s">
        <v>68</v>
      </c>
      <c r="C52">
        <v>143</v>
      </c>
      <c r="D52" t="s">
        <v>14</v>
      </c>
      <c r="E52" t="s">
        <v>45</v>
      </c>
      <c r="F52" s="3" t="s">
        <v>479</v>
      </c>
      <c r="G52">
        <v>20018</v>
      </c>
      <c r="H52" t="s">
        <v>219</v>
      </c>
      <c r="I52" t="s">
        <v>220</v>
      </c>
      <c r="J52" t="s">
        <v>95</v>
      </c>
      <c r="K52" t="s">
        <v>480</v>
      </c>
      <c r="L52" t="s">
        <v>477</v>
      </c>
      <c r="M52" t="s">
        <v>95</v>
      </c>
      <c r="N52" t="s">
        <v>95</v>
      </c>
      <c r="O52">
        <v>267</v>
      </c>
      <c r="P52" s="7">
        <v>14597</v>
      </c>
      <c r="Q52">
        <v>0.08</v>
      </c>
      <c r="R52">
        <v>1.54</v>
      </c>
      <c r="S52" s="5">
        <f t="shared" si="2"/>
        <v>0.36575342465753424</v>
      </c>
      <c r="T52" t="s">
        <v>16</v>
      </c>
      <c r="U52" t="s">
        <v>16</v>
      </c>
    </row>
    <row r="53" spans="1:21" x14ac:dyDescent="0.3">
      <c r="A53" t="s">
        <v>27</v>
      </c>
      <c r="B53" t="s">
        <v>68</v>
      </c>
      <c r="C53">
        <v>143</v>
      </c>
      <c r="D53" t="s">
        <v>14</v>
      </c>
      <c r="E53" t="s">
        <v>45</v>
      </c>
      <c r="F53" s="3" t="s">
        <v>490</v>
      </c>
      <c r="G53">
        <v>20018</v>
      </c>
      <c r="H53" t="s">
        <v>219</v>
      </c>
      <c r="I53" t="s">
        <v>220</v>
      </c>
      <c r="J53" t="s">
        <v>95</v>
      </c>
      <c r="K53" t="s">
        <v>95</v>
      </c>
      <c r="L53" t="s">
        <v>491</v>
      </c>
      <c r="M53" t="s">
        <v>95</v>
      </c>
      <c r="N53" t="s">
        <v>477</v>
      </c>
      <c r="O53">
        <v>69</v>
      </c>
      <c r="P53" s="7">
        <v>9046</v>
      </c>
      <c r="Q53">
        <v>0.1</v>
      </c>
      <c r="R53">
        <v>2.31</v>
      </c>
      <c r="S53" s="5">
        <f t="shared" si="2"/>
        <v>9.452054794520548E-2</v>
      </c>
      <c r="T53" t="s">
        <v>16</v>
      </c>
      <c r="U53" t="s">
        <v>16</v>
      </c>
    </row>
    <row r="54" spans="1:21" x14ac:dyDescent="0.3">
      <c r="A54" t="s">
        <v>27</v>
      </c>
      <c r="B54" t="s">
        <v>68</v>
      </c>
      <c r="C54">
        <v>143</v>
      </c>
      <c r="D54" t="s">
        <v>14</v>
      </c>
      <c r="E54" t="s">
        <v>45</v>
      </c>
      <c r="F54" s="3" t="s">
        <v>494</v>
      </c>
      <c r="G54">
        <v>20018</v>
      </c>
      <c r="H54" t="s">
        <v>219</v>
      </c>
      <c r="I54" t="s">
        <v>220</v>
      </c>
      <c r="J54" t="s">
        <v>95</v>
      </c>
      <c r="K54" t="s">
        <v>496</v>
      </c>
      <c r="L54" t="s">
        <v>95</v>
      </c>
      <c r="M54" t="s">
        <v>95</v>
      </c>
      <c r="N54" t="s">
        <v>495</v>
      </c>
      <c r="O54">
        <v>30</v>
      </c>
      <c r="P54" s="7">
        <v>8117</v>
      </c>
      <c r="Q54">
        <v>0.1</v>
      </c>
      <c r="R54">
        <v>3.7</v>
      </c>
      <c r="S54" s="5">
        <f t="shared" si="2"/>
        <v>4.1095890410958902E-2</v>
      </c>
      <c r="T54" t="s">
        <v>16</v>
      </c>
      <c r="U54" t="s">
        <v>16</v>
      </c>
    </row>
    <row r="55" spans="1:21" x14ac:dyDescent="0.3">
      <c r="A55" t="s">
        <v>27</v>
      </c>
      <c r="B55" t="s">
        <v>68</v>
      </c>
      <c r="C55">
        <v>143</v>
      </c>
      <c r="D55" t="s">
        <v>14</v>
      </c>
      <c r="E55" t="s">
        <v>45</v>
      </c>
      <c r="F55" s="3" t="s">
        <v>497</v>
      </c>
      <c r="G55">
        <v>20018</v>
      </c>
      <c r="H55" t="s">
        <v>219</v>
      </c>
      <c r="I55" t="s">
        <v>220</v>
      </c>
      <c r="J55" t="s">
        <v>95</v>
      </c>
      <c r="K55" t="s">
        <v>498</v>
      </c>
      <c r="L55" t="s">
        <v>95</v>
      </c>
      <c r="M55" t="s">
        <v>95</v>
      </c>
      <c r="N55" t="s">
        <v>495</v>
      </c>
      <c r="O55">
        <v>104</v>
      </c>
      <c r="P55" s="7">
        <v>13007</v>
      </c>
      <c r="Q55">
        <v>0.05</v>
      </c>
      <c r="R55">
        <v>2.25</v>
      </c>
      <c r="S55" s="5">
        <f t="shared" si="2"/>
        <v>0.14246575342465753</v>
      </c>
      <c r="T55" t="s">
        <v>16</v>
      </c>
      <c r="U55" t="s">
        <v>16</v>
      </c>
    </row>
    <row r="56" spans="1:21" x14ac:dyDescent="0.3">
      <c r="A56" t="s">
        <v>27</v>
      </c>
      <c r="B56" t="s">
        <v>68</v>
      </c>
      <c r="C56">
        <v>143</v>
      </c>
      <c r="D56" t="s">
        <v>14</v>
      </c>
      <c r="E56" t="s">
        <v>45</v>
      </c>
      <c r="F56" s="3" t="s">
        <v>499</v>
      </c>
      <c r="G56">
        <v>20018</v>
      </c>
      <c r="H56" t="s">
        <v>219</v>
      </c>
      <c r="I56" t="s">
        <v>500</v>
      </c>
      <c r="J56" t="s">
        <v>95</v>
      </c>
      <c r="K56" t="s">
        <v>501</v>
      </c>
      <c r="L56" t="s">
        <v>95</v>
      </c>
      <c r="M56" t="s">
        <v>95</v>
      </c>
      <c r="N56" t="s">
        <v>495</v>
      </c>
      <c r="O56">
        <v>63</v>
      </c>
      <c r="P56" s="7">
        <v>9637</v>
      </c>
      <c r="Q56">
        <v>0.09</v>
      </c>
      <c r="R56">
        <v>2.52</v>
      </c>
      <c r="S56" s="5">
        <f t="shared" si="2"/>
        <v>8.6301369863013705E-2</v>
      </c>
      <c r="T56" t="s">
        <v>16</v>
      </c>
      <c r="U56" t="s">
        <v>16</v>
      </c>
    </row>
    <row r="57" spans="1:21" x14ac:dyDescent="0.3">
      <c r="A57" t="s">
        <v>27</v>
      </c>
      <c r="B57" t="s">
        <v>68</v>
      </c>
      <c r="C57">
        <v>143</v>
      </c>
      <c r="D57" t="s">
        <v>14</v>
      </c>
      <c r="E57" t="s">
        <v>45</v>
      </c>
      <c r="F57" s="3" t="s">
        <v>504</v>
      </c>
      <c r="G57">
        <v>20018</v>
      </c>
      <c r="H57" t="s">
        <v>219</v>
      </c>
      <c r="I57" t="s">
        <v>220</v>
      </c>
      <c r="J57" t="s">
        <v>95</v>
      </c>
      <c r="K57" t="s">
        <v>477</v>
      </c>
      <c r="L57" t="s">
        <v>506</v>
      </c>
      <c r="M57" t="s">
        <v>95</v>
      </c>
      <c r="N57" t="s">
        <v>95</v>
      </c>
      <c r="O57">
        <v>70</v>
      </c>
      <c r="P57" s="7">
        <v>8398</v>
      </c>
      <c r="Q57">
        <v>7.0000000000000007E-2</v>
      </c>
      <c r="R57">
        <v>2.19</v>
      </c>
      <c r="S57" s="5">
        <f t="shared" si="2"/>
        <v>9.5890410958904104E-2</v>
      </c>
      <c r="T57" t="s">
        <v>16</v>
      </c>
      <c r="U57" t="s">
        <v>16</v>
      </c>
    </row>
    <row r="58" spans="1:21" x14ac:dyDescent="0.3">
      <c r="A58" t="s">
        <v>27</v>
      </c>
      <c r="B58" t="s">
        <v>68</v>
      </c>
      <c r="C58">
        <v>143</v>
      </c>
      <c r="D58" t="s">
        <v>14</v>
      </c>
      <c r="E58" t="s">
        <v>45</v>
      </c>
      <c r="F58" s="3" t="s">
        <v>145</v>
      </c>
      <c r="G58">
        <v>20018</v>
      </c>
      <c r="H58" t="s">
        <v>219</v>
      </c>
      <c r="I58" t="s">
        <v>507</v>
      </c>
      <c r="J58" t="s">
        <v>95</v>
      </c>
      <c r="K58" t="s">
        <v>477</v>
      </c>
      <c r="L58" t="s">
        <v>508</v>
      </c>
      <c r="M58" t="s">
        <v>95</v>
      </c>
      <c r="N58" t="s">
        <v>95</v>
      </c>
      <c r="O58">
        <v>21</v>
      </c>
      <c r="P58" s="7">
        <v>9769</v>
      </c>
      <c r="Q58">
        <v>0.23</v>
      </c>
      <c r="R58">
        <v>5.65</v>
      </c>
      <c r="S58" s="5">
        <f t="shared" si="2"/>
        <v>2.8767123287671233E-2</v>
      </c>
      <c r="T58" t="s">
        <v>16</v>
      </c>
      <c r="U58" t="s">
        <v>16</v>
      </c>
    </row>
    <row r="59" spans="1:21" x14ac:dyDescent="0.3">
      <c r="A59" t="s">
        <v>27</v>
      </c>
      <c r="B59" t="s">
        <v>68</v>
      </c>
      <c r="C59">
        <v>143</v>
      </c>
      <c r="D59" t="s">
        <v>14</v>
      </c>
      <c r="E59" t="s">
        <v>45</v>
      </c>
      <c r="F59" s="3" t="s">
        <v>145</v>
      </c>
      <c r="G59">
        <v>20018</v>
      </c>
      <c r="H59" t="s">
        <v>219</v>
      </c>
      <c r="I59" t="s">
        <v>220</v>
      </c>
      <c r="J59" t="s">
        <v>95</v>
      </c>
      <c r="K59" t="s">
        <v>477</v>
      </c>
      <c r="L59" t="s">
        <v>509</v>
      </c>
      <c r="M59" t="s">
        <v>95</v>
      </c>
      <c r="N59" t="s">
        <v>95</v>
      </c>
      <c r="O59">
        <v>74</v>
      </c>
      <c r="P59" s="7">
        <v>1799</v>
      </c>
      <c r="Q59">
        <v>0.1</v>
      </c>
      <c r="R59">
        <v>1.24</v>
      </c>
      <c r="S59" s="5">
        <f t="shared" si="2"/>
        <v>0.10136986301369863</v>
      </c>
      <c r="T59" t="s">
        <v>16</v>
      </c>
      <c r="U59" t="s">
        <v>16</v>
      </c>
    </row>
    <row r="60" spans="1:21" x14ac:dyDescent="0.3">
      <c r="A60" t="s">
        <v>27</v>
      </c>
      <c r="B60" t="s">
        <v>512</v>
      </c>
      <c r="C60">
        <v>143</v>
      </c>
      <c r="D60" t="s">
        <v>14</v>
      </c>
      <c r="E60" t="s">
        <v>45</v>
      </c>
      <c r="F60" s="3" t="s">
        <v>515</v>
      </c>
      <c r="G60">
        <v>20018</v>
      </c>
      <c r="H60" t="s">
        <v>219</v>
      </c>
      <c r="I60" t="s">
        <v>220</v>
      </c>
      <c r="J60" t="s">
        <v>95</v>
      </c>
      <c r="K60" t="s">
        <v>516</v>
      </c>
      <c r="L60" t="s">
        <v>95</v>
      </c>
      <c r="M60" t="s">
        <v>344</v>
      </c>
      <c r="N60" t="s">
        <v>392</v>
      </c>
      <c r="O60">
        <v>67</v>
      </c>
      <c r="P60" s="7">
        <v>20398</v>
      </c>
      <c r="Q60">
        <v>0.1</v>
      </c>
      <c r="R60">
        <v>4.04</v>
      </c>
      <c r="S60" s="5">
        <f t="shared" si="2"/>
        <v>9.1780821917808217E-2</v>
      </c>
      <c r="T60" t="s">
        <v>16</v>
      </c>
      <c r="U60" t="s">
        <v>16</v>
      </c>
    </row>
    <row r="61" spans="1:21" x14ac:dyDescent="0.3">
      <c r="A61" t="s">
        <v>27</v>
      </c>
      <c r="B61" t="s">
        <v>47</v>
      </c>
      <c r="C61">
        <v>143</v>
      </c>
      <c r="D61" t="s">
        <v>14</v>
      </c>
      <c r="E61" t="s">
        <v>45</v>
      </c>
      <c r="F61" s="3" t="s">
        <v>519</v>
      </c>
      <c r="G61">
        <v>20018</v>
      </c>
      <c r="H61" t="s">
        <v>219</v>
      </c>
      <c r="I61" t="s">
        <v>220</v>
      </c>
      <c r="J61" t="s">
        <v>95</v>
      </c>
      <c r="K61" t="s">
        <v>477</v>
      </c>
      <c r="L61" t="s">
        <v>520</v>
      </c>
      <c r="M61" t="s">
        <v>344</v>
      </c>
      <c r="N61" t="s">
        <v>392</v>
      </c>
      <c r="O61">
        <v>93</v>
      </c>
      <c r="P61" s="7">
        <v>6745</v>
      </c>
      <c r="Q61">
        <v>7.0000000000000007E-2</v>
      </c>
      <c r="R61">
        <v>1.72</v>
      </c>
      <c r="S61" s="5">
        <f t="shared" si="2"/>
        <v>0.12739726027397261</v>
      </c>
      <c r="T61" t="s">
        <v>16</v>
      </c>
      <c r="U61" t="s">
        <v>16</v>
      </c>
    </row>
    <row r="62" spans="1:21" x14ac:dyDescent="0.3">
      <c r="A62" t="s">
        <v>27</v>
      </c>
      <c r="B62" t="s">
        <v>68</v>
      </c>
      <c r="C62">
        <v>143</v>
      </c>
      <c r="D62" t="s">
        <v>14</v>
      </c>
      <c r="E62" t="s">
        <v>45</v>
      </c>
      <c r="F62" s="3" t="s">
        <v>523</v>
      </c>
      <c r="G62">
        <v>20018</v>
      </c>
      <c r="H62" t="s">
        <v>219</v>
      </c>
      <c r="I62" t="s">
        <v>220</v>
      </c>
      <c r="J62" t="s">
        <v>95</v>
      </c>
      <c r="K62" t="s">
        <v>524</v>
      </c>
      <c r="L62" t="s">
        <v>477</v>
      </c>
      <c r="M62" t="s">
        <v>344</v>
      </c>
      <c r="N62" t="s">
        <v>392</v>
      </c>
      <c r="O62">
        <v>28</v>
      </c>
      <c r="P62" s="7">
        <v>7788</v>
      </c>
      <c r="Q62">
        <v>0.14000000000000001</v>
      </c>
      <c r="R62">
        <v>3.78</v>
      </c>
      <c r="S62" s="5">
        <f t="shared" si="2"/>
        <v>3.8356164383561646E-2</v>
      </c>
      <c r="T62" t="s">
        <v>16</v>
      </c>
      <c r="U62" t="s">
        <v>16</v>
      </c>
    </row>
    <row r="63" spans="1:21" x14ac:dyDescent="0.3">
      <c r="A63" t="s">
        <v>27</v>
      </c>
      <c r="B63" t="s">
        <v>68</v>
      </c>
      <c r="C63">
        <v>143</v>
      </c>
      <c r="D63" t="s">
        <v>14</v>
      </c>
      <c r="E63" t="s">
        <v>45</v>
      </c>
      <c r="F63" s="3" t="s">
        <v>157</v>
      </c>
      <c r="G63">
        <v>20018</v>
      </c>
      <c r="H63" t="s">
        <v>219</v>
      </c>
      <c r="I63" t="s">
        <v>220</v>
      </c>
      <c r="J63" t="s">
        <v>95</v>
      </c>
      <c r="K63" t="s">
        <v>527</v>
      </c>
      <c r="L63" t="s">
        <v>477</v>
      </c>
      <c r="M63" t="s">
        <v>344</v>
      </c>
      <c r="N63" t="s">
        <v>392</v>
      </c>
      <c r="O63">
        <v>75</v>
      </c>
      <c r="P63" s="7">
        <v>9844</v>
      </c>
      <c r="Q63">
        <v>0.13</v>
      </c>
      <c r="R63">
        <v>2.31</v>
      </c>
      <c r="S63" s="5">
        <f t="shared" si="2"/>
        <v>0.10273972602739725</v>
      </c>
      <c r="T63" t="s">
        <v>16</v>
      </c>
      <c r="U63" t="s">
        <v>16</v>
      </c>
    </row>
    <row r="64" spans="1:21" x14ac:dyDescent="0.3">
      <c r="A64" t="s">
        <v>27</v>
      </c>
      <c r="B64" t="s">
        <v>536</v>
      </c>
      <c r="C64">
        <v>143</v>
      </c>
      <c r="D64" t="s">
        <v>14</v>
      </c>
      <c r="E64" t="s">
        <v>45</v>
      </c>
      <c r="F64" s="3" t="s">
        <v>537</v>
      </c>
      <c r="G64">
        <v>20018</v>
      </c>
      <c r="H64" t="s">
        <v>219</v>
      </c>
      <c r="I64" t="s">
        <v>222</v>
      </c>
      <c r="J64" t="s">
        <v>534</v>
      </c>
      <c r="K64" t="s">
        <v>538</v>
      </c>
      <c r="L64" t="s">
        <v>477</v>
      </c>
      <c r="M64" t="s">
        <v>344</v>
      </c>
      <c r="N64" t="s">
        <v>95</v>
      </c>
      <c r="O64">
        <v>65</v>
      </c>
      <c r="P64" s="7">
        <v>3144</v>
      </c>
      <c r="Q64">
        <v>0.12</v>
      </c>
      <c r="R64">
        <v>1.48</v>
      </c>
      <c r="S64" s="5">
        <f t="shared" si="2"/>
        <v>8.9041095890410954E-2</v>
      </c>
      <c r="T64" t="s">
        <v>16</v>
      </c>
      <c r="U64" t="s">
        <v>16</v>
      </c>
    </row>
    <row r="65" spans="1:21" x14ac:dyDescent="0.3">
      <c r="A65" t="s">
        <v>27</v>
      </c>
      <c r="B65" t="s">
        <v>536</v>
      </c>
      <c r="C65">
        <v>143</v>
      </c>
      <c r="D65" t="s">
        <v>14</v>
      </c>
      <c r="E65" t="s">
        <v>45</v>
      </c>
      <c r="F65" s="3" t="s">
        <v>559</v>
      </c>
      <c r="G65">
        <v>20018</v>
      </c>
      <c r="H65" t="s">
        <v>219</v>
      </c>
      <c r="I65" t="s">
        <v>220</v>
      </c>
      <c r="J65" t="s">
        <v>95</v>
      </c>
      <c r="K65" t="s">
        <v>539</v>
      </c>
      <c r="L65" t="s">
        <v>560</v>
      </c>
      <c r="M65" t="s">
        <v>95</v>
      </c>
      <c r="N65" t="s">
        <v>95</v>
      </c>
      <c r="O65">
        <v>29</v>
      </c>
      <c r="P65" s="7">
        <v>2916</v>
      </c>
      <c r="Q65">
        <v>0.1</v>
      </c>
      <c r="R65">
        <v>2</v>
      </c>
      <c r="S65" s="5">
        <f t="shared" ref="S65:S71" si="3">O65/730</f>
        <v>3.9726027397260277E-2</v>
      </c>
      <c r="T65" t="s">
        <v>16</v>
      </c>
      <c r="U65" t="s">
        <v>16</v>
      </c>
    </row>
    <row r="66" spans="1:21" x14ac:dyDescent="0.3">
      <c r="A66" t="s">
        <v>27</v>
      </c>
      <c r="B66" t="s">
        <v>536</v>
      </c>
      <c r="C66">
        <v>143</v>
      </c>
      <c r="D66" t="s">
        <v>14</v>
      </c>
      <c r="E66" t="s">
        <v>45</v>
      </c>
      <c r="F66" s="3" t="s">
        <v>561</v>
      </c>
      <c r="G66">
        <v>20018</v>
      </c>
      <c r="H66" t="s">
        <v>219</v>
      </c>
      <c r="I66" t="s">
        <v>220</v>
      </c>
      <c r="J66" t="s">
        <v>95</v>
      </c>
      <c r="K66" t="s">
        <v>539</v>
      </c>
      <c r="L66" t="s">
        <v>562</v>
      </c>
      <c r="M66" t="s">
        <v>95</v>
      </c>
      <c r="N66" t="s">
        <v>95</v>
      </c>
      <c r="O66">
        <v>12</v>
      </c>
      <c r="P66" s="7">
        <v>5869</v>
      </c>
      <c r="Q66">
        <v>0.33</v>
      </c>
      <c r="R66">
        <v>5.89</v>
      </c>
      <c r="S66" s="5">
        <f t="shared" si="3"/>
        <v>1.643835616438356E-2</v>
      </c>
      <c r="T66" t="s">
        <v>16</v>
      </c>
      <c r="U66" t="s">
        <v>16</v>
      </c>
    </row>
    <row r="67" spans="1:21" x14ac:dyDescent="0.3">
      <c r="A67" t="s">
        <v>27</v>
      </c>
      <c r="B67" t="s">
        <v>536</v>
      </c>
      <c r="C67">
        <v>143</v>
      </c>
      <c r="D67" t="s">
        <v>14</v>
      </c>
      <c r="E67" t="s">
        <v>45</v>
      </c>
      <c r="F67" s="3" t="s">
        <v>568</v>
      </c>
      <c r="G67">
        <v>20018</v>
      </c>
      <c r="H67" t="s">
        <v>219</v>
      </c>
      <c r="I67" t="s">
        <v>220</v>
      </c>
      <c r="J67" t="s">
        <v>95</v>
      </c>
      <c r="K67" t="s">
        <v>539</v>
      </c>
      <c r="L67" t="s">
        <v>569</v>
      </c>
      <c r="M67" t="s">
        <v>477</v>
      </c>
      <c r="N67" t="s">
        <v>95</v>
      </c>
      <c r="O67">
        <v>55</v>
      </c>
      <c r="P67" s="7">
        <v>12318</v>
      </c>
      <c r="Q67">
        <v>0.09</v>
      </c>
      <c r="R67">
        <v>3.23</v>
      </c>
      <c r="S67" s="5">
        <f t="shared" si="3"/>
        <v>7.5342465753424653E-2</v>
      </c>
      <c r="T67" t="s">
        <v>16</v>
      </c>
      <c r="U67" t="s">
        <v>16</v>
      </c>
    </row>
    <row r="68" spans="1:21" x14ac:dyDescent="0.3">
      <c r="A68" t="s">
        <v>27</v>
      </c>
      <c r="B68" t="s">
        <v>536</v>
      </c>
      <c r="C68">
        <v>143</v>
      </c>
      <c r="D68" t="s">
        <v>182</v>
      </c>
      <c r="E68" t="s">
        <v>45</v>
      </c>
      <c r="F68" s="3" t="s">
        <v>576</v>
      </c>
      <c r="G68">
        <v>20018</v>
      </c>
      <c r="H68" t="s">
        <v>219</v>
      </c>
      <c r="I68" t="s">
        <v>225</v>
      </c>
      <c r="J68" t="s">
        <v>95</v>
      </c>
      <c r="K68" t="s">
        <v>539</v>
      </c>
      <c r="L68" t="s">
        <v>577</v>
      </c>
      <c r="M68" t="s">
        <v>477</v>
      </c>
      <c r="N68" t="s">
        <v>95</v>
      </c>
      <c r="O68">
        <v>390</v>
      </c>
      <c r="P68" s="7">
        <v>16432</v>
      </c>
      <c r="Q68">
        <v>0.08</v>
      </c>
      <c r="R68">
        <v>1.42</v>
      </c>
      <c r="S68" s="5">
        <f t="shared" si="3"/>
        <v>0.53424657534246578</v>
      </c>
      <c r="T68" t="s">
        <v>16</v>
      </c>
      <c r="U68" t="s">
        <v>16</v>
      </c>
    </row>
    <row r="69" spans="1:21" x14ac:dyDescent="0.3">
      <c r="A69" t="s">
        <v>27</v>
      </c>
      <c r="B69" t="s">
        <v>536</v>
      </c>
      <c r="C69">
        <v>143</v>
      </c>
      <c r="D69" t="s">
        <v>182</v>
      </c>
      <c r="E69" t="s">
        <v>45</v>
      </c>
      <c r="F69" s="3" t="s">
        <v>576</v>
      </c>
      <c r="G69">
        <v>20018</v>
      </c>
      <c r="H69" t="s">
        <v>219</v>
      </c>
      <c r="I69" t="s">
        <v>222</v>
      </c>
      <c r="J69" t="s">
        <v>95</v>
      </c>
      <c r="K69" t="s">
        <v>539</v>
      </c>
      <c r="L69" t="s">
        <v>578</v>
      </c>
      <c r="M69" t="s">
        <v>477</v>
      </c>
      <c r="N69" t="s">
        <v>95</v>
      </c>
      <c r="O69">
        <v>140</v>
      </c>
      <c r="P69" s="7">
        <v>9157</v>
      </c>
      <c r="Q69">
        <v>7.0000000000000007E-2</v>
      </c>
      <c r="R69">
        <v>1.65</v>
      </c>
      <c r="S69" s="5">
        <f t="shared" si="3"/>
        <v>0.19178082191780821</v>
      </c>
      <c r="T69" t="s">
        <v>16</v>
      </c>
      <c r="U69" t="s">
        <v>16</v>
      </c>
    </row>
    <row r="70" spans="1:21" x14ac:dyDescent="0.3">
      <c r="A70" t="s">
        <v>27</v>
      </c>
      <c r="B70" t="s">
        <v>536</v>
      </c>
      <c r="C70">
        <v>143</v>
      </c>
      <c r="D70" t="s">
        <v>182</v>
      </c>
      <c r="E70" t="s">
        <v>45</v>
      </c>
      <c r="F70" s="3" t="s">
        <v>183</v>
      </c>
      <c r="G70">
        <v>20018</v>
      </c>
      <c r="H70" t="s">
        <v>219</v>
      </c>
      <c r="I70" t="s">
        <v>222</v>
      </c>
      <c r="J70" t="s">
        <v>95</v>
      </c>
      <c r="K70" t="s">
        <v>580</v>
      </c>
      <c r="L70" t="s">
        <v>579</v>
      </c>
      <c r="M70" t="s">
        <v>477</v>
      </c>
      <c r="N70" t="s">
        <v>95</v>
      </c>
      <c r="O70">
        <v>38</v>
      </c>
      <c r="P70" s="7">
        <v>5246</v>
      </c>
      <c r="Q70">
        <v>0.15</v>
      </c>
      <c r="R70">
        <v>2.38</v>
      </c>
      <c r="S70" s="5">
        <f t="shared" si="3"/>
        <v>5.2054794520547946E-2</v>
      </c>
      <c r="T70" t="s">
        <v>16</v>
      </c>
      <c r="U70" t="s">
        <v>16</v>
      </c>
    </row>
    <row r="71" spans="1:21" x14ac:dyDescent="0.3">
      <c r="A71" t="s">
        <v>27</v>
      </c>
      <c r="B71" t="s">
        <v>536</v>
      </c>
      <c r="C71">
        <v>143</v>
      </c>
      <c r="D71" t="s">
        <v>182</v>
      </c>
      <c r="E71" t="s">
        <v>45</v>
      </c>
      <c r="F71" s="3" t="s">
        <v>590</v>
      </c>
      <c r="G71">
        <v>20018</v>
      </c>
      <c r="H71" t="s">
        <v>219</v>
      </c>
      <c r="I71" t="s">
        <v>591</v>
      </c>
      <c r="J71" t="s">
        <v>95</v>
      </c>
      <c r="K71" t="s">
        <v>592</v>
      </c>
      <c r="L71" t="s">
        <v>579</v>
      </c>
      <c r="M71" t="s">
        <v>95</v>
      </c>
      <c r="N71" t="s">
        <v>95</v>
      </c>
      <c r="O71">
        <v>59</v>
      </c>
      <c r="P71" s="7">
        <v>8827</v>
      </c>
      <c r="Q71">
        <v>0.1</v>
      </c>
      <c r="R71">
        <v>2.4900000000000002</v>
      </c>
      <c r="S71" s="5">
        <f t="shared" si="3"/>
        <v>8.0821917808219179E-2</v>
      </c>
      <c r="T71" t="s">
        <v>16</v>
      </c>
      <c r="U71" t="s">
        <v>16</v>
      </c>
    </row>
    <row r="72" spans="1:21" x14ac:dyDescent="0.3">
      <c r="A72" t="s">
        <v>27</v>
      </c>
      <c r="B72" t="s">
        <v>536</v>
      </c>
      <c r="C72">
        <v>143</v>
      </c>
      <c r="D72" t="s">
        <v>14</v>
      </c>
      <c r="E72" t="s">
        <v>570</v>
      </c>
      <c r="F72" s="3" t="s">
        <v>571</v>
      </c>
      <c r="G72">
        <v>20018</v>
      </c>
      <c r="H72" t="s">
        <v>219</v>
      </c>
      <c r="I72" t="s">
        <v>220</v>
      </c>
      <c r="J72" t="s">
        <v>95</v>
      </c>
      <c r="K72" t="s">
        <v>575</v>
      </c>
      <c r="L72" t="s">
        <v>572</v>
      </c>
      <c r="M72" t="s">
        <v>574</v>
      </c>
      <c r="N72" t="s">
        <v>95</v>
      </c>
      <c r="O72">
        <v>178</v>
      </c>
      <c r="P72" s="7">
        <v>5703</v>
      </c>
      <c r="Q72">
        <v>0.11</v>
      </c>
      <c r="R72">
        <v>1.32</v>
      </c>
      <c r="S72" s="5">
        <f>O72/730</f>
        <v>0.24383561643835616</v>
      </c>
      <c r="T72" t="s">
        <v>16</v>
      </c>
      <c r="U72" t="s">
        <v>16</v>
      </c>
    </row>
    <row r="73" spans="1:21" x14ac:dyDescent="0.3">
      <c r="A73" t="s">
        <v>27</v>
      </c>
      <c r="B73" t="s">
        <v>536</v>
      </c>
      <c r="C73">
        <v>143</v>
      </c>
      <c r="D73" t="s">
        <v>14</v>
      </c>
      <c r="E73" t="s">
        <v>570</v>
      </c>
      <c r="F73" s="3" t="s">
        <v>598</v>
      </c>
      <c r="G73">
        <v>20018</v>
      </c>
      <c r="H73" t="s">
        <v>219</v>
      </c>
      <c r="I73" t="s">
        <v>221</v>
      </c>
      <c r="J73" t="s">
        <v>95</v>
      </c>
      <c r="K73" t="s">
        <v>95</v>
      </c>
      <c r="L73" t="s">
        <v>600</v>
      </c>
      <c r="M73" t="s">
        <v>574</v>
      </c>
      <c r="N73" t="s">
        <v>477</v>
      </c>
      <c r="O73">
        <v>22</v>
      </c>
      <c r="P73" s="7">
        <v>3398</v>
      </c>
      <c r="Q73">
        <v>0.31</v>
      </c>
      <c r="R73">
        <v>2.54</v>
      </c>
      <c r="S73" s="5">
        <f>O73/730</f>
        <v>3.0136986301369864E-2</v>
      </c>
      <c r="T73" t="s">
        <v>16</v>
      </c>
      <c r="U73" t="s">
        <v>16</v>
      </c>
    </row>
    <row r="74" spans="1:21" x14ac:dyDescent="0.3">
      <c r="A74" t="s">
        <v>27</v>
      </c>
      <c r="B74" t="s">
        <v>536</v>
      </c>
      <c r="C74">
        <v>143</v>
      </c>
      <c r="D74" t="s">
        <v>14</v>
      </c>
      <c r="E74" t="s">
        <v>570</v>
      </c>
      <c r="F74" s="3" t="s">
        <v>607</v>
      </c>
      <c r="G74">
        <v>20018</v>
      </c>
      <c r="H74" t="s">
        <v>219</v>
      </c>
      <c r="I74" t="s">
        <v>220</v>
      </c>
      <c r="J74" t="s">
        <v>477</v>
      </c>
      <c r="K74" t="s">
        <v>610</v>
      </c>
      <c r="L74" t="s">
        <v>95</v>
      </c>
      <c r="M74" t="s">
        <v>95</v>
      </c>
      <c r="N74" t="s">
        <v>95</v>
      </c>
      <c r="O74">
        <v>39</v>
      </c>
      <c r="P74" s="7">
        <v>6729</v>
      </c>
      <c r="Q74">
        <v>7.0000000000000007E-2</v>
      </c>
      <c r="R74">
        <v>2.72</v>
      </c>
      <c r="S74" s="5">
        <f>O74/730</f>
        <v>5.3424657534246578E-2</v>
      </c>
      <c r="T74" t="s">
        <v>16</v>
      </c>
      <c r="U74" t="s">
        <v>16</v>
      </c>
    </row>
    <row r="75" spans="1:21" x14ac:dyDescent="0.3">
      <c r="A75" t="s">
        <v>27</v>
      </c>
      <c r="B75" t="s">
        <v>536</v>
      </c>
      <c r="C75">
        <v>143</v>
      </c>
      <c r="D75" t="s">
        <v>14</v>
      </c>
      <c r="E75" t="s">
        <v>570</v>
      </c>
      <c r="F75" s="3" t="s">
        <v>612</v>
      </c>
      <c r="G75">
        <v>20018</v>
      </c>
      <c r="H75" t="s">
        <v>219</v>
      </c>
      <c r="I75" t="s">
        <v>507</v>
      </c>
      <c r="J75" t="s">
        <v>477</v>
      </c>
      <c r="K75" t="s">
        <v>613</v>
      </c>
      <c r="L75" t="s">
        <v>95</v>
      </c>
      <c r="M75" t="s">
        <v>95</v>
      </c>
      <c r="N75" t="s">
        <v>95</v>
      </c>
      <c r="O75">
        <v>276</v>
      </c>
      <c r="P75" s="7">
        <v>4208</v>
      </c>
      <c r="Q75">
        <v>0.1</v>
      </c>
      <c r="R75">
        <v>1.1499999999999999</v>
      </c>
      <c r="S75" s="5">
        <f>O75/730</f>
        <v>0.37808219178082192</v>
      </c>
      <c r="T75" t="s">
        <v>16</v>
      </c>
      <c r="U75" t="s">
        <v>16</v>
      </c>
    </row>
    <row r="76" spans="1:21" x14ac:dyDescent="0.3">
      <c r="A76" t="s">
        <v>27</v>
      </c>
      <c r="B76" t="s">
        <v>536</v>
      </c>
      <c r="C76">
        <v>143</v>
      </c>
      <c r="D76" t="s">
        <v>14</v>
      </c>
      <c r="E76" t="s">
        <v>570</v>
      </c>
      <c r="F76" s="3" t="s">
        <v>612</v>
      </c>
      <c r="G76">
        <v>20018</v>
      </c>
      <c r="H76" t="s">
        <v>219</v>
      </c>
      <c r="I76" t="s">
        <v>220</v>
      </c>
      <c r="J76" t="s">
        <v>477</v>
      </c>
      <c r="K76" t="s">
        <v>344</v>
      </c>
      <c r="L76" t="s">
        <v>614</v>
      </c>
      <c r="M76" t="s">
        <v>95</v>
      </c>
      <c r="N76" t="s">
        <v>95</v>
      </c>
      <c r="O76">
        <v>71</v>
      </c>
      <c r="P76" s="7">
        <v>5545</v>
      </c>
      <c r="Q76">
        <v>0.11</v>
      </c>
      <c r="R76">
        <v>1.78</v>
      </c>
      <c r="S76" s="5">
        <f>O76/730</f>
        <v>9.7260273972602743E-2</v>
      </c>
      <c r="T76" t="s">
        <v>16</v>
      </c>
      <c r="U76" t="s">
        <v>16</v>
      </c>
    </row>
    <row r="77" spans="1:21" x14ac:dyDescent="0.3">
      <c r="A77" t="s">
        <v>27</v>
      </c>
      <c r="B77" t="s">
        <v>536</v>
      </c>
      <c r="C77">
        <v>143</v>
      </c>
      <c r="D77" t="s">
        <v>14</v>
      </c>
      <c r="E77" t="s">
        <v>570</v>
      </c>
      <c r="F77" s="3" t="s">
        <v>615</v>
      </c>
      <c r="G77">
        <v>20018</v>
      </c>
      <c r="H77" t="s">
        <v>219</v>
      </c>
      <c r="I77" t="s">
        <v>617</v>
      </c>
      <c r="J77" t="s">
        <v>477</v>
      </c>
      <c r="K77" t="s">
        <v>344</v>
      </c>
      <c r="L77" t="s">
        <v>618</v>
      </c>
      <c r="M77" t="s">
        <v>95</v>
      </c>
      <c r="N77" t="s">
        <v>95</v>
      </c>
      <c r="O77">
        <v>541</v>
      </c>
      <c r="P77" s="7">
        <v>7244</v>
      </c>
      <c r="Q77">
        <v>0.11</v>
      </c>
      <c r="R77">
        <v>1.1299999999999999</v>
      </c>
      <c r="S77" s="5">
        <f>O77/730</f>
        <v>0.74109589041095891</v>
      </c>
      <c r="T77" t="s">
        <v>16</v>
      </c>
      <c r="U77" t="s">
        <v>16</v>
      </c>
    </row>
    <row r="78" spans="1:21" x14ac:dyDescent="0.3">
      <c r="A78" t="s">
        <v>27</v>
      </c>
      <c r="B78" t="s">
        <v>536</v>
      </c>
      <c r="C78">
        <v>143</v>
      </c>
      <c r="D78" t="s">
        <v>14</v>
      </c>
      <c r="E78" t="s">
        <v>570</v>
      </c>
      <c r="F78" s="3" t="s">
        <v>615</v>
      </c>
      <c r="G78">
        <v>20018</v>
      </c>
      <c r="H78" t="s">
        <v>219</v>
      </c>
      <c r="I78" t="s">
        <v>221</v>
      </c>
      <c r="J78" t="s">
        <v>477</v>
      </c>
      <c r="K78" t="s">
        <v>344</v>
      </c>
      <c r="L78" t="s">
        <v>619</v>
      </c>
      <c r="M78" t="s">
        <v>95</v>
      </c>
      <c r="N78" t="s">
        <v>95</v>
      </c>
      <c r="O78">
        <v>35</v>
      </c>
      <c r="P78" s="7">
        <v>3509</v>
      </c>
      <c r="Q78">
        <v>0.2</v>
      </c>
      <c r="R78">
        <v>2</v>
      </c>
      <c r="S78" s="5">
        <f>O78/730</f>
        <v>4.7945205479452052E-2</v>
      </c>
      <c r="T78" t="s">
        <v>16</v>
      </c>
      <c r="U78" t="s">
        <v>16</v>
      </c>
    </row>
    <row r="79" spans="1:21" x14ac:dyDescent="0.3">
      <c r="A79" t="s">
        <v>27</v>
      </c>
      <c r="B79" t="s">
        <v>536</v>
      </c>
      <c r="C79">
        <v>143</v>
      </c>
      <c r="D79" t="s">
        <v>14</v>
      </c>
      <c r="E79" t="s">
        <v>570</v>
      </c>
      <c r="F79" s="3" t="s">
        <v>620</v>
      </c>
      <c r="G79">
        <v>20018</v>
      </c>
      <c r="H79" t="s">
        <v>219</v>
      </c>
      <c r="I79" t="s">
        <v>222</v>
      </c>
      <c r="J79" t="s">
        <v>477</v>
      </c>
      <c r="K79" t="s">
        <v>621</v>
      </c>
      <c r="L79" t="s">
        <v>95</v>
      </c>
      <c r="M79" t="s">
        <v>95</v>
      </c>
      <c r="N79" t="s">
        <v>95</v>
      </c>
      <c r="O79">
        <v>326</v>
      </c>
      <c r="P79" s="7">
        <v>13996</v>
      </c>
      <c r="Q79">
        <v>0.12</v>
      </c>
      <c r="R79">
        <v>1.42</v>
      </c>
      <c r="S79" s="5">
        <f>O79/730</f>
        <v>0.44657534246575342</v>
      </c>
      <c r="T79" t="s">
        <v>16</v>
      </c>
      <c r="U79" t="s">
        <v>16</v>
      </c>
    </row>
    <row r="80" spans="1:21" x14ac:dyDescent="0.3">
      <c r="A80" t="s">
        <v>27</v>
      </c>
      <c r="B80" t="s">
        <v>536</v>
      </c>
      <c r="C80">
        <v>143</v>
      </c>
      <c r="D80" t="s">
        <v>14</v>
      </c>
      <c r="E80" t="s">
        <v>570</v>
      </c>
      <c r="F80" s="3" t="s">
        <v>626</v>
      </c>
      <c r="G80">
        <v>20018</v>
      </c>
      <c r="H80" t="s">
        <v>219</v>
      </c>
      <c r="I80" t="s">
        <v>507</v>
      </c>
      <c r="J80" t="s">
        <v>387</v>
      </c>
      <c r="K80" t="s">
        <v>449</v>
      </c>
      <c r="L80" t="s">
        <v>628</v>
      </c>
      <c r="M80" t="s">
        <v>95</v>
      </c>
      <c r="N80" t="s">
        <v>627</v>
      </c>
      <c r="O80">
        <v>338</v>
      </c>
      <c r="P80" s="7">
        <v>7156</v>
      </c>
      <c r="Q80">
        <v>0.12</v>
      </c>
      <c r="R80">
        <v>1.21</v>
      </c>
      <c r="S80" s="5">
        <f>O80/730</f>
        <v>0.46301369863013697</v>
      </c>
      <c r="T80" t="s">
        <v>16</v>
      </c>
      <c r="U80" t="s">
        <v>16</v>
      </c>
    </row>
    <row r="81" spans="1:21" x14ac:dyDescent="0.3">
      <c r="A81" t="s">
        <v>27</v>
      </c>
      <c r="B81" t="s">
        <v>536</v>
      </c>
      <c r="C81">
        <v>143</v>
      </c>
      <c r="D81" t="s">
        <v>14</v>
      </c>
      <c r="E81" t="s">
        <v>570</v>
      </c>
      <c r="F81" s="3" t="s">
        <v>196</v>
      </c>
      <c r="G81">
        <v>20018</v>
      </c>
      <c r="H81" t="s">
        <v>219</v>
      </c>
      <c r="I81" t="s">
        <v>630</v>
      </c>
      <c r="J81" t="s">
        <v>95</v>
      </c>
      <c r="K81" t="s">
        <v>449</v>
      </c>
      <c r="L81" t="s">
        <v>631</v>
      </c>
      <c r="M81" t="s">
        <v>95</v>
      </c>
      <c r="N81" t="s">
        <v>627</v>
      </c>
      <c r="O81">
        <v>84</v>
      </c>
      <c r="P81" s="7">
        <v>8864</v>
      </c>
      <c r="Q81">
        <v>0.14000000000000001</v>
      </c>
      <c r="R81">
        <v>2.0499999999999998</v>
      </c>
      <c r="S81" s="5">
        <f>O81/730</f>
        <v>0.11506849315068493</v>
      </c>
      <c r="T81" t="s">
        <v>16</v>
      </c>
      <c r="U81" t="s">
        <v>16</v>
      </c>
    </row>
    <row r="82" spans="1:21" x14ac:dyDescent="0.3">
      <c r="A82" t="s">
        <v>27</v>
      </c>
      <c r="B82" t="s">
        <v>536</v>
      </c>
      <c r="C82">
        <v>143</v>
      </c>
      <c r="D82" t="s">
        <v>14</v>
      </c>
      <c r="E82" t="s">
        <v>570</v>
      </c>
      <c r="F82" s="3" t="s">
        <v>634</v>
      </c>
      <c r="G82">
        <v>20018</v>
      </c>
      <c r="H82" t="s">
        <v>219</v>
      </c>
      <c r="I82" t="s">
        <v>632</v>
      </c>
      <c r="J82" t="s">
        <v>95</v>
      </c>
      <c r="K82" t="s">
        <v>635</v>
      </c>
      <c r="L82" t="s">
        <v>95</v>
      </c>
      <c r="M82" t="s">
        <v>95</v>
      </c>
      <c r="N82" t="s">
        <v>95</v>
      </c>
      <c r="O82">
        <v>98</v>
      </c>
      <c r="P82" s="7">
        <v>7408</v>
      </c>
      <c r="Q82">
        <v>0.09</v>
      </c>
      <c r="R82">
        <v>1.75</v>
      </c>
      <c r="S82" s="5">
        <f>O82/730</f>
        <v>0.13424657534246576</v>
      </c>
      <c r="T82" t="s">
        <v>16</v>
      </c>
      <c r="U82" t="s">
        <v>16</v>
      </c>
    </row>
    <row r="83" spans="1:21" x14ac:dyDescent="0.3">
      <c r="A83" t="s">
        <v>27</v>
      </c>
      <c r="B83" t="s">
        <v>536</v>
      </c>
      <c r="C83">
        <v>143</v>
      </c>
      <c r="D83" t="s">
        <v>14</v>
      </c>
      <c r="E83" t="s">
        <v>570</v>
      </c>
      <c r="F83" s="3" t="s">
        <v>636</v>
      </c>
      <c r="G83">
        <v>20018</v>
      </c>
      <c r="H83" t="s">
        <v>219</v>
      </c>
      <c r="I83" t="s">
        <v>632</v>
      </c>
      <c r="J83" t="s">
        <v>95</v>
      </c>
      <c r="K83" t="s">
        <v>95</v>
      </c>
      <c r="L83" t="s">
        <v>637</v>
      </c>
      <c r="M83" t="s">
        <v>95</v>
      </c>
      <c r="N83" t="s">
        <v>95</v>
      </c>
      <c r="O83">
        <v>45</v>
      </c>
      <c r="P83" s="7">
        <v>4937</v>
      </c>
      <c r="Q83">
        <v>0.13</v>
      </c>
      <c r="R83">
        <v>2.09</v>
      </c>
      <c r="S83" s="5">
        <f>O83/730</f>
        <v>6.1643835616438353E-2</v>
      </c>
      <c r="T83" t="s">
        <v>16</v>
      </c>
      <c r="U83" t="s">
        <v>16</v>
      </c>
    </row>
    <row r="84" spans="1:21" x14ac:dyDescent="0.3">
      <c r="A84" t="s">
        <v>27</v>
      </c>
      <c r="B84" t="s">
        <v>68</v>
      </c>
      <c r="C84">
        <v>143</v>
      </c>
      <c r="D84" t="s">
        <v>14</v>
      </c>
      <c r="E84" t="s">
        <v>570</v>
      </c>
      <c r="F84" s="3" t="s">
        <v>198</v>
      </c>
      <c r="G84">
        <v>20018</v>
      </c>
      <c r="H84" t="s">
        <v>219</v>
      </c>
      <c r="I84" t="s">
        <v>630</v>
      </c>
      <c r="J84" t="s">
        <v>640</v>
      </c>
      <c r="K84" t="s">
        <v>95</v>
      </c>
      <c r="L84" t="s">
        <v>643</v>
      </c>
      <c r="M84" t="s">
        <v>640</v>
      </c>
      <c r="N84" t="s">
        <v>95</v>
      </c>
      <c r="O84">
        <v>60</v>
      </c>
      <c r="P84" s="7">
        <v>3414</v>
      </c>
      <c r="Q84">
        <v>0.18</v>
      </c>
      <c r="R84">
        <v>1.56</v>
      </c>
      <c r="S84" s="5">
        <f>O84/730</f>
        <v>8.2191780821917804E-2</v>
      </c>
      <c r="T84" t="s">
        <v>16</v>
      </c>
      <c r="U84" t="s">
        <v>16</v>
      </c>
    </row>
    <row r="85" spans="1:21" x14ac:dyDescent="0.3">
      <c r="A85" t="s">
        <v>27</v>
      </c>
      <c r="B85" t="s">
        <v>68</v>
      </c>
      <c r="C85">
        <v>143</v>
      </c>
      <c r="D85" t="s">
        <v>14</v>
      </c>
      <c r="E85" t="s">
        <v>570</v>
      </c>
      <c r="F85" s="3" t="s">
        <v>198</v>
      </c>
      <c r="G85">
        <v>20018</v>
      </c>
      <c r="H85" t="s">
        <v>219</v>
      </c>
      <c r="I85" t="s">
        <v>644</v>
      </c>
      <c r="J85" t="s">
        <v>640</v>
      </c>
      <c r="K85" t="s">
        <v>645</v>
      </c>
      <c r="L85" t="s">
        <v>95</v>
      </c>
      <c r="M85" t="s">
        <v>640</v>
      </c>
      <c r="N85" t="s">
        <v>95</v>
      </c>
      <c r="O85">
        <v>242</v>
      </c>
      <c r="P85" s="7">
        <v>8553</v>
      </c>
      <c r="Q85">
        <v>0.16</v>
      </c>
      <c r="R85">
        <v>1.35</v>
      </c>
      <c r="S85" s="5">
        <f>O85/730</f>
        <v>0.33150684931506852</v>
      </c>
      <c r="T85" t="s">
        <v>16</v>
      </c>
      <c r="U85" t="s">
        <v>16</v>
      </c>
    </row>
    <row r="86" spans="1:21" x14ac:dyDescent="0.3">
      <c r="A86" t="s">
        <v>27</v>
      </c>
      <c r="B86" t="s">
        <v>68</v>
      </c>
      <c r="C86">
        <v>143</v>
      </c>
      <c r="D86" t="s">
        <v>14</v>
      </c>
      <c r="E86" t="s">
        <v>570</v>
      </c>
      <c r="F86" s="3" t="s">
        <v>198</v>
      </c>
      <c r="G86">
        <v>20018</v>
      </c>
      <c r="H86" t="s">
        <v>219</v>
      </c>
      <c r="I86" t="s">
        <v>220</v>
      </c>
      <c r="J86" t="s">
        <v>640</v>
      </c>
      <c r="K86" t="s">
        <v>646</v>
      </c>
      <c r="L86" t="s">
        <v>95</v>
      </c>
      <c r="M86" t="s">
        <v>640</v>
      </c>
      <c r="N86" t="s">
        <v>95</v>
      </c>
      <c r="O86">
        <v>37</v>
      </c>
      <c r="P86" s="7">
        <v>5079</v>
      </c>
      <c r="Q86">
        <v>0.13</v>
      </c>
      <c r="R86">
        <v>2.37</v>
      </c>
      <c r="S86" s="5">
        <f>O86/730</f>
        <v>5.0684931506849315E-2</v>
      </c>
      <c r="T86" t="s">
        <v>16</v>
      </c>
      <c r="U86" t="s">
        <v>16</v>
      </c>
    </row>
    <row r="87" spans="1:21" x14ac:dyDescent="0.3">
      <c r="A87" t="s">
        <v>27</v>
      </c>
      <c r="B87" t="s">
        <v>68</v>
      </c>
      <c r="C87">
        <v>143</v>
      </c>
      <c r="D87" t="s">
        <v>14</v>
      </c>
      <c r="E87" t="s">
        <v>570</v>
      </c>
      <c r="F87" s="3" t="s">
        <v>647</v>
      </c>
      <c r="G87">
        <v>20018</v>
      </c>
      <c r="H87" t="s">
        <v>219</v>
      </c>
      <c r="I87" t="s">
        <v>225</v>
      </c>
      <c r="J87" t="s">
        <v>640</v>
      </c>
      <c r="K87" t="s">
        <v>95</v>
      </c>
      <c r="L87" t="s">
        <v>648</v>
      </c>
      <c r="M87" t="s">
        <v>640</v>
      </c>
      <c r="N87" t="s">
        <v>95</v>
      </c>
      <c r="O87">
        <v>40</v>
      </c>
      <c r="P87" s="7">
        <v>2527</v>
      </c>
      <c r="Q87">
        <v>0.2</v>
      </c>
      <c r="R87">
        <v>1.63</v>
      </c>
      <c r="S87" s="5">
        <f>O87/730</f>
        <v>5.4794520547945202E-2</v>
      </c>
      <c r="T87" t="s">
        <v>16</v>
      </c>
      <c r="U87" t="s">
        <v>16</v>
      </c>
    </row>
    <row r="88" spans="1:21" x14ac:dyDescent="0.3">
      <c r="A88" t="s">
        <v>27</v>
      </c>
      <c r="B88" t="s">
        <v>68</v>
      </c>
      <c r="C88">
        <v>143</v>
      </c>
      <c r="D88" t="s">
        <v>14</v>
      </c>
      <c r="E88" t="s">
        <v>570</v>
      </c>
      <c r="F88" s="3" t="s">
        <v>649</v>
      </c>
      <c r="G88">
        <v>20018</v>
      </c>
      <c r="H88" t="s">
        <v>219</v>
      </c>
      <c r="I88" t="s">
        <v>225</v>
      </c>
      <c r="J88" t="s">
        <v>640</v>
      </c>
      <c r="K88" t="s">
        <v>95</v>
      </c>
      <c r="L88" t="s">
        <v>650</v>
      </c>
      <c r="M88" t="s">
        <v>640</v>
      </c>
      <c r="N88" t="s">
        <v>95</v>
      </c>
      <c r="O88">
        <v>221</v>
      </c>
      <c r="P88" s="7">
        <v>4578</v>
      </c>
      <c r="Q88">
        <v>0.22</v>
      </c>
      <c r="R88">
        <v>1.2</v>
      </c>
      <c r="S88" s="5">
        <f>O88/730</f>
        <v>0.30273972602739724</v>
      </c>
      <c r="T88" t="s">
        <v>16</v>
      </c>
      <c r="U88" t="s">
        <v>16</v>
      </c>
    </row>
    <row r="89" spans="1:21" x14ac:dyDescent="0.3">
      <c r="A89" t="s">
        <v>27</v>
      </c>
      <c r="B89" t="s">
        <v>655</v>
      </c>
      <c r="C89">
        <v>143</v>
      </c>
      <c r="D89" t="s">
        <v>14</v>
      </c>
      <c r="E89" t="s">
        <v>570</v>
      </c>
      <c r="F89" s="3" t="s">
        <v>656</v>
      </c>
      <c r="G89">
        <v>20018</v>
      </c>
      <c r="H89" t="s">
        <v>219</v>
      </c>
      <c r="I89" t="s">
        <v>657</v>
      </c>
      <c r="J89" t="s">
        <v>640</v>
      </c>
      <c r="K89" t="s">
        <v>658</v>
      </c>
      <c r="L89" t="s">
        <v>95</v>
      </c>
      <c r="M89" t="s">
        <v>95</v>
      </c>
      <c r="N89" t="s">
        <v>95</v>
      </c>
      <c r="O89">
        <v>63</v>
      </c>
      <c r="P89" s="7">
        <v>2005</v>
      </c>
      <c r="Q89">
        <v>0.17</v>
      </c>
      <c r="R89">
        <v>1.31</v>
      </c>
      <c r="S89" s="5">
        <f>O89/730</f>
        <v>8.6301369863013705E-2</v>
      </c>
      <c r="T89" t="s">
        <v>16</v>
      </c>
      <c r="U89" t="s">
        <v>16</v>
      </c>
    </row>
    <row r="90" spans="1:21" x14ac:dyDescent="0.3">
      <c r="A90" t="s">
        <v>27</v>
      </c>
      <c r="B90" t="s">
        <v>24</v>
      </c>
      <c r="C90">
        <v>143</v>
      </c>
      <c r="D90" t="s">
        <v>14</v>
      </c>
      <c r="E90" t="s">
        <v>570</v>
      </c>
      <c r="F90" s="3" t="s">
        <v>661</v>
      </c>
      <c r="G90">
        <v>20018</v>
      </c>
      <c r="H90" t="s">
        <v>219</v>
      </c>
      <c r="I90" t="s">
        <v>222</v>
      </c>
      <c r="J90" t="s">
        <v>555</v>
      </c>
      <c r="K90" t="s">
        <v>95</v>
      </c>
      <c r="L90" t="s">
        <v>662</v>
      </c>
      <c r="M90" t="s">
        <v>95</v>
      </c>
      <c r="N90" t="s">
        <v>95</v>
      </c>
      <c r="O90">
        <v>26</v>
      </c>
      <c r="P90" s="7">
        <v>2585</v>
      </c>
      <c r="Q90">
        <v>0.38</v>
      </c>
      <c r="R90">
        <v>1.98</v>
      </c>
      <c r="S90" s="5">
        <f>O90/730</f>
        <v>3.5616438356164383E-2</v>
      </c>
      <c r="T90" t="s">
        <v>16</v>
      </c>
      <c r="U90" t="s">
        <v>16</v>
      </c>
    </row>
    <row r="91" spans="1:21" x14ac:dyDescent="0.3">
      <c r="A91" t="s">
        <v>27</v>
      </c>
      <c r="B91" t="s">
        <v>24</v>
      </c>
      <c r="C91">
        <v>143</v>
      </c>
      <c r="D91" t="s">
        <v>14</v>
      </c>
      <c r="E91" t="s">
        <v>570</v>
      </c>
      <c r="F91" s="3" t="s">
        <v>661</v>
      </c>
      <c r="G91">
        <v>20018</v>
      </c>
      <c r="H91" t="s">
        <v>219</v>
      </c>
      <c r="I91" t="s">
        <v>632</v>
      </c>
      <c r="J91" t="s">
        <v>555</v>
      </c>
      <c r="K91" t="s">
        <v>663</v>
      </c>
      <c r="L91" t="s">
        <v>344</v>
      </c>
      <c r="M91" t="s">
        <v>95</v>
      </c>
      <c r="N91" t="s">
        <v>95</v>
      </c>
      <c r="O91">
        <v>109</v>
      </c>
      <c r="P91" s="7">
        <v>6459</v>
      </c>
      <c r="Q91">
        <v>0.08</v>
      </c>
      <c r="R91">
        <v>1.59</v>
      </c>
      <c r="S91" s="5">
        <f>O91/730</f>
        <v>0.14931506849315068</v>
      </c>
      <c r="T91" t="s">
        <v>16</v>
      </c>
      <c r="U91" t="s">
        <v>16</v>
      </c>
    </row>
    <row r="92" spans="1:21" x14ac:dyDescent="0.3">
      <c r="A92" t="s">
        <v>27</v>
      </c>
      <c r="B92" t="s">
        <v>24</v>
      </c>
      <c r="C92">
        <v>143</v>
      </c>
      <c r="D92" t="s">
        <v>14</v>
      </c>
      <c r="E92" t="s">
        <v>570</v>
      </c>
      <c r="F92" s="3" t="s">
        <v>666</v>
      </c>
      <c r="G92">
        <v>20018</v>
      </c>
      <c r="H92" t="s">
        <v>219</v>
      </c>
      <c r="I92" t="s">
        <v>667</v>
      </c>
      <c r="J92" t="s">
        <v>668</v>
      </c>
      <c r="K92" t="s">
        <v>344</v>
      </c>
      <c r="L92" t="s">
        <v>669</v>
      </c>
      <c r="M92" t="s">
        <v>95</v>
      </c>
      <c r="N92" t="s">
        <v>95</v>
      </c>
      <c r="O92">
        <v>20</v>
      </c>
      <c r="P92" s="7">
        <v>837</v>
      </c>
      <c r="Q92">
        <v>0.4</v>
      </c>
      <c r="R92">
        <v>1.41</v>
      </c>
      <c r="S92" s="5">
        <f>O92/730</f>
        <v>2.7397260273972601E-2</v>
      </c>
      <c r="T92" t="s">
        <v>16</v>
      </c>
      <c r="U92" t="s">
        <v>16</v>
      </c>
    </row>
    <row r="93" spans="1:21" x14ac:dyDescent="0.3">
      <c r="A93" t="s">
        <v>27</v>
      </c>
      <c r="B93" t="s">
        <v>24</v>
      </c>
      <c r="C93">
        <v>143</v>
      </c>
      <c r="D93" t="s">
        <v>14</v>
      </c>
      <c r="E93" t="s">
        <v>570</v>
      </c>
      <c r="F93" s="3" t="s">
        <v>674</v>
      </c>
      <c r="G93">
        <v>20018</v>
      </c>
      <c r="H93" t="s">
        <v>219</v>
      </c>
      <c r="I93" t="s">
        <v>632</v>
      </c>
      <c r="J93" t="s">
        <v>640</v>
      </c>
      <c r="K93" t="s">
        <v>264</v>
      </c>
      <c r="L93" t="s">
        <v>95</v>
      </c>
      <c r="M93" t="s">
        <v>95</v>
      </c>
      <c r="N93" t="s">
        <v>95</v>
      </c>
      <c r="O93">
        <v>27</v>
      </c>
      <c r="P93" s="7">
        <v>3598</v>
      </c>
      <c r="Q93">
        <v>0.14000000000000001</v>
      </c>
      <c r="R93">
        <v>2.33</v>
      </c>
      <c r="S93" s="5">
        <f>O93/730</f>
        <v>3.6986301369863014E-2</v>
      </c>
      <c r="T93" t="s">
        <v>16</v>
      </c>
      <c r="U93" t="s">
        <v>16</v>
      </c>
    </row>
    <row r="94" spans="1:21" x14ac:dyDescent="0.3">
      <c r="A94" t="s">
        <v>27</v>
      </c>
      <c r="B94" t="s">
        <v>24</v>
      </c>
      <c r="C94">
        <v>143</v>
      </c>
      <c r="D94" t="s">
        <v>14</v>
      </c>
      <c r="E94" t="s">
        <v>570</v>
      </c>
      <c r="F94" s="3" t="s">
        <v>208</v>
      </c>
      <c r="G94">
        <v>20018</v>
      </c>
      <c r="H94" t="s">
        <v>219</v>
      </c>
      <c r="I94" t="s">
        <v>632</v>
      </c>
      <c r="J94" t="s">
        <v>677</v>
      </c>
      <c r="K94" t="s">
        <v>678</v>
      </c>
      <c r="L94" t="s">
        <v>95</v>
      </c>
      <c r="M94" t="s">
        <v>95</v>
      </c>
      <c r="N94" t="s">
        <v>95</v>
      </c>
      <c r="O94">
        <v>350</v>
      </c>
      <c r="P94" s="7">
        <v>18529</v>
      </c>
      <c r="Q94">
        <v>7.0000000000000007E-2</v>
      </c>
      <c r="R94">
        <v>1.52</v>
      </c>
      <c r="S94" s="5">
        <f>O94/730</f>
        <v>0.47945205479452052</v>
      </c>
      <c r="T94" t="s">
        <v>16</v>
      </c>
      <c r="U94" t="s">
        <v>16</v>
      </c>
    </row>
    <row r="95" spans="1:21" x14ac:dyDescent="0.3">
      <c r="A95" t="s">
        <v>27</v>
      </c>
      <c r="B95" t="s">
        <v>24</v>
      </c>
      <c r="C95">
        <v>143</v>
      </c>
      <c r="D95" t="s">
        <v>14</v>
      </c>
      <c r="E95" t="s">
        <v>570</v>
      </c>
      <c r="F95" s="3" t="s">
        <v>682</v>
      </c>
      <c r="G95">
        <v>20018</v>
      </c>
      <c r="H95" t="s">
        <v>219</v>
      </c>
      <c r="I95" t="s">
        <v>222</v>
      </c>
      <c r="J95" t="s">
        <v>677</v>
      </c>
      <c r="K95" t="s">
        <v>344</v>
      </c>
      <c r="L95" t="s">
        <v>684</v>
      </c>
      <c r="M95" t="s">
        <v>683</v>
      </c>
      <c r="N95" t="s">
        <v>95</v>
      </c>
      <c r="O95">
        <v>58</v>
      </c>
      <c r="P95" s="7">
        <v>6538</v>
      </c>
      <c r="Q95">
        <v>0.17</v>
      </c>
      <c r="R95">
        <v>2.12</v>
      </c>
      <c r="S95" s="5">
        <f>O95/730</f>
        <v>7.9452054794520555E-2</v>
      </c>
      <c r="T95" t="s">
        <v>16</v>
      </c>
      <c r="U95" t="s">
        <v>16</v>
      </c>
    </row>
    <row r="96" spans="1:21" x14ac:dyDescent="0.3">
      <c r="A96" t="s">
        <v>27</v>
      </c>
      <c r="B96" t="s">
        <v>24</v>
      </c>
      <c r="C96">
        <v>143</v>
      </c>
      <c r="D96" t="s">
        <v>14</v>
      </c>
      <c r="E96" t="s">
        <v>570</v>
      </c>
      <c r="F96" s="3" t="s">
        <v>682</v>
      </c>
      <c r="G96">
        <v>20018</v>
      </c>
      <c r="H96" t="s">
        <v>219</v>
      </c>
      <c r="I96" t="s">
        <v>220</v>
      </c>
      <c r="J96" t="s">
        <v>677</v>
      </c>
      <c r="K96" t="s">
        <v>344</v>
      </c>
      <c r="L96" t="s">
        <v>685</v>
      </c>
      <c r="M96" t="s">
        <v>683</v>
      </c>
      <c r="N96" t="s">
        <v>95</v>
      </c>
      <c r="O96">
        <v>41</v>
      </c>
      <c r="P96" s="7">
        <v>6349</v>
      </c>
      <c r="Q96">
        <v>0.09</v>
      </c>
      <c r="R96">
        <v>2.54</v>
      </c>
      <c r="S96" s="5">
        <f>O96/730</f>
        <v>5.6164383561643834E-2</v>
      </c>
      <c r="T96" t="s">
        <v>16</v>
      </c>
      <c r="U96" t="s">
        <v>16</v>
      </c>
    </row>
    <row r="97" spans="1:21" x14ac:dyDescent="0.3">
      <c r="A97" t="s">
        <v>27</v>
      </c>
      <c r="B97" t="s">
        <v>24</v>
      </c>
      <c r="C97">
        <v>143</v>
      </c>
      <c r="D97" t="s">
        <v>14</v>
      </c>
      <c r="E97" t="s">
        <v>570</v>
      </c>
      <c r="F97" s="3" t="s">
        <v>686</v>
      </c>
      <c r="G97">
        <v>20018</v>
      </c>
      <c r="H97" t="s">
        <v>219</v>
      </c>
      <c r="I97" t="s">
        <v>220</v>
      </c>
      <c r="J97" t="s">
        <v>677</v>
      </c>
      <c r="K97" t="s">
        <v>344</v>
      </c>
      <c r="L97" t="s">
        <v>687</v>
      </c>
      <c r="M97" t="s">
        <v>683</v>
      </c>
      <c r="N97" t="s">
        <v>95</v>
      </c>
      <c r="O97">
        <v>119</v>
      </c>
      <c r="P97" s="7">
        <v>7726</v>
      </c>
      <c r="Q97">
        <v>0.09</v>
      </c>
      <c r="R97">
        <v>1.64</v>
      </c>
      <c r="S97" s="5">
        <f>O97/730</f>
        <v>0.16301369863013698</v>
      </c>
      <c r="T97" t="s">
        <v>16</v>
      </c>
      <c r="U97" t="s">
        <v>16</v>
      </c>
    </row>
    <row r="98" spans="1:21" x14ac:dyDescent="0.3">
      <c r="A98" t="s">
        <v>27</v>
      </c>
      <c r="B98" t="s">
        <v>68</v>
      </c>
      <c r="C98">
        <v>143</v>
      </c>
      <c r="D98" t="s">
        <v>14</v>
      </c>
      <c r="E98" t="s">
        <v>570</v>
      </c>
      <c r="F98" s="3" t="s">
        <v>690</v>
      </c>
      <c r="G98">
        <v>20018</v>
      </c>
      <c r="H98" t="s">
        <v>219</v>
      </c>
      <c r="I98" t="s">
        <v>221</v>
      </c>
      <c r="J98" t="s">
        <v>677</v>
      </c>
      <c r="K98" t="s">
        <v>691</v>
      </c>
      <c r="L98" t="s">
        <v>640</v>
      </c>
      <c r="M98" t="s">
        <v>95</v>
      </c>
      <c r="N98" t="s">
        <v>95</v>
      </c>
      <c r="O98">
        <v>40</v>
      </c>
      <c r="P98" s="7">
        <v>1756</v>
      </c>
      <c r="Q98">
        <v>0.2</v>
      </c>
      <c r="R98">
        <v>1.43</v>
      </c>
      <c r="S98" s="5">
        <f>O98/730</f>
        <v>5.4794520547945202E-2</v>
      </c>
      <c r="T98" t="s">
        <v>16</v>
      </c>
      <c r="U98" t="s">
        <v>16</v>
      </c>
    </row>
    <row r="99" spans="1:21" x14ac:dyDescent="0.3">
      <c r="A99" t="s">
        <v>27</v>
      </c>
      <c r="B99" t="s">
        <v>68</v>
      </c>
      <c r="C99">
        <v>143</v>
      </c>
      <c r="D99" t="s">
        <v>14</v>
      </c>
      <c r="E99" t="s">
        <v>570</v>
      </c>
      <c r="F99" s="3" t="s">
        <v>695</v>
      </c>
      <c r="G99">
        <v>20018</v>
      </c>
      <c r="H99" t="s">
        <v>219</v>
      </c>
      <c r="I99" t="s">
        <v>667</v>
      </c>
      <c r="J99" t="s">
        <v>95</v>
      </c>
      <c r="K99" t="s">
        <v>344</v>
      </c>
      <c r="L99" t="s">
        <v>696</v>
      </c>
      <c r="M99" t="s">
        <v>95</v>
      </c>
      <c r="N99" t="s">
        <v>95</v>
      </c>
      <c r="O99">
        <v>56</v>
      </c>
      <c r="P99" s="7">
        <v>4856</v>
      </c>
      <c r="Q99">
        <v>0.17</v>
      </c>
      <c r="R99">
        <v>1.86</v>
      </c>
      <c r="S99" s="5">
        <f>O99/730</f>
        <v>7.6712328767123292E-2</v>
      </c>
      <c r="T99" t="s">
        <v>16</v>
      </c>
      <c r="U99" t="s">
        <v>16</v>
      </c>
    </row>
    <row r="100" spans="1:21" x14ac:dyDescent="0.3">
      <c r="A100" t="s">
        <v>27</v>
      </c>
      <c r="B100" t="s">
        <v>68</v>
      </c>
      <c r="C100">
        <v>143</v>
      </c>
      <c r="D100" t="s">
        <v>14</v>
      </c>
      <c r="E100" t="s">
        <v>570</v>
      </c>
      <c r="F100" s="3" t="s">
        <v>699</v>
      </c>
      <c r="G100">
        <v>20018</v>
      </c>
      <c r="H100" t="s">
        <v>219</v>
      </c>
      <c r="I100" t="s">
        <v>220</v>
      </c>
      <c r="J100" t="s">
        <v>95</v>
      </c>
      <c r="K100" t="s">
        <v>700</v>
      </c>
      <c r="L100" t="s">
        <v>640</v>
      </c>
      <c r="M100" t="s">
        <v>95</v>
      </c>
      <c r="N100" t="s">
        <v>640</v>
      </c>
      <c r="O100">
        <v>27</v>
      </c>
      <c r="P100" s="7">
        <v>4848</v>
      </c>
      <c r="Q100">
        <v>0.18</v>
      </c>
      <c r="R100">
        <v>2.79</v>
      </c>
      <c r="S100" s="5">
        <f>O100/730</f>
        <v>3.6986301369863014E-2</v>
      </c>
      <c r="T100" t="s">
        <v>16</v>
      </c>
      <c r="U100" t="s">
        <v>16</v>
      </c>
    </row>
    <row r="101" spans="1:21" x14ac:dyDescent="0.3">
      <c r="A101" t="s">
        <v>27</v>
      </c>
      <c r="B101" t="s">
        <v>68</v>
      </c>
      <c r="C101">
        <v>143</v>
      </c>
      <c r="D101" t="s">
        <v>14</v>
      </c>
      <c r="E101" t="s">
        <v>570</v>
      </c>
      <c r="F101" s="3" t="s">
        <v>703</v>
      </c>
      <c r="G101">
        <v>20018</v>
      </c>
      <c r="H101" t="s">
        <v>219</v>
      </c>
      <c r="I101" t="s">
        <v>704</v>
      </c>
      <c r="J101" t="s">
        <v>95</v>
      </c>
      <c r="K101" t="s">
        <v>95</v>
      </c>
      <c r="L101" t="s">
        <v>705</v>
      </c>
      <c r="M101" t="s">
        <v>95</v>
      </c>
      <c r="N101" t="s">
        <v>640</v>
      </c>
      <c r="O101">
        <v>25</v>
      </c>
      <c r="P101" s="7">
        <v>3167</v>
      </c>
      <c r="Q101">
        <v>0.16</v>
      </c>
      <c r="R101">
        <v>2.2599999999999998</v>
      </c>
      <c r="S101" s="5">
        <f>O101/730</f>
        <v>3.4246575342465752E-2</v>
      </c>
      <c r="T101" t="s">
        <v>16</v>
      </c>
      <c r="U101" t="s">
        <v>16</v>
      </c>
    </row>
    <row r="102" spans="1:21" x14ac:dyDescent="0.3">
      <c r="A102" t="s">
        <v>27</v>
      </c>
      <c r="B102" t="s">
        <v>689</v>
      </c>
      <c r="C102">
        <v>143</v>
      </c>
      <c r="D102" t="s">
        <v>14</v>
      </c>
      <c r="E102" t="s">
        <v>570</v>
      </c>
      <c r="F102" s="3" t="s">
        <v>707</v>
      </c>
      <c r="G102">
        <v>20018</v>
      </c>
      <c r="H102" t="s">
        <v>219</v>
      </c>
      <c r="I102" t="s">
        <v>220</v>
      </c>
      <c r="J102" t="s">
        <v>95</v>
      </c>
      <c r="K102" t="s">
        <v>95</v>
      </c>
      <c r="L102" t="s">
        <v>708</v>
      </c>
      <c r="M102" t="s">
        <v>95</v>
      </c>
      <c r="N102" t="s">
        <v>95</v>
      </c>
      <c r="O102">
        <v>130</v>
      </c>
      <c r="P102" s="7">
        <v>6873</v>
      </c>
      <c r="Q102">
        <v>0.12</v>
      </c>
      <c r="R102">
        <v>1.52</v>
      </c>
      <c r="S102" s="5">
        <f>O102/730</f>
        <v>0.17808219178082191</v>
      </c>
      <c r="T102" t="s">
        <v>16</v>
      </c>
      <c r="U102" t="s">
        <v>16</v>
      </c>
    </row>
    <row r="103" spans="1:21" x14ac:dyDescent="0.3">
      <c r="A103" t="s">
        <v>27</v>
      </c>
      <c r="B103" t="s">
        <v>709</v>
      </c>
      <c r="C103">
        <v>143</v>
      </c>
      <c r="D103" t="s">
        <v>182</v>
      </c>
      <c r="E103" t="s">
        <v>570</v>
      </c>
      <c r="F103" s="3" t="s">
        <v>718</v>
      </c>
      <c r="G103">
        <v>20018</v>
      </c>
      <c r="H103" t="s">
        <v>219</v>
      </c>
      <c r="I103" t="s">
        <v>719</v>
      </c>
      <c r="J103" t="s">
        <v>95</v>
      </c>
      <c r="K103" t="s">
        <v>95</v>
      </c>
      <c r="L103" t="s">
        <v>720</v>
      </c>
      <c r="M103" t="s">
        <v>449</v>
      </c>
      <c r="N103" t="s">
        <v>95</v>
      </c>
      <c r="O103">
        <v>665</v>
      </c>
      <c r="P103" s="7">
        <v>9565</v>
      </c>
      <c r="Q103">
        <v>0.11</v>
      </c>
      <c r="R103">
        <v>1.1399999999999999</v>
      </c>
      <c r="S103" s="5">
        <f>O103/730</f>
        <v>0.91095890410958902</v>
      </c>
      <c r="T103" t="s">
        <v>16</v>
      </c>
      <c r="U103" t="s">
        <v>16</v>
      </c>
    </row>
    <row r="104" spans="1:21" x14ac:dyDescent="0.3">
      <c r="A104" t="s">
        <v>27</v>
      </c>
      <c r="B104" t="s">
        <v>726</v>
      </c>
      <c r="C104">
        <v>143</v>
      </c>
      <c r="D104" t="s">
        <v>182</v>
      </c>
      <c r="E104" t="s">
        <v>570</v>
      </c>
      <c r="F104" s="3" t="s">
        <v>727</v>
      </c>
      <c r="G104">
        <v>20018</v>
      </c>
      <c r="H104" t="s">
        <v>219</v>
      </c>
      <c r="I104" t="s">
        <v>225</v>
      </c>
      <c r="J104" t="s">
        <v>95</v>
      </c>
      <c r="K104" t="s">
        <v>728</v>
      </c>
      <c r="L104" t="s">
        <v>95</v>
      </c>
      <c r="M104" t="s">
        <v>555</v>
      </c>
      <c r="N104" t="s">
        <v>95</v>
      </c>
      <c r="O104">
        <v>41</v>
      </c>
      <c r="P104" s="7">
        <v>3467</v>
      </c>
      <c r="Q104">
        <v>0.17</v>
      </c>
      <c r="R104">
        <v>1.84</v>
      </c>
      <c r="S104" s="5">
        <f>O104/730</f>
        <v>5.6164383561643834E-2</v>
      </c>
      <c r="T104" t="s">
        <v>16</v>
      </c>
      <c r="U104" t="s">
        <v>16</v>
      </c>
    </row>
  </sheetData>
  <autoFilter ref="A1:U104"/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4"/>
  <sheetViews>
    <sheetView zoomScale="90" zoomScaleNormal="90" workbookViewId="0">
      <pane ySplit="1" topLeftCell="A2" activePane="bottomLeft" state="frozen"/>
      <selection activeCell="F4" sqref="F4"/>
      <selection pane="bottomLeft" activeCell="F4" sqref="F4"/>
    </sheetView>
  </sheetViews>
  <sheetFormatPr defaultRowHeight="16.5" x14ac:dyDescent="0.3"/>
  <cols>
    <col min="1" max="2" width="4.875" customWidth="1"/>
    <col min="3" max="3" width="3.125" customWidth="1"/>
    <col min="4" max="4" width="7.375" customWidth="1"/>
    <col min="5" max="5" width="7.5" customWidth="1"/>
    <col min="6" max="6" width="9" style="3"/>
    <col min="7" max="7" width="5.125" customWidth="1"/>
    <col min="8" max="8" width="5" customWidth="1"/>
    <col min="9" max="9" width="6.625" customWidth="1"/>
    <col min="11" max="11" width="10.375" customWidth="1"/>
    <col min="12" max="13" width="10.125" customWidth="1"/>
    <col min="14" max="14" width="10.5" customWidth="1"/>
    <col min="15" max="15" width="7" customWidth="1"/>
    <col min="16" max="16" width="9.125" style="7" customWidth="1"/>
    <col min="17" max="17" width="6.625" customWidth="1"/>
    <col min="18" max="18" width="7.125" customWidth="1"/>
    <col min="19" max="19" width="7.5" style="5" customWidth="1"/>
    <col min="20" max="20" width="3.5" customWidth="1"/>
    <col min="21" max="21" width="2.75" customWidth="1"/>
  </cols>
  <sheetData>
    <row r="1" spans="1:21" s="1" customFormat="1" ht="33" x14ac:dyDescent="0.3">
      <c r="A1" s="1" t="s">
        <v>0</v>
      </c>
      <c r="B1" s="1" t="s">
        <v>23</v>
      </c>
      <c r="C1" s="1" t="s">
        <v>25</v>
      </c>
      <c r="D1" s="1" t="s">
        <v>1</v>
      </c>
      <c r="E1" s="1" t="s">
        <v>2</v>
      </c>
      <c r="F1" s="8" t="s">
        <v>3</v>
      </c>
      <c r="G1" s="1" t="s">
        <v>4</v>
      </c>
      <c r="H1" s="1" t="s">
        <v>5</v>
      </c>
      <c r="I1" s="9" t="s">
        <v>6</v>
      </c>
      <c r="J1" s="1" t="s">
        <v>10</v>
      </c>
      <c r="K1" s="1" t="s">
        <v>21</v>
      </c>
      <c r="L1" s="1" t="s">
        <v>22</v>
      </c>
      <c r="M1" s="1" t="s">
        <v>11</v>
      </c>
      <c r="N1" s="1" t="s">
        <v>12</v>
      </c>
      <c r="O1" s="1" t="s">
        <v>7</v>
      </c>
      <c r="P1" s="6" t="s">
        <v>39</v>
      </c>
      <c r="Q1" s="1" t="s">
        <v>8</v>
      </c>
      <c r="R1" s="1" t="s">
        <v>19</v>
      </c>
      <c r="S1" s="4" t="s">
        <v>20</v>
      </c>
      <c r="T1" s="1" t="s">
        <v>9</v>
      </c>
      <c r="U1" s="1" t="s">
        <v>13</v>
      </c>
    </row>
    <row r="2" spans="1:21" x14ac:dyDescent="0.3">
      <c r="A2" t="s">
        <v>17</v>
      </c>
      <c r="B2" t="s">
        <v>24</v>
      </c>
      <c r="C2">
        <v>131</v>
      </c>
      <c r="D2" t="s">
        <v>14</v>
      </c>
      <c r="E2" t="s">
        <v>15</v>
      </c>
      <c r="F2" s="3">
        <v>123</v>
      </c>
      <c r="G2">
        <v>99100</v>
      </c>
      <c r="H2" t="s">
        <v>18</v>
      </c>
      <c r="I2" t="s">
        <v>18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>
        <v>20</v>
      </c>
      <c r="P2" s="7">
        <v>0</v>
      </c>
      <c r="Q2">
        <v>0.05</v>
      </c>
      <c r="R2">
        <v>0</v>
      </c>
      <c r="S2" s="5">
        <v>1</v>
      </c>
      <c r="T2" t="s">
        <v>16</v>
      </c>
      <c r="U2" t="s">
        <v>16</v>
      </c>
    </row>
    <row r="3" spans="1:21" x14ac:dyDescent="0.3">
      <c r="A3" t="s">
        <v>27</v>
      </c>
      <c r="B3" t="s">
        <v>24</v>
      </c>
      <c r="C3">
        <v>143</v>
      </c>
      <c r="D3" t="s">
        <v>14</v>
      </c>
      <c r="E3" t="s">
        <v>45</v>
      </c>
      <c r="F3" s="3" t="s">
        <v>46</v>
      </c>
      <c r="G3">
        <v>20018</v>
      </c>
      <c r="H3" t="s">
        <v>219</v>
      </c>
      <c r="I3" t="s">
        <v>222</v>
      </c>
      <c r="J3" t="s">
        <v>95</v>
      </c>
      <c r="K3" t="s">
        <v>16</v>
      </c>
      <c r="L3" t="s">
        <v>16</v>
      </c>
      <c r="M3" t="s">
        <v>227</v>
      </c>
      <c r="N3" t="s">
        <v>16</v>
      </c>
      <c r="O3">
        <v>145</v>
      </c>
      <c r="P3" s="7">
        <v>6245</v>
      </c>
      <c r="Q3">
        <v>0.05</v>
      </c>
      <c r="R3">
        <v>1.43</v>
      </c>
      <c r="S3" s="5">
        <f t="shared" ref="S3:S43" si="0">O3/730</f>
        <v>0.19863013698630136</v>
      </c>
      <c r="T3" t="s">
        <v>16</v>
      </c>
      <c r="U3" t="s">
        <v>16</v>
      </c>
    </row>
    <row r="4" spans="1:21" x14ac:dyDescent="0.3">
      <c r="A4" t="s">
        <v>27</v>
      </c>
      <c r="B4" t="s">
        <v>24</v>
      </c>
      <c r="C4">
        <v>143</v>
      </c>
      <c r="D4" t="s">
        <v>14</v>
      </c>
      <c r="E4" t="s">
        <v>45</v>
      </c>
      <c r="F4" s="3" t="s">
        <v>46</v>
      </c>
      <c r="G4">
        <v>20018</v>
      </c>
      <c r="H4" t="s">
        <v>219</v>
      </c>
      <c r="I4" t="s">
        <v>220</v>
      </c>
      <c r="J4" t="s">
        <v>95</v>
      </c>
      <c r="K4" t="s">
        <v>16</v>
      </c>
      <c r="L4" t="s">
        <v>16</v>
      </c>
      <c r="M4" t="s">
        <v>53</v>
      </c>
      <c r="N4" t="s">
        <v>228</v>
      </c>
      <c r="O4">
        <v>258</v>
      </c>
      <c r="P4" s="7">
        <v>15135</v>
      </c>
      <c r="Q4">
        <v>0.06</v>
      </c>
      <c r="R4">
        <v>1.58</v>
      </c>
      <c r="S4" s="5">
        <f t="shared" si="0"/>
        <v>0.35342465753424657</v>
      </c>
      <c r="T4" t="s">
        <v>16</v>
      </c>
      <c r="U4" t="s">
        <v>16</v>
      </c>
    </row>
    <row r="5" spans="1:21" x14ac:dyDescent="0.3">
      <c r="A5" t="s">
        <v>27</v>
      </c>
      <c r="B5" t="s">
        <v>24</v>
      </c>
      <c r="C5">
        <v>143</v>
      </c>
      <c r="D5" t="s">
        <v>14</v>
      </c>
      <c r="E5" t="s">
        <v>45</v>
      </c>
      <c r="F5" s="3" t="s">
        <v>46</v>
      </c>
      <c r="G5">
        <v>20018</v>
      </c>
      <c r="H5" t="s">
        <v>219</v>
      </c>
      <c r="I5" t="s">
        <v>221</v>
      </c>
      <c r="J5" t="s">
        <v>95</v>
      </c>
      <c r="K5" t="s">
        <v>231</v>
      </c>
      <c r="L5" t="s">
        <v>16</v>
      </c>
      <c r="M5" t="s">
        <v>53</v>
      </c>
      <c r="N5" t="s">
        <v>95</v>
      </c>
      <c r="O5">
        <v>61</v>
      </c>
      <c r="P5" s="7">
        <v>5062</v>
      </c>
      <c r="Q5">
        <v>0.22</v>
      </c>
      <c r="R5">
        <v>1.82</v>
      </c>
      <c r="S5" s="5">
        <f t="shared" si="0"/>
        <v>8.3561643835616442E-2</v>
      </c>
      <c r="T5" t="s">
        <v>16</v>
      </c>
      <c r="U5" t="s">
        <v>16</v>
      </c>
    </row>
    <row r="6" spans="1:21" x14ac:dyDescent="0.3">
      <c r="A6" t="s">
        <v>27</v>
      </c>
      <c r="B6" t="s">
        <v>24</v>
      </c>
      <c r="C6">
        <v>143</v>
      </c>
      <c r="D6" t="s">
        <v>14</v>
      </c>
      <c r="E6" t="s">
        <v>45</v>
      </c>
      <c r="F6" s="3" t="s">
        <v>183</v>
      </c>
      <c r="G6">
        <v>20018</v>
      </c>
      <c r="H6" t="s">
        <v>219</v>
      </c>
      <c r="I6" t="s">
        <v>222</v>
      </c>
      <c r="J6" t="s">
        <v>95</v>
      </c>
      <c r="K6" t="s">
        <v>232</v>
      </c>
      <c r="L6" t="s">
        <v>16</v>
      </c>
      <c r="M6" t="s">
        <v>53</v>
      </c>
      <c r="N6" t="s">
        <v>95</v>
      </c>
      <c r="O6">
        <v>24</v>
      </c>
      <c r="P6" s="7">
        <v>4838</v>
      </c>
      <c r="Q6">
        <v>0.12</v>
      </c>
      <c r="R6">
        <v>3.01</v>
      </c>
      <c r="S6" s="5">
        <f t="shared" si="0"/>
        <v>3.287671232876712E-2</v>
      </c>
      <c r="T6" t="s">
        <v>16</v>
      </c>
      <c r="U6" t="s">
        <v>16</v>
      </c>
    </row>
    <row r="7" spans="1:21" x14ac:dyDescent="0.3">
      <c r="A7" t="s">
        <v>27</v>
      </c>
      <c r="B7" t="s">
        <v>68</v>
      </c>
      <c r="C7">
        <v>143</v>
      </c>
      <c r="D7" t="s">
        <v>14</v>
      </c>
      <c r="E7" t="s">
        <v>45</v>
      </c>
      <c r="F7" s="3" t="s">
        <v>185</v>
      </c>
      <c r="G7">
        <v>20018</v>
      </c>
      <c r="H7" t="s">
        <v>219</v>
      </c>
      <c r="I7" t="s">
        <v>225</v>
      </c>
      <c r="J7" t="s">
        <v>95</v>
      </c>
      <c r="K7" t="s">
        <v>95</v>
      </c>
      <c r="L7" t="s">
        <v>16</v>
      </c>
      <c r="M7" t="s">
        <v>95</v>
      </c>
      <c r="N7" t="s">
        <v>239</v>
      </c>
      <c r="O7">
        <v>510</v>
      </c>
      <c r="P7" s="7">
        <v>10335</v>
      </c>
      <c r="Q7">
        <v>0.1</v>
      </c>
      <c r="R7">
        <v>1.2</v>
      </c>
      <c r="S7" s="5">
        <f t="shared" si="0"/>
        <v>0.69863013698630139</v>
      </c>
      <c r="T7" t="s">
        <v>16</v>
      </c>
      <c r="U7" t="s">
        <v>16</v>
      </c>
    </row>
    <row r="8" spans="1:21" x14ac:dyDescent="0.3">
      <c r="A8" t="s">
        <v>27</v>
      </c>
      <c r="B8" t="s">
        <v>24</v>
      </c>
      <c r="C8">
        <v>143</v>
      </c>
      <c r="D8" t="s">
        <v>14</v>
      </c>
      <c r="E8" t="s">
        <v>45</v>
      </c>
      <c r="F8" s="3" t="s">
        <v>185</v>
      </c>
      <c r="G8">
        <v>20018</v>
      </c>
      <c r="H8" t="s">
        <v>219</v>
      </c>
      <c r="I8" t="s">
        <v>220</v>
      </c>
      <c r="J8" t="s">
        <v>95</v>
      </c>
      <c r="K8" t="s">
        <v>95</v>
      </c>
      <c r="L8" t="s">
        <v>16</v>
      </c>
      <c r="M8" t="s">
        <v>241</v>
      </c>
      <c r="N8" t="s">
        <v>53</v>
      </c>
      <c r="O8">
        <v>451</v>
      </c>
      <c r="P8" s="7">
        <v>13647</v>
      </c>
      <c r="Q8">
        <v>7.0000000000000007E-2</v>
      </c>
      <c r="R8">
        <v>1.3</v>
      </c>
      <c r="S8" s="5">
        <f t="shared" si="0"/>
        <v>0.61780821917808215</v>
      </c>
      <c r="T8" t="s">
        <v>16</v>
      </c>
      <c r="U8" t="s">
        <v>16</v>
      </c>
    </row>
    <row r="9" spans="1:21" x14ac:dyDescent="0.3">
      <c r="A9" t="s">
        <v>27</v>
      </c>
      <c r="B9" t="s">
        <v>24</v>
      </c>
      <c r="C9">
        <v>143</v>
      </c>
      <c r="D9" t="s">
        <v>14</v>
      </c>
      <c r="E9" t="s">
        <v>45</v>
      </c>
      <c r="F9" s="3" t="s">
        <v>188</v>
      </c>
      <c r="G9">
        <v>20018</v>
      </c>
      <c r="H9" t="s">
        <v>219</v>
      </c>
      <c r="I9" t="s">
        <v>222</v>
      </c>
      <c r="J9" t="s">
        <v>95</v>
      </c>
      <c r="K9" t="s">
        <v>95</v>
      </c>
      <c r="L9" t="s">
        <v>243</v>
      </c>
      <c r="M9" t="s">
        <v>95</v>
      </c>
      <c r="N9" t="s">
        <v>53</v>
      </c>
      <c r="O9">
        <v>148</v>
      </c>
      <c r="P9" s="7">
        <v>11505</v>
      </c>
      <c r="Q9">
        <v>0.08</v>
      </c>
      <c r="R9">
        <v>1.77</v>
      </c>
      <c r="S9" s="5">
        <f t="shared" si="0"/>
        <v>0.20273972602739726</v>
      </c>
      <c r="T9" t="s">
        <v>16</v>
      </c>
      <c r="U9" t="s">
        <v>16</v>
      </c>
    </row>
    <row r="10" spans="1:21" x14ac:dyDescent="0.3">
      <c r="A10" t="s">
        <v>27</v>
      </c>
      <c r="B10" t="s">
        <v>24</v>
      </c>
      <c r="C10">
        <v>143</v>
      </c>
      <c r="D10" t="s">
        <v>14</v>
      </c>
      <c r="E10" t="s">
        <v>45</v>
      </c>
      <c r="F10" s="3" t="s">
        <v>247</v>
      </c>
      <c r="G10">
        <v>20018</v>
      </c>
      <c r="H10" t="s">
        <v>219</v>
      </c>
      <c r="I10" t="s">
        <v>225</v>
      </c>
      <c r="J10" t="s">
        <v>53</v>
      </c>
      <c r="K10" t="s">
        <v>248</v>
      </c>
      <c r="L10" t="s">
        <v>95</v>
      </c>
      <c r="M10" t="s">
        <v>95</v>
      </c>
      <c r="N10" t="s">
        <v>53</v>
      </c>
      <c r="O10">
        <v>39</v>
      </c>
      <c r="P10" s="7">
        <v>5366</v>
      </c>
      <c r="Q10">
        <v>0.1</v>
      </c>
      <c r="R10">
        <v>2.37</v>
      </c>
      <c r="S10" s="5">
        <f t="shared" si="0"/>
        <v>5.3424657534246578E-2</v>
      </c>
      <c r="T10" t="s">
        <v>16</v>
      </c>
      <c r="U10" t="s">
        <v>16</v>
      </c>
    </row>
    <row r="11" spans="1:21" x14ac:dyDescent="0.3">
      <c r="A11" t="s">
        <v>27</v>
      </c>
      <c r="B11" t="s">
        <v>24</v>
      </c>
      <c r="C11">
        <v>143</v>
      </c>
      <c r="D11" t="s">
        <v>14</v>
      </c>
      <c r="E11" t="s">
        <v>45</v>
      </c>
      <c r="F11" s="3" t="s">
        <v>251</v>
      </c>
      <c r="G11">
        <v>20018</v>
      </c>
      <c r="H11" t="s">
        <v>219</v>
      </c>
      <c r="I11" t="s">
        <v>225</v>
      </c>
      <c r="J11" t="s">
        <v>253</v>
      </c>
      <c r="K11" t="s">
        <v>53</v>
      </c>
      <c r="L11" t="s">
        <v>95</v>
      </c>
      <c r="M11" t="s">
        <v>95</v>
      </c>
      <c r="N11" t="s">
        <v>53</v>
      </c>
      <c r="O11">
        <v>122</v>
      </c>
      <c r="P11" s="7">
        <v>5732</v>
      </c>
      <c r="Q11">
        <v>0.15</v>
      </c>
      <c r="R11">
        <v>1.46</v>
      </c>
      <c r="S11" s="5">
        <f t="shared" si="0"/>
        <v>0.16712328767123288</v>
      </c>
      <c r="T11" t="s">
        <v>16</v>
      </c>
      <c r="U11" t="s">
        <v>16</v>
      </c>
    </row>
    <row r="12" spans="1:21" x14ac:dyDescent="0.3">
      <c r="A12" t="s">
        <v>27</v>
      </c>
      <c r="B12" t="s">
        <v>24</v>
      </c>
      <c r="C12">
        <v>143</v>
      </c>
      <c r="D12" t="s">
        <v>14</v>
      </c>
      <c r="E12" t="s">
        <v>45</v>
      </c>
      <c r="F12" s="3" t="s">
        <v>251</v>
      </c>
      <c r="G12">
        <v>20018</v>
      </c>
      <c r="H12" t="s">
        <v>219</v>
      </c>
      <c r="I12" t="s">
        <v>222</v>
      </c>
      <c r="J12" t="s">
        <v>254</v>
      </c>
      <c r="K12" t="s">
        <v>53</v>
      </c>
      <c r="L12" t="s">
        <v>95</v>
      </c>
      <c r="M12" t="s">
        <v>95</v>
      </c>
      <c r="N12" t="s">
        <v>53</v>
      </c>
      <c r="O12">
        <v>180</v>
      </c>
      <c r="P12" s="7">
        <v>6690</v>
      </c>
      <c r="Q12">
        <v>0.13</v>
      </c>
      <c r="R12">
        <v>1.37</v>
      </c>
      <c r="S12" s="5">
        <f t="shared" si="0"/>
        <v>0.24657534246575341</v>
      </c>
      <c r="T12" t="s">
        <v>16</v>
      </c>
      <c r="U12" t="s">
        <v>16</v>
      </c>
    </row>
    <row r="13" spans="1:21" x14ac:dyDescent="0.3">
      <c r="A13" t="s">
        <v>27</v>
      </c>
      <c r="B13" t="s">
        <v>68</v>
      </c>
      <c r="C13">
        <v>143</v>
      </c>
      <c r="D13" t="s">
        <v>14</v>
      </c>
      <c r="E13" t="s">
        <v>45</v>
      </c>
      <c r="F13" s="3" t="s">
        <v>256</v>
      </c>
      <c r="G13">
        <v>20018</v>
      </c>
      <c r="H13" t="s">
        <v>219</v>
      </c>
      <c r="I13" t="s">
        <v>222</v>
      </c>
      <c r="J13" t="s">
        <v>95</v>
      </c>
      <c r="K13" t="s">
        <v>95</v>
      </c>
      <c r="L13" t="s">
        <v>95</v>
      </c>
      <c r="M13" t="s">
        <v>95</v>
      </c>
      <c r="N13" t="s">
        <v>260</v>
      </c>
      <c r="O13">
        <v>477</v>
      </c>
      <c r="P13" s="7">
        <v>11099</v>
      </c>
      <c r="Q13">
        <v>0.1</v>
      </c>
      <c r="R13">
        <v>1.23</v>
      </c>
      <c r="S13" s="5">
        <f t="shared" si="0"/>
        <v>0.65342465753424661</v>
      </c>
      <c r="T13" t="s">
        <v>16</v>
      </c>
      <c r="U13" t="s">
        <v>16</v>
      </c>
    </row>
    <row r="14" spans="1:21" x14ac:dyDescent="0.3">
      <c r="A14" t="s">
        <v>27</v>
      </c>
      <c r="B14" t="s">
        <v>68</v>
      </c>
      <c r="C14">
        <v>143</v>
      </c>
      <c r="D14" t="s">
        <v>14</v>
      </c>
      <c r="E14" t="s">
        <v>45</v>
      </c>
      <c r="F14" s="3" t="s">
        <v>256</v>
      </c>
      <c r="G14">
        <v>20018</v>
      </c>
      <c r="H14" t="s">
        <v>219</v>
      </c>
      <c r="I14" t="s">
        <v>221</v>
      </c>
      <c r="J14" t="s">
        <v>95</v>
      </c>
      <c r="K14" t="s">
        <v>95</v>
      </c>
      <c r="L14" t="s">
        <v>95</v>
      </c>
      <c r="M14" t="s">
        <v>95</v>
      </c>
      <c r="N14" t="s">
        <v>261</v>
      </c>
      <c r="O14">
        <v>43</v>
      </c>
      <c r="P14" s="7">
        <v>2475</v>
      </c>
      <c r="Q14">
        <v>0.18</v>
      </c>
      <c r="R14">
        <v>1.57</v>
      </c>
      <c r="S14" s="5">
        <f t="shared" si="0"/>
        <v>5.8904109589041097E-2</v>
      </c>
      <c r="T14" t="s">
        <v>16</v>
      </c>
      <c r="U14" t="s">
        <v>16</v>
      </c>
    </row>
    <row r="15" spans="1:21" x14ac:dyDescent="0.3">
      <c r="A15" t="s">
        <v>27</v>
      </c>
      <c r="B15" t="s">
        <v>68</v>
      </c>
      <c r="C15">
        <v>143</v>
      </c>
      <c r="D15" t="s">
        <v>14</v>
      </c>
      <c r="E15" t="s">
        <v>45</v>
      </c>
      <c r="F15" s="3" t="s">
        <v>262</v>
      </c>
      <c r="G15">
        <v>20018</v>
      </c>
      <c r="H15" t="s">
        <v>219</v>
      </c>
      <c r="I15" t="s">
        <v>225</v>
      </c>
      <c r="J15" t="s">
        <v>95</v>
      </c>
      <c r="K15" t="s">
        <v>95</v>
      </c>
      <c r="L15" t="s">
        <v>95</v>
      </c>
      <c r="M15" t="s">
        <v>263</v>
      </c>
      <c r="N15" t="s">
        <v>53</v>
      </c>
      <c r="O15">
        <v>24</v>
      </c>
      <c r="P15" s="7">
        <v>2998</v>
      </c>
      <c r="Q15">
        <v>0.12</v>
      </c>
      <c r="R15">
        <v>2.2400000000000002</v>
      </c>
      <c r="S15" s="5">
        <f t="shared" si="0"/>
        <v>3.287671232876712E-2</v>
      </c>
      <c r="T15" t="s">
        <v>16</v>
      </c>
      <c r="U15" t="s">
        <v>16</v>
      </c>
    </row>
    <row r="16" spans="1:21" x14ac:dyDescent="0.3">
      <c r="A16" t="s">
        <v>27</v>
      </c>
      <c r="B16" t="s">
        <v>68</v>
      </c>
      <c r="C16">
        <v>143</v>
      </c>
      <c r="D16" t="s">
        <v>14</v>
      </c>
      <c r="E16" t="s">
        <v>45</v>
      </c>
      <c r="F16" s="3" t="s">
        <v>262</v>
      </c>
      <c r="G16">
        <v>20018</v>
      </c>
      <c r="H16" t="s">
        <v>219</v>
      </c>
      <c r="I16" t="s">
        <v>220</v>
      </c>
      <c r="J16" t="s">
        <v>95</v>
      </c>
      <c r="K16" t="s">
        <v>95</v>
      </c>
      <c r="L16" t="s">
        <v>95</v>
      </c>
      <c r="M16" t="s">
        <v>95</v>
      </c>
      <c r="N16" t="s">
        <v>264</v>
      </c>
      <c r="O16">
        <v>112</v>
      </c>
      <c r="P16" s="7">
        <v>5485</v>
      </c>
      <c r="Q16">
        <v>0.08</v>
      </c>
      <c r="R16">
        <v>1.48</v>
      </c>
      <c r="S16" s="5">
        <f t="shared" si="0"/>
        <v>0.15342465753424658</v>
      </c>
      <c r="T16" t="s">
        <v>16</v>
      </c>
      <c r="U16" t="s">
        <v>16</v>
      </c>
    </row>
    <row r="17" spans="1:21" x14ac:dyDescent="0.3">
      <c r="A17" t="s">
        <v>27</v>
      </c>
      <c r="B17" t="s">
        <v>24</v>
      </c>
      <c r="C17">
        <v>143</v>
      </c>
      <c r="D17" t="s">
        <v>14</v>
      </c>
      <c r="E17" t="s">
        <v>45</v>
      </c>
      <c r="F17" s="3" t="s">
        <v>48</v>
      </c>
      <c r="G17">
        <v>20018</v>
      </c>
      <c r="H17" t="s">
        <v>219</v>
      </c>
      <c r="I17" t="s">
        <v>220</v>
      </c>
      <c r="J17" t="s">
        <v>269</v>
      </c>
      <c r="K17" t="s">
        <v>95</v>
      </c>
      <c r="L17" t="s">
        <v>95</v>
      </c>
      <c r="M17" t="s">
        <v>95</v>
      </c>
      <c r="N17" t="s">
        <v>95</v>
      </c>
      <c r="O17">
        <v>56</v>
      </c>
      <c r="P17" s="7">
        <v>4846</v>
      </c>
      <c r="Q17">
        <v>0.12</v>
      </c>
      <c r="R17">
        <v>1.86</v>
      </c>
      <c r="S17" s="5">
        <f t="shared" si="0"/>
        <v>7.6712328767123292E-2</v>
      </c>
      <c r="T17" t="s">
        <v>16</v>
      </c>
      <c r="U17" t="s">
        <v>16</v>
      </c>
    </row>
    <row r="18" spans="1:21" x14ac:dyDescent="0.3">
      <c r="A18" t="s">
        <v>27</v>
      </c>
      <c r="B18" t="s">
        <v>24</v>
      </c>
      <c r="C18">
        <v>143</v>
      </c>
      <c r="D18" t="s">
        <v>14</v>
      </c>
      <c r="E18" t="s">
        <v>45</v>
      </c>
      <c r="F18" s="3" t="s">
        <v>50</v>
      </c>
      <c r="G18">
        <v>20018</v>
      </c>
      <c r="H18" t="s">
        <v>219</v>
      </c>
      <c r="I18" t="s">
        <v>225</v>
      </c>
      <c r="J18" t="s">
        <v>270</v>
      </c>
      <c r="K18" t="s">
        <v>95</v>
      </c>
      <c r="L18" t="s">
        <v>95</v>
      </c>
      <c r="M18" t="s">
        <v>95</v>
      </c>
      <c r="N18" t="s">
        <v>95</v>
      </c>
      <c r="O18">
        <v>327</v>
      </c>
      <c r="P18" s="7">
        <v>17376</v>
      </c>
      <c r="Q18">
        <v>0.18</v>
      </c>
      <c r="R18">
        <v>1.53</v>
      </c>
      <c r="S18" s="5">
        <f t="shared" si="0"/>
        <v>0.44794520547945205</v>
      </c>
      <c r="T18" t="s">
        <v>16</v>
      </c>
      <c r="U18" t="s">
        <v>16</v>
      </c>
    </row>
    <row r="19" spans="1:21" x14ac:dyDescent="0.3">
      <c r="A19" t="s">
        <v>27</v>
      </c>
      <c r="B19" t="s">
        <v>24</v>
      </c>
      <c r="C19">
        <v>143</v>
      </c>
      <c r="D19" t="s">
        <v>14</v>
      </c>
      <c r="E19" t="s">
        <v>45</v>
      </c>
      <c r="F19" s="3" t="s">
        <v>50</v>
      </c>
      <c r="G19">
        <v>20018</v>
      </c>
      <c r="H19" t="s">
        <v>219</v>
      </c>
      <c r="I19" t="s">
        <v>222</v>
      </c>
      <c r="J19" t="s">
        <v>95</v>
      </c>
      <c r="K19" t="s">
        <v>95</v>
      </c>
      <c r="L19" t="s">
        <v>95</v>
      </c>
      <c r="M19" t="s">
        <v>95</v>
      </c>
      <c r="N19" t="s">
        <v>271</v>
      </c>
      <c r="O19">
        <v>395</v>
      </c>
      <c r="P19" s="7">
        <v>11994</v>
      </c>
      <c r="Q19">
        <v>0.16</v>
      </c>
      <c r="R19">
        <v>3.18</v>
      </c>
      <c r="S19" s="5">
        <f t="shared" si="0"/>
        <v>0.54109589041095896</v>
      </c>
      <c r="T19" t="s">
        <v>16</v>
      </c>
      <c r="U19" t="s">
        <v>16</v>
      </c>
    </row>
    <row r="20" spans="1:21" x14ac:dyDescent="0.3">
      <c r="A20" t="s">
        <v>27</v>
      </c>
      <c r="B20" t="s">
        <v>24</v>
      </c>
      <c r="C20">
        <v>143</v>
      </c>
      <c r="D20" t="s">
        <v>14</v>
      </c>
      <c r="E20" t="s">
        <v>45</v>
      </c>
      <c r="F20" s="3" t="s">
        <v>50</v>
      </c>
      <c r="G20">
        <v>20018</v>
      </c>
      <c r="H20" t="s">
        <v>219</v>
      </c>
      <c r="I20" t="s">
        <v>220</v>
      </c>
      <c r="J20" t="s">
        <v>95</v>
      </c>
      <c r="K20" t="s">
        <v>272</v>
      </c>
      <c r="L20" t="s">
        <v>95</v>
      </c>
      <c r="M20" t="s">
        <v>95</v>
      </c>
      <c r="N20" t="s">
        <v>53</v>
      </c>
      <c r="O20">
        <v>300</v>
      </c>
      <c r="P20" s="7">
        <v>9065</v>
      </c>
      <c r="Q20">
        <v>0.08</v>
      </c>
      <c r="R20">
        <v>2.16</v>
      </c>
      <c r="S20" s="5">
        <f t="shared" si="0"/>
        <v>0.41095890410958902</v>
      </c>
      <c r="T20" t="s">
        <v>16</v>
      </c>
      <c r="U20" t="s">
        <v>16</v>
      </c>
    </row>
    <row r="21" spans="1:21" x14ac:dyDescent="0.3">
      <c r="A21" t="s">
        <v>27</v>
      </c>
      <c r="B21" t="s">
        <v>24</v>
      </c>
      <c r="C21">
        <v>143</v>
      </c>
      <c r="D21" t="s">
        <v>14</v>
      </c>
      <c r="E21" t="s">
        <v>45</v>
      </c>
      <c r="F21" s="3" t="s">
        <v>50</v>
      </c>
      <c r="G21">
        <v>20018</v>
      </c>
      <c r="H21" t="s">
        <v>219</v>
      </c>
      <c r="I21" t="s">
        <v>221</v>
      </c>
      <c r="J21" t="s">
        <v>95</v>
      </c>
      <c r="K21" t="s">
        <v>53</v>
      </c>
      <c r="L21" t="s">
        <v>95</v>
      </c>
      <c r="M21" t="s">
        <v>95</v>
      </c>
      <c r="N21" t="s">
        <v>260</v>
      </c>
      <c r="O21">
        <v>14</v>
      </c>
      <c r="P21" s="7">
        <v>3539</v>
      </c>
      <c r="Q21">
        <v>0.21</v>
      </c>
      <c r="R21">
        <v>3.52</v>
      </c>
      <c r="S21" s="5">
        <f t="shared" si="0"/>
        <v>1.9178082191780823E-2</v>
      </c>
      <c r="T21" t="s">
        <v>16</v>
      </c>
      <c r="U21" t="s">
        <v>16</v>
      </c>
    </row>
    <row r="22" spans="1:21" x14ac:dyDescent="0.3">
      <c r="A22" t="s">
        <v>27</v>
      </c>
      <c r="B22" t="s">
        <v>24</v>
      </c>
      <c r="C22">
        <v>143</v>
      </c>
      <c r="D22" t="s">
        <v>14</v>
      </c>
      <c r="E22" t="s">
        <v>45</v>
      </c>
      <c r="F22" s="3" t="s">
        <v>273</v>
      </c>
      <c r="G22">
        <v>20018</v>
      </c>
      <c r="H22" t="s">
        <v>219</v>
      </c>
      <c r="I22" t="s">
        <v>220</v>
      </c>
      <c r="J22" t="s">
        <v>95</v>
      </c>
      <c r="K22" t="s">
        <v>53</v>
      </c>
      <c r="L22" t="s">
        <v>95</v>
      </c>
      <c r="M22" t="s">
        <v>95</v>
      </c>
      <c r="N22" t="s">
        <v>275</v>
      </c>
      <c r="O22">
        <v>16</v>
      </c>
      <c r="P22" s="7">
        <v>4060</v>
      </c>
      <c r="Q22">
        <v>0.12</v>
      </c>
      <c r="R22">
        <v>3.53</v>
      </c>
      <c r="S22" s="5">
        <f t="shared" si="0"/>
        <v>2.1917808219178082E-2</v>
      </c>
      <c r="T22" t="s">
        <v>16</v>
      </c>
      <c r="U22" t="s">
        <v>16</v>
      </c>
    </row>
    <row r="23" spans="1:21" x14ac:dyDescent="0.3">
      <c r="A23" t="s">
        <v>27</v>
      </c>
      <c r="B23" t="s">
        <v>24</v>
      </c>
      <c r="C23">
        <v>143</v>
      </c>
      <c r="D23" t="s">
        <v>14</v>
      </c>
      <c r="E23" t="s">
        <v>45</v>
      </c>
      <c r="F23" s="3" t="s">
        <v>273</v>
      </c>
      <c r="G23">
        <v>20018</v>
      </c>
      <c r="H23" t="s">
        <v>219</v>
      </c>
      <c r="I23" t="s">
        <v>221</v>
      </c>
      <c r="J23" t="s">
        <v>95</v>
      </c>
      <c r="K23" t="s">
        <v>53</v>
      </c>
      <c r="L23" t="s">
        <v>95</v>
      </c>
      <c r="M23" t="s">
        <v>95</v>
      </c>
      <c r="N23" t="s">
        <v>229</v>
      </c>
      <c r="O23">
        <v>14</v>
      </c>
      <c r="P23" s="7">
        <v>750</v>
      </c>
      <c r="Q23">
        <v>0.14000000000000001</v>
      </c>
      <c r="R23">
        <v>1.53</v>
      </c>
      <c r="S23" s="5">
        <f t="shared" si="0"/>
        <v>1.9178082191780823E-2</v>
      </c>
      <c r="T23" t="s">
        <v>16</v>
      </c>
      <c r="U23" t="s">
        <v>16</v>
      </c>
    </row>
    <row r="24" spans="1:21" x14ac:dyDescent="0.3">
      <c r="A24" t="s">
        <v>27</v>
      </c>
      <c r="B24" t="s">
        <v>24</v>
      </c>
      <c r="C24">
        <v>143</v>
      </c>
      <c r="D24" t="s">
        <v>14</v>
      </c>
      <c r="E24" t="s">
        <v>45</v>
      </c>
      <c r="F24" s="3" t="s">
        <v>52</v>
      </c>
      <c r="G24">
        <v>20018</v>
      </c>
      <c r="H24" t="s">
        <v>219</v>
      </c>
      <c r="I24" t="s">
        <v>225</v>
      </c>
      <c r="J24" t="s">
        <v>95</v>
      </c>
      <c r="K24" t="s">
        <v>276</v>
      </c>
      <c r="L24" t="s">
        <v>95</v>
      </c>
      <c r="M24" t="s">
        <v>95</v>
      </c>
      <c r="N24" t="s">
        <v>53</v>
      </c>
      <c r="O24">
        <v>65</v>
      </c>
      <c r="P24" s="7">
        <v>4182</v>
      </c>
      <c r="Q24">
        <v>0.18</v>
      </c>
      <c r="R24">
        <v>1.64</v>
      </c>
      <c r="S24" s="5">
        <f t="shared" si="0"/>
        <v>8.9041095890410954E-2</v>
      </c>
      <c r="T24" t="s">
        <v>16</v>
      </c>
      <c r="U24" t="s">
        <v>16</v>
      </c>
    </row>
    <row r="25" spans="1:21" x14ac:dyDescent="0.3">
      <c r="A25" t="s">
        <v>27</v>
      </c>
      <c r="B25" t="s">
        <v>24</v>
      </c>
      <c r="C25">
        <v>143</v>
      </c>
      <c r="D25" t="s">
        <v>14</v>
      </c>
      <c r="E25" t="s">
        <v>45</v>
      </c>
      <c r="F25" s="3" t="s">
        <v>52</v>
      </c>
      <c r="G25">
        <v>20018</v>
      </c>
      <c r="H25" t="s">
        <v>219</v>
      </c>
      <c r="I25" t="s">
        <v>220</v>
      </c>
      <c r="J25" t="s">
        <v>95</v>
      </c>
      <c r="K25" t="s">
        <v>95</v>
      </c>
      <c r="L25" t="s">
        <v>95</v>
      </c>
      <c r="M25" t="s">
        <v>53</v>
      </c>
      <c r="N25" t="s">
        <v>278</v>
      </c>
      <c r="O25">
        <v>111</v>
      </c>
      <c r="P25" s="7">
        <v>5329</v>
      </c>
      <c r="Q25">
        <v>0.1</v>
      </c>
      <c r="R25">
        <v>1.48</v>
      </c>
      <c r="S25" s="5">
        <f t="shared" si="0"/>
        <v>0.15205479452054796</v>
      </c>
      <c r="T25" t="s">
        <v>16</v>
      </c>
      <c r="U25" t="s">
        <v>16</v>
      </c>
    </row>
    <row r="26" spans="1:21" x14ac:dyDescent="0.3">
      <c r="A26" t="s">
        <v>27</v>
      </c>
      <c r="B26" t="s">
        <v>68</v>
      </c>
      <c r="C26">
        <v>143</v>
      </c>
      <c r="D26" t="s">
        <v>14</v>
      </c>
      <c r="E26" t="s">
        <v>45</v>
      </c>
      <c r="F26" s="3" t="s">
        <v>190</v>
      </c>
      <c r="G26">
        <v>20018</v>
      </c>
      <c r="H26" t="s">
        <v>219</v>
      </c>
      <c r="I26" t="s">
        <v>225</v>
      </c>
      <c r="J26" t="s">
        <v>281</v>
      </c>
      <c r="K26" t="s">
        <v>95</v>
      </c>
      <c r="L26" t="s">
        <v>95</v>
      </c>
      <c r="M26" t="s">
        <v>53</v>
      </c>
      <c r="N26" t="s">
        <v>53</v>
      </c>
      <c r="O26">
        <v>174</v>
      </c>
      <c r="P26" s="7">
        <v>6005</v>
      </c>
      <c r="Q26">
        <v>0.13</v>
      </c>
      <c r="R26">
        <v>1.34</v>
      </c>
      <c r="S26" s="5">
        <f t="shared" si="0"/>
        <v>0.23835616438356164</v>
      </c>
      <c r="T26" t="s">
        <v>16</v>
      </c>
      <c r="U26" t="s">
        <v>16</v>
      </c>
    </row>
    <row r="27" spans="1:21" x14ac:dyDescent="0.3">
      <c r="A27" t="s">
        <v>27</v>
      </c>
      <c r="B27" t="s">
        <v>24</v>
      </c>
      <c r="C27">
        <v>143</v>
      </c>
      <c r="D27" t="s">
        <v>14</v>
      </c>
      <c r="E27" t="s">
        <v>45</v>
      </c>
      <c r="F27" s="3" t="s">
        <v>190</v>
      </c>
      <c r="G27">
        <v>20018</v>
      </c>
      <c r="H27" t="s">
        <v>219</v>
      </c>
      <c r="I27" t="s">
        <v>220</v>
      </c>
      <c r="J27" t="s">
        <v>53</v>
      </c>
      <c r="K27" t="s">
        <v>95</v>
      </c>
      <c r="L27" t="s">
        <v>53</v>
      </c>
      <c r="M27" t="s">
        <v>53</v>
      </c>
      <c r="N27" t="s">
        <v>283</v>
      </c>
      <c r="O27">
        <v>240</v>
      </c>
      <c r="P27" s="7">
        <v>9925</v>
      </c>
      <c r="Q27">
        <v>0.05</v>
      </c>
      <c r="R27">
        <v>1.41</v>
      </c>
      <c r="S27" s="5">
        <f t="shared" si="0"/>
        <v>0.32876712328767121</v>
      </c>
      <c r="T27" t="s">
        <v>16</v>
      </c>
      <c r="U27" t="s">
        <v>16</v>
      </c>
    </row>
    <row r="28" spans="1:21" x14ac:dyDescent="0.3">
      <c r="A28" t="s">
        <v>27</v>
      </c>
      <c r="B28" t="s">
        <v>24</v>
      </c>
      <c r="C28">
        <v>143</v>
      </c>
      <c r="D28" t="s">
        <v>14</v>
      </c>
      <c r="E28" t="s">
        <v>45</v>
      </c>
      <c r="F28" s="3" t="s">
        <v>190</v>
      </c>
      <c r="G28">
        <v>20018</v>
      </c>
      <c r="H28" t="s">
        <v>219</v>
      </c>
      <c r="I28" t="s">
        <v>221</v>
      </c>
      <c r="J28" t="s">
        <v>285</v>
      </c>
      <c r="K28" t="s">
        <v>95</v>
      </c>
      <c r="L28" t="s">
        <v>53</v>
      </c>
      <c r="M28" t="s">
        <v>53</v>
      </c>
      <c r="N28" t="s">
        <v>95</v>
      </c>
      <c r="O28">
        <v>14</v>
      </c>
      <c r="P28" s="7">
        <v>2318</v>
      </c>
      <c r="Q28">
        <v>0.21</v>
      </c>
      <c r="R28">
        <v>2.65</v>
      </c>
      <c r="S28" s="5">
        <f t="shared" si="0"/>
        <v>1.9178082191780823E-2</v>
      </c>
      <c r="T28" t="s">
        <v>16</v>
      </c>
      <c r="U28" t="s">
        <v>16</v>
      </c>
    </row>
    <row r="29" spans="1:21" x14ac:dyDescent="0.3">
      <c r="A29" t="s">
        <v>27</v>
      </c>
      <c r="B29" t="s">
        <v>24</v>
      </c>
      <c r="C29">
        <v>143</v>
      </c>
      <c r="D29" t="s">
        <v>14</v>
      </c>
      <c r="E29" t="s">
        <v>45</v>
      </c>
      <c r="F29" s="3" t="s">
        <v>55</v>
      </c>
      <c r="G29">
        <v>20018</v>
      </c>
      <c r="H29" t="s">
        <v>219</v>
      </c>
      <c r="I29" t="s">
        <v>222</v>
      </c>
      <c r="J29" t="s">
        <v>53</v>
      </c>
      <c r="K29" t="s">
        <v>95</v>
      </c>
      <c r="L29" t="s">
        <v>53</v>
      </c>
      <c r="M29" t="s">
        <v>287</v>
      </c>
      <c r="N29" t="s">
        <v>95</v>
      </c>
      <c r="O29">
        <v>135</v>
      </c>
      <c r="P29" s="7">
        <v>8114</v>
      </c>
      <c r="Q29">
        <v>7.0000000000000007E-2</v>
      </c>
      <c r="R29">
        <v>1.6</v>
      </c>
      <c r="S29" s="5">
        <f t="shared" si="0"/>
        <v>0.18493150684931506</v>
      </c>
      <c r="T29" t="s">
        <v>16</v>
      </c>
      <c r="U29" t="s">
        <v>16</v>
      </c>
    </row>
    <row r="30" spans="1:21" x14ac:dyDescent="0.3">
      <c r="A30" t="s">
        <v>27</v>
      </c>
      <c r="B30" t="s">
        <v>24</v>
      </c>
      <c r="C30">
        <v>143</v>
      </c>
      <c r="D30" t="s">
        <v>14</v>
      </c>
      <c r="E30" t="s">
        <v>45</v>
      </c>
      <c r="F30" s="3" t="s">
        <v>55</v>
      </c>
      <c r="G30">
        <v>20018</v>
      </c>
      <c r="H30" t="s">
        <v>219</v>
      </c>
      <c r="I30" t="s">
        <v>220</v>
      </c>
      <c r="J30" t="s">
        <v>53</v>
      </c>
      <c r="K30" t="s">
        <v>288</v>
      </c>
      <c r="L30" t="s">
        <v>53</v>
      </c>
      <c r="M30" t="s">
        <v>53</v>
      </c>
      <c r="N30" t="s">
        <v>95</v>
      </c>
      <c r="O30">
        <v>101</v>
      </c>
      <c r="P30" s="7">
        <v>15958</v>
      </c>
      <c r="Q30">
        <v>7.0000000000000007E-2</v>
      </c>
      <c r="R30">
        <v>2.58</v>
      </c>
      <c r="S30" s="5">
        <f t="shared" si="0"/>
        <v>0.13835616438356163</v>
      </c>
      <c r="T30" t="s">
        <v>16</v>
      </c>
      <c r="U30" t="s">
        <v>16</v>
      </c>
    </row>
    <row r="31" spans="1:21" x14ac:dyDescent="0.3">
      <c r="A31" t="s">
        <v>27</v>
      </c>
      <c r="B31" t="s">
        <v>24</v>
      </c>
      <c r="C31">
        <v>143</v>
      </c>
      <c r="D31" t="s">
        <v>14</v>
      </c>
      <c r="E31" t="s">
        <v>45</v>
      </c>
      <c r="F31" s="3" t="s">
        <v>55</v>
      </c>
      <c r="G31">
        <v>20018</v>
      </c>
      <c r="H31" t="s">
        <v>219</v>
      </c>
      <c r="I31" t="s">
        <v>221</v>
      </c>
      <c r="J31" t="s">
        <v>53</v>
      </c>
      <c r="K31" t="s">
        <v>53</v>
      </c>
      <c r="L31" t="s">
        <v>53</v>
      </c>
      <c r="M31" t="s">
        <v>53</v>
      </c>
      <c r="N31" t="s">
        <v>267</v>
      </c>
      <c r="O31">
        <v>18</v>
      </c>
      <c r="P31" s="7">
        <v>1548</v>
      </c>
      <c r="Q31">
        <v>0.11</v>
      </c>
      <c r="R31">
        <v>1.86</v>
      </c>
      <c r="S31" s="5">
        <f t="shared" si="0"/>
        <v>2.4657534246575342E-2</v>
      </c>
      <c r="T31" t="s">
        <v>16</v>
      </c>
      <c r="U31" t="s">
        <v>16</v>
      </c>
    </row>
    <row r="32" spans="1:21" x14ac:dyDescent="0.3">
      <c r="A32" t="s">
        <v>27</v>
      </c>
      <c r="B32" t="s">
        <v>24</v>
      </c>
      <c r="C32">
        <v>143</v>
      </c>
      <c r="D32" t="s">
        <v>14</v>
      </c>
      <c r="E32" t="s">
        <v>45</v>
      </c>
      <c r="F32" s="3" t="s">
        <v>57</v>
      </c>
      <c r="G32">
        <v>20018</v>
      </c>
      <c r="H32" t="s">
        <v>219</v>
      </c>
      <c r="I32" t="s">
        <v>225</v>
      </c>
      <c r="J32" t="s">
        <v>53</v>
      </c>
      <c r="K32" t="s">
        <v>53</v>
      </c>
      <c r="L32" t="s">
        <v>53</v>
      </c>
      <c r="M32" t="s">
        <v>53</v>
      </c>
      <c r="N32" t="s">
        <v>289</v>
      </c>
      <c r="O32">
        <v>47</v>
      </c>
      <c r="P32" s="7">
        <v>3767</v>
      </c>
      <c r="Q32">
        <v>0.08</v>
      </c>
      <c r="R32">
        <v>1.8</v>
      </c>
      <c r="S32" s="5">
        <f t="shared" si="0"/>
        <v>6.4383561643835616E-2</v>
      </c>
      <c r="T32" t="s">
        <v>16</v>
      </c>
      <c r="U32" t="s">
        <v>16</v>
      </c>
    </row>
    <row r="33" spans="1:21" x14ac:dyDescent="0.3">
      <c r="A33" t="s">
        <v>27</v>
      </c>
      <c r="B33" t="s">
        <v>291</v>
      </c>
      <c r="C33">
        <v>143</v>
      </c>
      <c r="D33" t="s">
        <v>14</v>
      </c>
      <c r="E33" t="s">
        <v>45</v>
      </c>
      <c r="F33" s="3" t="s">
        <v>57</v>
      </c>
      <c r="G33">
        <v>20018</v>
      </c>
      <c r="H33" t="s">
        <v>219</v>
      </c>
      <c r="I33" t="s">
        <v>220</v>
      </c>
      <c r="J33" t="s">
        <v>53</v>
      </c>
      <c r="K33" t="s">
        <v>53</v>
      </c>
      <c r="L33" t="s">
        <v>53</v>
      </c>
      <c r="M33" t="s">
        <v>53</v>
      </c>
      <c r="N33" t="s">
        <v>292</v>
      </c>
      <c r="O33">
        <v>100</v>
      </c>
      <c r="P33" s="7">
        <v>12827</v>
      </c>
      <c r="Q33">
        <v>0.08</v>
      </c>
      <c r="R33">
        <v>2.2799999999999998</v>
      </c>
      <c r="S33" s="5">
        <f t="shared" si="0"/>
        <v>0.13698630136986301</v>
      </c>
      <c r="T33" t="s">
        <v>16</v>
      </c>
      <c r="U33" t="s">
        <v>16</v>
      </c>
    </row>
    <row r="34" spans="1:21" x14ac:dyDescent="0.3">
      <c r="A34" t="s">
        <v>27</v>
      </c>
      <c r="B34" t="s">
        <v>297</v>
      </c>
      <c r="C34">
        <v>143</v>
      </c>
      <c r="D34" t="s">
        <v>14</v>
      </c>
      <c r="E34" t="s">
        <v>45</v>
      </c>
      <c r="F34" s="3" t="s">
        <v>293</v>
      </c>
      <c r="G34">
        <v>20018</v>
      </c>
      <c r="H34" t="s">
        <v>219</v>
      </c>
      <c r="I34" t="s">
        <v>222</v>
      </c>
      <c r="J34" t="s">
        <v>95</v>
      </c>
      <c r="K34" t="s">
        <v>298</v>
      </c>
      <c r="L34" t="s">
        <v>53</v>
      </c>
      <c r="M34" t="s">
        <v>53</v>
      </c>
      <c r="N34" t="s">
        <v>53</v>
      </c>
      <c r="O34">
        <v>39</v>
      </c>
      <c r="P34" s="7">
        <v>6527</v>
      </c>
      <c r="Q34">
        <v>0.12</v>
      </c>
      <c r="R34">
        <v>2.67</v>
      </c>
      <c r="S34" s="5">
        <f t="shared" si="0"/>
        <v>5.3424657534246578E-2</v>
      </c>
      <c r="T34" t="s">
        <v>16</v>
      </c>
      <c r="U34" t="s">
        <v>16</v>
      </c>
    </row>
    <row r="35" spans="1:21" x14ac:dyDescent="0.3">
      <c r="A35" t="s">
        <v>27</v>
      </c>
      <c r="B35" t="s">
        <v>297</v>
      </c>
      <c r="C35">
        <v>143</v>
      </c>
      <c r="D35" t="s">
        <v>14</v>
      </c>
      <c r="E35" t="s">
        <v>45</v>
      </c>
      <c r="F35" s="3" t="s">
        <v>293</v>
      </c>
      <c r="G35">
        <v>20018</v>
      </c>
      <c r="H35" t="s">
        <v>219</v>
      </c>
      <c r="I35" t="s">
        <v>220</v>
      </c>
      <c r="J35" t="s">
        <v>286</v>
      </c>
      <c r="K35" t="s">
        <v>53</v>
      </c>
      <c r="L35" t="s">
        <v>53</v>
      </c>
      <c r="M35" t="s">
        <v>53</v>
      </c>
      <c r="N35" t="s">
        <v>53</v>
      </c>
      <c r="O35">
        <v>26</v>
      </c>
      <c r="P35" s="7">
        <v>4878</v>
      </c>
      <c r="Q35">
        <v>0.19</v>
      </c>
      <c r="R35">
        <v>2.87</v>
      </c>
      <c r="S35" s="5">
        <f t="shared" si="0"/>
        <v>3.5616438356164383E-2</v>
      </c>
      <c r="T35" t="s">
        <v>16</v>
      </c>
      <c r="U35" t="s">
        <v>16</v>
      </c>
    </row>
    <row r="36" spans="1:21" x14ac:dyDescent="0.3">
      <c r="A36" t="s">
        <v>27</v>
      </c>
      <c r="B36" t="s">
        <v>297</v>
      </c>
      <c r="C36">
        <v>143</v>
      </c>
      <c r="D36" t="s">
        <v>14</v>
      </c>
      <c r="E36" t="s">
        <v>45</v>
      </c>
      <c r="F36" s="3" t="s">
        <v>293</v>
      </c>
      <c r="G36">
        <v>20018</v>
      </c>
      <c r="H36" t="s">
        <v>219</v>
      </c>
      <c r="I36" t="s">
        <v>299</v>
      </c>
      <c r="J36" t="s">
        <v>53</v>
      </c>
      <c r="K36" t="s">
        <v>53</v>
      </c>
      <c r="L36" t="s">
        <v>53</v>
      </c>
      <c r="M36" t="s">
        <v>53</v>
      </c>
      <c r="N36" t="s">
        <v>300</v>
      </c>
      <c r="O36">
        <v>18</v>
      </c>
      <c r="P36" s="7">
        <v>839</v>
      </c>
      <c r="Q36">
        <v>0.16</v>
      </c>
      <c r="R36">
        <v>1.46</v>
      </c>
      <c r="S36" s="5">
        <f t="shared" si="0"/>
        <v>2.4657534246575342E-2</v>
      </c>
      <c r="T36" t="s">
        <v>16</v>
      </c>
      <c r="U36" t="s">
        <v>16</v>
      </c>
    </row>
    <row r="37" spans="1:21" x14ac:dyDescent="0.3">
      <c r="A37" t="s">
        <v>27</v>
      </c>
      <c r="B37" t="s">
        <v>297</v>
      </c>
      <c r="C37">
        <v>143</v>
      </c>
      <c r="D37" t="s">
        <v>14</v>
      </c>
      <c r="E37" t="s">
        <v>45</v>
      </c>
      <c r="F37" s="3" t="s">
        <v>302</v>
      </c>
      <c r="G37">
        <v>20018</v>
      </c>
      <c r="H37" t="s">
        <v>219</v>
      </c>
      <c r="I37" t="s">
        <v>225</v>
      </c>
      <c r="J37" t="s">
        <v>53</v>
      </c>
      <c r="K37" t="s">
        <v>301</v>
      </c>
      <c r="L37" t="s">
        <v>53</v>
      </c>
      <c r="M37" t="s">
        <v>53</v>
      </c>
      <c r="N37" t="s">
        <v>53</v>
      </c>
      <c r="O37">
        <v>27</v>
      </c>
      <c r="P37" s="7">
        <v>5068</v>
      </c>
      <c r="Q37">
        <v>0.11</v>
      </c>
      <c r="R37">
        <v>2.87</v>
      </c>
      <c r="S37" s="5">
        <f t="shared" si="0"/>
        <v>3.6986301369863014E-2</v>
      </c>
      <c r="T37" t="s">
        <v>16</v>
      </c>
      <c r="U37" t="s">
        <v>16</v>
      </c>
    </row>
    <row r="38" spans="1:21" x14ac:dyDescent="0.3">
      <c r="A38" t="s">
        <v>27</v>
      </c>
      <c r="B38" t="s">
        <v>297</v>
      </c>
      <c r="C38">
        <v>143</v>
      </c>
      <c r="D38" t="s">
        <v>14</v>
      </c>
      <c r="E38" t="s">
        <v>45</v>
      </c>
      <c r="F38" s="3" t="s">
        <v>303</v>
      </c>
      <c r="G38">
        <v>20018</v>
      </c>
      <c r="H38" t="s">
        <v>219</v>
      </c>
      <c r="I38" t="s">
        <v>304</v>
      </c>
      <c r="J38" t="s">
        <v>305</v>
      </c>
      <c r="K38" t="s">
        <v>53</v>
      </c>
      <c r="L38" t="s">
        <v>53</v>
      </c>
      <c r="M38" t="s">
        <v>53</v>
      </c>
      <c r="N38" t="s">
        <v>53</v>
      </c>
      <c r="O38">
        <v>171</v>
      </c>
      <c r="P38" s="7">
        <v>6681</v>
      </c>
      <c r="Q38">
        <v>0.12</v>
      </c>
      <c r="R38">
        <v>1.39</v>
      </c>
      <c r="S38" s="5">
        <f t="shared" si="0"/>
        <v>0.23424657534246576</v>
      </c>
      <c r="T38" t="s">
        <v>16</v>
      </c>
      <c r="U38" t="s">
        <v>16</v>
      </c>
    </row>
    <row r="39" spans="1:21" x14ac:dyDescent="0.3">
      <c r="A39" t="s">
        <v>27</v>
      </c>
      <c r="B39" t="s">
        <v>297</v>
      </c>
      <c r="C39">
        <v>143</v>
      </c>
      <c r="D39" t="s">
        <v>14</v>
      </c>
      <c r="E39" t="s">
        <v>45</v>
      </c>
      <c r="F39" s="3" t="s">
        <v>306</v>
      </c>
      <c r="G39">
        <v>20018</v>
      </c>
      <c r="H39" t="s">
        <v>219</v>
      </c>
      <c r="I39" t="s">
        <v>307</v>
      </c>
      <c r="J39" t="s">
        <v>53</v>
      </c>
      <c r="K39" t="s">
        <v>308</v>
      </c>
      <c r="L39" t="s">
        <v>53</v>
      </c>
      <c r="M39" t="s">
        <v>53</v>
      </c>
      <c r="N39" t="s">
        <v>53</v>
      </c>
      <c r="O39">
        <v>33</v>
      </c>
      <c r="P39" s="7">
        <v>6898</v>
      </c>
      <c r="Q39">
        <v>0.12</v>
      </c>
      <c r="R39">
        <v>3.09</v>
      </c>
      <c r="S39" s="5">
        <f t="shared" si="0"/>
        <v>4.5205479452054796E-2</v>
      </c>
      <c r="T39" t="s">
        <v>16</v>
      </c>
      <c r="U39" t="s">
        <v>16</v>
      </c>
    </row>
    <row r="40" spans="1:21" x14ac:dyDescent="0.3">
      <c r="A40" t="s">
        <v>27</v>
      </c>
      <c r="B40" t="s">
        <v>297</v>
      </c>
      <c r="C40">
        <v>143</v>
      </c>
      <c r="D40" t="s">
        <v>14</v>
      </c>
      <c r="E40" t="s">
        <v>45</v>
      </c>
      <c r="F40" s="3" t="s">
        <v>306</v>
      </c>
      <c r="G40">
        <v>20018</v>
      </c>
      <c r="H40" t="s">
        <v>219</v>
      </c>
      <c r="I40" t="s">
        <v>222</v>
      </c>
      <c r="J40" t="s">
        <v>53</v>
      </c>
      <c r="K40" t="s">
        <v>53</v>
      </c>
      <c r="L40" t="s">
        <v>53</v>
      </c>
      <c r="M40" t="s">
        <v>309</v>
      </c>
      <c r="N40" t="s">
        <v>53</v>
      </c>
      <c r="O40">
        <v>58</v>
      </c>
      <c r="P40" s="7">
        <v>9136</v>
      </c>
      <c r="Q40">
        <v>0.1</v>
      </c>
      <c r="R40">
        <v>2.57</v>
      </c>
      <c r="S40" s="5">
        <f t="shared" si="0"/>
        <v>7.9452054794520555E-2</v>
      </c>
      <c r="T40" t="s">
        <v>16</v>
      </c>
      <c r="U40" t="s">
        <v>16</v>
      </c>
    </row>
    <row r="41" spans="1:21" x14ac:dyDescent="0.3">
      <c r="A41" t="s">
        <v>27</v>
      </c>
      <c r="B41" t="s">
        <v>313</v>
      </c>
      <c r="C41">
        <v>143</v>
      </c>
      <c r="D41" t="s">
        <v>14</v>
      </c>
      <c r="E41" t="s">
        <v>45</v>
      </c>
      <c r="F41" s="3" t="s">
        <v>61</v>
      </c>
      <c r="G41">
        <v>20018</v>
      </c>
      <c r="H41" t="s">
        <v>219</v>
      </c>
      <c r="I41" t="s">
        <v>225</v>
      </c>
      <c r="J41" t="s">
        <v>314</v>
      </c>
      <c r="K41" t="s">
        <v>53</v>
      </c>
      <c r="L41" t="s">
        <v>53</v>
      </c>
      <c r="M41" t="s">
        <v>53</v>
      </c>
      <c r="N41" t="s">
        <v>53</v>
      </c>
      <c r="O41">
        <v>156</v>
      </c>
      <c r="P41" s="7">
        <v>12271</v>
      </c>
      <c r="Q41">
        <v>0.17</v>
      </c>
      <c r="R41">
        <v>1.78</v>
      </c>
      <c r="S41" s="5">
        <f t="shared" si="0"/>
        <v>0.21369863013698631</v>
      </c>
      <c r="T41" t="s">
        <v>16</v>
      </c>
      <c r="U41" t="s">
        <v>16</v>
      </c>
    </row>
    <row r="42" spans="1:21" x14ac:dyDescent="0.3">
      <c r="A42" t="s">
        <v>27</v>
      </c>
      <c r="B42" t="s">
        <v>313</v>
      </c>
      <c r="C42">
        <v>143</v>
      </c>
      <c r="D42" t="s">
        <v>14</v>
      </c>
      <c r="E42" t="s">
        <v>45</v>
      </c>
      <c r="F42" s="3" t="s">
        <v>61</v>
      </c>
      <c r="G42">
        <v>20018</v>
      </c>
      <c r="H42" t="s">
        <v>219</v>
      </c>
      <c r="I42" t="s">
        <v>222</v>
      </c>
      <c r="J42" t="s">
        <v>315</v>
      </c>
      <c r="K42" t="s">
        <v>53</v>
      </c>
      <c r="L42" t="s">
        <v>53</v>
      </c>
      <c r="M42" t="s">
        <v>53</v>
      </c>
      <c r="N42" t="s">
        <v>53</v>
      </c>
      <c r="O42">
        <v>54</v>
      </c>
      <c r="P42" s="7">
        <v>4525</v>
      </c>
      <c r="Q42">
        <v>0.18</v>
      </c>
      <c r="R42">
        <v>1.83</v>
      </c>
      <c r="S42" s="5">
        <f t="shared" si="0"/>
        <v>7.3972602739726029E-2</v>
      </c>
      <c r="T42" t="s">
        <v>16</v>
      </c>
      <c r="U42" t="s">
        <v>16</v>
      </c>
    </row>
    <row r="43" spans="1:21" x14ac:dyDescent="0.3">
      <c r="A43" t="s">
        <v>27</v>
      </c>
      <c r="B43" t="s">
        <v>313</v>
      </c>
      <c r="C43">
        <v>143</v>
      </c>
      <c r="D43" t="s">
        <v>14</v>
      </c>
      <c r="E43" t="s">
        <v>45</v>
      </c>
      <c r="F43" s="3" t="s">
        <v>61</v>
      </c>
      <c r="G43">
        <v>20018</v>
      </c>
      <c r="H43" t="s">
        <v>219</v>
      </c>
      <c r="I43" t="s">
        <v>316</v>
      </c>
      <c r="J43" t="s">
        <v>317</v>
      </c>
      <c r="K43" t="s">
        <v>53</v>
      </c>
      <c r="L43" t="s">
        <v>53</v>
      </c>
      <c r="M43" t="s">
        <v>53</v>
      </c>
      <c r="N43" t="s">
        <v>53</v>
      </c>
      <c r="O43">
        <v>105</v>
      </c>
      <c r="P43" s="7">
        <v>6074</v>
      </c>
      <c r="Q43">
        <v>0.1</v>
      </c>
      <c r="R43">
        <v>1.57</v>
      </c>
      <c r="S43" s="5">
        <f t="shared" si="0"/>
        <v>0.14383561643835616</v>
      </c>
      <c r="T43" t="s">
        <v>16</v>
      </c>
      <c r="U43" t="s">
        <v>16</v>
      </c>
    </row>
    <row r="44" spans="1:21" x14ac:dyDescent="0.3">
      <c r="A44" t="s">
        <v>27</v>
      </c>
      <c r="B44" t="s">
        <v>24</v>
      </c>
      <c r="C44">
        <v>143</v>
      </c>
      <c r="D44" t="s">
        <v>14</v>
      </c>
      <c r="E44" t="s">
        <v>45</v>
      </c>
      <c r="F44" s="3" t="s">
        <v>318</v>
      </c>
      <c r="G44">
        <v>20018</v>
      </c>
      <c r="H44" t="s">
        <v>219</v>
      </c>
      <c r="I44" t="s">
        <v>220</v>
      </c>
      <c r="J44" t="s">
        <v>321</v>
      </c>
      <c r="K44" t="s">
        <v>95</v>
      </c>
      <c r="L44" t="s">
        <v>53</v>
      </c>
      <c r="M44" t="s">
        <v>53</v>
      </c>
      <c r="N44" t="s">
        <v>53</v>
      </c>
      <c r="O44">
        <v>290</v>
      </c>
      <c r="P44" s="7">
        <v>7805</v>
      </c>
      <c r="Q44">
        <v>0.11</v>
      </c>
      <c r="R44">
        <v>1.52</v>
      </c>
      <c r="S44" s="5">
        <f t="shared" ref="S44:S93" si="1">O44/730</f>
        <v>0.39726027397260272</v>
      </c>
      <c r="T44" t="s">
        <v>16</v>
      </c>
      <c r="U44" t="s">
        <v>16</v>
      </c>
    </row>
    <row r="45" spans="1:21" x14ac:dyDescent="0.3">
      <c r="A45" t="s">
        <v>27</v>
      </c>
      <c r="B45" t="s">
        <v>24</v>
      </c>
      <c r="C45">
        <v>143</v>
      </c>
      <c r="D45" t="s">
        <v>14</v>
      </c>
      <c r="E45" t="s">
        <v>45</v>
      </c>
      <c r="F45" s="3" t="s">
        <v>322</v>
      </c>
      <c r="G45">
        <v>20018</v>
      </c>
      <c r="H45" t="s">
        <v>219</v>
      </c>
      <c r="I45" t="s">
        <v>323</v>
      </c>
      <c r="J45" t="s">
        <v>95</v>
      </c>
      <c r="K45" t="s">
        <v>95</v>
      </c>
      <c r="L45" t="s">
        <v>53</v>
      </c>
      <c r="M45" t="s">
        <v>53</v>
      </c>
      <c r="N45" t="s">
        <v>324</v>
      </c>
      <c r="O45">
        <v>40</v>
      </c>
      <c r="P45" s="7">
        <v>5878</v>
      </c>
      <c r="Q45">
        <v>0.17</v>
      </c>
      <c r="R45">
        <v>2.46</v>
      </c>
      <c r="S45" s="5">
        <f t="shared" si="1"/>
        <v>5.4794520547945202E-2</v>
      </c>
      <c r="T45" t="s">
        <v>16</v>
      </c>
      <c r="U45" t="s">
        <v>16</v>
      </c>
    </row>
    <row r="46" spans="1:21" x14ac:dyDescent="0.3">
      <c r="A46" t="s">
        <v>27</v>
      </c>
      <c r="B46" t="s">
        <v>24</v>
      </c>
      <c r="C46">
        <v>143</v>
      </c>
      <c r="D46" t="s">
        <v>14</v>
      </c>
      <c r="E46" t="s">
        <v>45</v>
      </c>
      <c r="F46" s="3" t="s">
        <v>322</v>
      </c>
      <c r="G46">
        <v>20018</v>
      </c>
      <c r="H46" t="s">
        <v>219</v>
      </c>
      <c r="I46" t="s">
        <v>220</v>
      </c>
      <c r="J46" t="s">
        <v>325</v>
      </c>
      <c r="K46" t="s">
        <v>95</v>
      </c>
      <c r="L46" t="s">
        <v>53</v>
      </c>
      <c r="M46" t="s">
        <v>53</v>
      </c>
      <c r="N46" t="s">
        <v>53</v>
      </c>
      <c r="O46">
        <v>53</v>
      </c>
      <c r="P46" s="7">
        <v>3528</v>
      </c>
      <c r="Q46">
        <v>0.15</v>
      </c>
      <c r="R46">
        <v>1.66</v>
      </c>
      <c r="S46" s="5">
        <f t="shared" si="1"/>
        <v>7.260273972602739E-2</v>
      </c>
      <c r="T46" t="s">
        <v>16</v>
      </c>
      <c r="U46" t="s">
        <v>16</v>
      </c>
    </row>
    <row r="47" spans="1:21" x14ac:dyDescent="0.3">
      <c r="A47" t="s">
        <v>27</v>
      </c>
      <c r="B47" t="s">
        <v>24</v>
      </c>
      <c r="C47">
        <v>143</v>
      </c>
      <c r="D47" t="s">
        <v>14</v>
      </c>
      <c r="E47" t="s">
        <v>45</v>
      </c>
      <c r="F47" s="3" t="s">
        <v>326</v>
      </c>
      <c r="G47">
        <v>20018</v>
      </c>
      <c r="H47" t="s">
        <v>219</v>
      </c>
      <c r="I47" t="s">
        <v>323</v>
      </c>
      <c r="J47" t="s">
        <v>53</v>
      </c>
      <c r="K47" t="s">
        <v>95</v>
      </c>
      <c r="L47" t="s">
        <v>53</v>
      </c>
      <c r="M47" t="s">
        <v>327</v>
      </c>
      <c r="N47" t="s">
        <v>53</v>
      </c>
      <c r="O47">
        <v>27</v>
      </c>
      <c r="P47" s="7">
        <v>1978</v>
      </c>
      <c r="Q47">
        <v>0.14000000000000001</v>
      </c>
      <c r="R47">
        <v>1.73</v>
      </c>
      <c r="S47" s="5">
        <f t="shared" si="1"/>
        <v>3.6986301369863014E-2</v>
      </c>
      <c r="T47" t="s">
        <v>16</v>
      </c>
      <c r="U47" t="s">
        <v>16</v>
      </c>
    </row>
    <row r="48" spans="1:21" x14ac:dyDescent="0.3">
      <c r="A48" t="s">
        <v>27</v>
      </c>
      <c r="B48" t="s">
        <v>24</v>
      </c>
      <c r="C48">
        <v>143</v>
      </c>
      <c r="D48" t="s">
        <v>14</v>
      </c>
      <c r="E48" t="s">
        <v>45</v>
      </c>
      <c r="F48" s="3" t="s">
        <v>330</v>
      </c>
      <c r="G48">
        <v>20018</v>
      </c>
      <c r="H48" t="s">
        <v>219</v>
      </c>
      <c r="I48" t="s">
        <v>222</v>
      </c>
      <c r="J48" t="s">
        <v>331</v>
      </c>
      <c r="K48" t="s">
        <v>95</v>
      </c>
      <c r="L48" t="s">
        <v>53</v>
      </c>
      <c r="M48" t="s">
        <v>319</v>
      </c>
      <c r="N48" t="s">
        <v>53</v>
      </c>
      <c r="O48">
        <v>64</v>
      </c>
      <c r="P48" s="7">
        <v>4828</v>
      </c>
      <c r="Q48">
        <v>0.14000000000000001</v>
      </c>
      <c r="R48">
        <v>1.75</v>
      </c>
      <c r="S48" s="5">
        <f t="shared" si="1"/>
        <v>8.7671232876712329E-2</v>
      </c>
      <c r="T48" t="s">
        <v>16</v>
      </c>
      <c r="U48" t="s">
        <v>16</v>
      </c>
    </row>
    <row r="49" spans="1:21" x14ac:dyDescent="0.3">
      <c r="A49" t="s">
        <v>27</v>
      </c>
      <c r="B49" t="s">
        <v>68</v>
      </c>
      <c r="C49">
        <v>143</v>
      </c>
      <c r="D49" t="s">
        <v>14</v>
      </c>
      <c r="E49" t="s">
        <v>45</v>
      </c>
      <c r="F49" s="3" t="s">
        <v>333</v>
      </c>
      <c r="G49">
        <v>20018</v>
      </c>
      <c r="H49" t="s">
        <v>219</v>
      </c>
      <c r="I49" t="s">
        <v>225</v>
      </c>
      <c r="J49" t="s">
        <v>95</v>
      </c>
      <c r="K49" t="s">
        <v>95</v>
      </c>
      <c r="L49" t="s">
        <v>53</v>
      </c>
      <c r="M49" t="s">
        <v>319</v>
      </c>
      <c r="N49" t="s">
        <v>334</v>
      </c>
      <c r="O49">
        <v>104</v>
      </c>
      <c r="P49" s="7">
        <v>5686</v>
      </c>
      <c r="Q49">
        <v>0.08</v>
      </c>
      <c r="R49">
        <v>1.54</v>
      </c>
      <c r="S49" s="5">
        <f t="shared" si="1"/>
        <v>0.14246575342465753</v>
      </c>
      <c r="T49" t="s">
        <v>16</v>
      </c>
      <c r="U49" t="s">
        <v>16</v>
      </c>
    </row>
    <row r="50" spans="1:21" x14ac:dyDescent="0.3">
      <c r="A50" t="s">
        <v>27</v>
      </c>
      <c r="B50" t="s">
        <v>68</v>
      </c>
      <c r="C50">
        <v>143</v>
      </c>
      <c r="D50" t="s">
        <v>14</v>
      </c>
      <c r="E50" t="s">
        <v>45</v>
      </c>
      <c r="F50" s="3" t="s">
        <v>333</v>
      </c>
      <c r="G50">
        <v>20018</v>
      </c>
      <c r="H50" t="s">
        <v>219</v>
      </c>
      <c r="I50" t="s">
        <v>222</v>
      </c>
      <c r="J50" t="s">
        <v>95</v>
      </c>
      <c r="K50" t="s">
        <v>95</v>
      </c>
      <c r="L50" t="s">
        <v>53</v>
      </c>
      <c r="M50" t="s">
        <v>335</v>
      </c>
      <c r="N50" t="s">
        <v>53</v>
      </c>
      <c r="O50">
        <v>40</v>
      </c>
      <c r="P50" s="7">
        <v>5689</v>
      </c>
      <c r="Q50">
        <v>7.0000000000000007E-2</v>
      </c>
      <c r="R50">
        <v>2.42</v>
      </c>
      <c r="S50" s="5">
        <f t="shared" si="1"/>
        <v>5.4794520547945202E-2</v>
      </c>
      <c r="T50" t="s">
        <v>16</v>
      </c>
      <c r="U50" t="s">
        <v>16</v>
      </c>
    </row>
    <row r="51" spans="1:21" x14ac:dyDescent="0.3">
      <c r="A51" t="s">
        <v>27</v>
      </c>
      <c r="B51" t="s">
        <v>68</v>
      </c>
      <c r="C51">
        <v>143</v>
      </c>
      <c r="D51" t="s">
        <v>14</v>
      </c>
      <c r="E51" t="s">
        <v>45</v>
      </c>
      <c r="F51" s="3" t="s">
        <v>336</v>
      </c>
      <c r="G51">
        <v>20018</v>
      </c>
      <c r="H51" t="s">
        <v>219</v>
      </c>
      <c r="I51" t="s">
        <v>225</v>
      </c>
      <c r="J51" t="s">
        <v>95</v>
      </c>
      <c r="K51" t="s">
        <v>95</v>
      </c>
      <c r="L51" t="s">
        <v>337</v>
      </c>
      <c r="M51" t="s">
        <v>53</v>
      </c>
      <c r="N51" t="s">
        <v>53</v>
      </c>
      <c r="O51">
        <v>15</v>
      </c>
      <c r="P51" s="7">
        <v>4759</v>
      </c>
      <c r="Q51">
        <v>0.2</v>
      </c>
      <c r="R51">
        <v>4.17</v>
      </c>
      <c r="S51" s="5">
        <f t="shared" si="1"/>
        <v>2.0547945205479451E-2</v>
      </c>
      <c r="T51" t="s">
        <v>16</v>
      </c>
      <c r="U51" t="s">
        <v>16</v>
      </c>
    </row>
    <row r="52" spans="1:21" x14ac:dyDescent="0.3">
      <c r="A52" t="s">
        <v>27</v>
      </c>
      <c r="B52" t="s">
        <v>68</v>
      </c>
      <c r="C52">
        <v>143</v>
      </c>
      <c r="D52" t="s">
        <v>14</v>
      </c>
      <c r="E52" t="s">
        <v>45</v>
      </c>
      <c r="F52" s="3" t="s">
        <v>336</v>
      </c>
      <c r="G52">
        <v>20018</v>
      </c>
      <c r="H52" t="s">
        <v>219</v>
      </c>
      <c r="I52" t="s">
        <v>222</v>
      </c>
      <c r="J52" t="s">
        <v>95</v>
      </c>
      <c r="K52" t="s">
        <v>95</v>
      </c>
      <c r="L52" t="s">
        <v>53</v>
      </c>
      <c r="M52" t="s">
        <v>53</v>
      </c>
      <c r="N52" t="s">
        <v>338</v>
      </c>
      <c r="O52">
        <v>69</v>
      </c>
      <c r="P52" s="7">
        <v>10207</v>
      </c>
      <c r="Q52">
        <v>0.1</v>
      </c>
      <c r="R52">
        <v>2.4700000000000002</v>
      </c>
      <c r="S52" s="5">
        <f t="shared" si="1"/>
        <v>9.452054794520548E-2</v>
      </c>
      <c r="T52" t="s">
        <v>16</v>
      </c>
      <c r="U52" t="s">
        <v>16</v>
      </c>
    </row>
    <row r="53" spans="1:21" x14ac:dyDescent="0.3">
      <c r="A53" t="s">
        <v>27</v>
      </c>
      <c r="B53" t="s">
        <v>68</v>
      </c>
      <c r="C53">
        <v>143</v>
      </c>
      <c r="D53" t="s">
        <v>14</v>
      </c>
      <c r="E53" t="s">
        <v>45</v>
      </c>
      <c r="F53" s="3" t="s">
        <v>336</v>
      </c>
      <c r="G53">
        <v>20018</v>
      </c>
      <c r="H53" t="s">
        <v>219</v>
      </c>
      <c r="I53" t="s">
        <v>339</v>
      </c>
      <c r="J53" t="s">
        <v>95</v>
      </c>
      <c r="K53" t="s">
        <v>95</v>
      </c>
      <c r="L53" t="s">
        <v>53</v>
      </c>
      <c r="M53" t="s">
        <v>53</v>
      </c>
      <c r="N53" t="s">
        <v>340</v>
      </c>
      <c r="O53">
        <v>49</v>
      </c>
      <c r="P53" s="7">
        <v>13236</v>
      </c>
      <c r="Q53">
        <v>0.12</v>
      </c>
      <c r="R53">
        <v>3.7</v>
      </c>
      <c r="S53" s="5">
        <f t="shared" si="1"/>
        <v>6.7123287671232879E-2</v>
      </c>
      <c r="T53" t="s">
        <v>16</v>
      </c>
      <c r="U53" t="s">
        <v>16</v>
      </c>
    </row>
    <row r="54" spans="1:21" x14ac:dyDescent="0.3">
      <c r="A54" t="s">
        <v>27</v>
      </c>
      <c r="B54" t="s">
        <v>68</v>
      </c>
      <c r="C54">
        <v>143</v>
      </c>
      <c r="D54" t="s">
        <v>14</v>
      </c>
      <c r="E54" t="s">
        <v>45</v>
      </c>
      <c r="F54" s="3" t="s">
        <v>341</v>
      </c>
      <c r="G54">
        <v>20018</v>
      </c>
      <c r="H54" t="s">
        <v>219</v>
      </c>
      <c r="I54" t="s">
        <v>220</v>
      </c>
      <c r="J54" t="s">
        <v>95</v>
      </c>
      <c r="K54" t="s">
        <v>342</v>
      </c>
      <c r="L54" t="s">
        <v>53</v>
      </c>
      <c r="M54" t="s">
        <v>53</v>
      </c>
      <c r="N54" t="s">
        <v>95</v>
      </c>
      <c r="O54">
        <v>163</v>
      </c>
      <c r="P54" s="7">
        <v>10694</v>
      </c>
      <c r="Q54">
        <v>0.06</v>
      </c>
      <c r="R54">
        <v>1.65</v>
      </c>
      <c r="S54" s="5">
        <f t="shared" si="1"/>
        <v>0.22328767123287671</v>
      </c>
      <c r="T54" t="s">
        <v>16</v>
      </c>
      <c r="U54" t="s">
        <v>16</v>
      </c>
    </row>
    <row r="55" spans="1:21" x14ac:dyDescent="0.3">
      <c r="A55" t="s">
        <v>27</v>
      </c>
      <c r="B55" t="s">
        <v>68</v>
      </c>
      <c r="C55">
        <v>143</v>
      </c>
      <c r="D55" t="s">
        <v>14</v>
      </c>
      <c r="E55" t="s">
        <v>45</v>
      </c>
      <c r="F55" s="3" t="s">
        <v>343</v>
      </c>
      <c r="G55">
        <v>20018</v>
      </c>
      <c r="H55" t="s">
        <v>219</v>
      </c>
      <c r="I55" t="s">
        <v>222</v>
      </c>
      <c r="J55" t="s">
        <v>95</v>
      </c>
      <c r="K55" t="s">
        <v>344</v>
      </c>
      <c r="L55" t="s">
        <v>53</v>
      </c>
      <c r="M55" t="s">
        <v>53</v>
      </c>
      <c r="N55" t="s">
        <v>275</v>
      </c>
      <c r="O55">
        <v>13</v>
      </c>
      <c r="P55" s="7">
        <v>5088</v>
      </c>
      <c r="Q55">
        <v>0.15</v>
      </c>
      <c r="R55">
        <v>4.91</v>
      </c>
      <c r="S55" s="5">
        <f t="shared" si="1"/>
        <v>1.7808219178082191E-2</v>
      </c>
      <c r="T55" t="s">
        <v>16</v>
      </c>
      <c r="U55" t="s">
        <v>16</v>
      </c>
    </row>
    <row r="56" spans="1:21" x14ac:dyDescent="0.3">
      <c r="A56" t="s">
        <v>27</v>
      </c>
      <c r="B56" t="s">
        <v>68</v>
      </c>
      <c r="C56">
        <v>143</v>
      </c>
      <c r="D56" t="s">
        <v>14</v>
      </c>
      <c r="E56" t="s">
        <v>45</v>
      </c>
      <c r="F56" s="3" t="s">
        <v>346</v>
      </c>
      <c r="G56">
        <v>20018</v>
      </c>
      <c r="H56" t="s">
        <v>219</v>
      </c>
      <c r="I56" t="s">
        <v>225</v>
      </c>
      <c r="J56" t="s">
        <v>95</v>
      </c>
      <c r="K56" t="s">
        <v>344</v>
      </c>
      <c r="L56" t="s">
        <v>53</v>
      </c>
      <c r="M56" t="s">
        <v>53</v>
      </c>
      <c r="N56" t="s">
        <v>347</v>
      </c>
      <c r="O56">
        <v>15</v>
      </c>
      <c r="P56" s="7">
        <v>3239</v>
      </c>
      <c r="Q56">
        <v>0.13</v>
      </c>
      <c r="R56">
        <v>3.15</v>
      </c>
      <c r="S56" s="5">
        <f t="shared" si="1"/>
        <v>2.0547945205479451E-2</v>
      </c>
      <c r="T56" t="s">
        <v>16</v>
      </c>
      <c r="U56" t="s">
        <v>16</v>
      </c>
    </row>
    <row r="57" spans="1:21" x14ac:dyDescent="0.3">
      <c r="A57" t="s">
        <v>27</v>
      </c>
      <c r="B57" t="s">
        <v>68</v>
      </c>
      <c r="C57">
        <v>143</v>
      </c>
      <c r="D57" t="s">
        <v>14</v>
      </c>
      <c r="E57" t="s">
        <v>45</v>
      </c>
      <c r="F57" s="3" t="s">
        <v>346</v>
      </c>
      <c r="G57">
        <v>20018</v>
      </c>
      <c r="H57" t="s">
        <v>219</v>
      </c>
      <c r="I57" t="s">
        <v>220</v>
      </c>
      <c r="J57" t="s">
        <v>95</v>
      </c>
      <c r="K57" t="s">
        <v>344</v>
      </c>
      <c r="L57" t="s">
        <v>53</v>
      </c>
      <c r="M57" t="s">
        <v>350</v>
      </c>
      <c r="N57" t="s">
        <v>344</v>
      </c>
      <c r="O57">
        <v>30</v>
      </c>
      <c r="P57" s="7">
        <v>7319</v>
      </c>
      <c r="Q57">
        <v>0.1</v>
      </c>
      <c r="R57">
        <v>3.43</v>
      </c>
      <c r="S57" s="5">
        <f t="shared" si="1"/>
        <v>4.1095890410958902E-2</v>
      </c>
      <c r="T57" t="s">
        <v>16</v>
      </c>
      <c r="U57" t="s">
        <v>16</v>
      </c>
    </row>
    <row r="58" spans="1:21" x14ac:dyDescent="0.3">
      <c r="A58" t="s">
        <v>27</v>
      </c>
      <c r="B58" t="s">
        <v>68</v>
      </c>
      <c r="C58">
        <v>143</v>
      </c>
      <c r="D58" t="s">
        <v>14</v>
      </c>
      <c r="E58" t="s">
        <v>45</v>
      </c>
      <c r="F58" s="3" t="s">
        <v>351</v>
      </c>
      <c r="G58">
        <v>20018</v>
      </c>
      <c r="H58" t="s">
        <v>219</v>
      </c>
      <c r="I58" t="s">
        <v>222</v>
      </c>
      <c r="J58" t="s">
        <v>95</v>
      </c>
      <c r="K58" t="s">
        <v>344</v>
      </c>
      <c r="L58" t="s">
        <v>53</v>
      </c>
      <c r="M58" t="s">
        <v>344</v>
      </c>
      <c r="N58" t="s">
        <v>352</v>
      </c>
      <c r="O58">
        <v>177</v>
      </c>
      <c r="P58" s="7">
        <v>5385</v>
      </c>
      <c r="Q58">
        <v>0.09</v>
      </c>
      <c r="R58">
        <v>1.3</v>
      </c>
      <c r="S58" s="5">
        <f t="shared" si="1"/>
        <v>0.24246575342465754</v>
      </c>
      <c r="T58" t="s">
        <v>16</v>
      </c>
      <c r="U58" t="s">
        <v>16</v>
      </c>
    </row>
    <row r="59" spans="1:21" x14ac:dyDescent="0.3">
      <c r="A59" t="s">
        <v>27</v>
      </c>
      <c r="B59" t="s">
        <v>68</v>
      </c>
      <c r="C59">
        <v>143</v>
      </c>
      <c r="D59" t="s">
        <v>14</v>
      </c>
      <c r="E59" t="s">
        <v>45</v>
      </c>
      <c r="F59" s="3" t="s">
        <v>359</v>
      </c>
      <c r="G59">
        <v>20018</v>
      </c>
      <c r="H59" t="s">
        <v>219</v>
      </c>
      <c r="I59" t="s">
        <v>361</v>
      </c>
      <c r="J59" t="s">
        <v>95</v>
      </c>
      <c r="K59" t="s">
        <v>344</v>
      </c>
      <c r="L59" t="s">
        <v>362</v>
      </c>
      <c r="M59" t="s">
        <v>344</v>
      </c>
      <c r="N59" t="s">
        <v>95</v>
      </c>
      <c r="O59">
        <v>32</v>
      </c>
      <c r="P59" s="7">
        <v>4840</v>
      </c>
      <c r="Q59">
        <v>0.09</v>
      </c>
      <c r="R59">
        <v>2.5099999999999998</v>
      </c>
      <c r="S59" s="5">
        <f t="shared" si="1"/>
        <v>4.3835616438356165E-2</v>
      </c>
      <c r="T59" t="s">
        <v>16</v>
      </c>
      <c r="U59" t="s">
        <v>16</v>
      </c>
    </row>
    <row r="60" spans="1:21" x14ac:dyDescent="0.3">
      <c r="A60" t="s">
        <v>27</v>
      </c>
      <c r="B60" t="s">
        <v>68</v>
      </c>
      <c r="C60">
        <v>143</v>
      </c>
      <c r="D60" t="s">
        <v>14</v>
      </c>
      <c r="E60" t="s">
        <v>45</v>
      </c>
      <c r="F60" s="3" t="s">
        <v>359</v>
      </c>
      <c r="G60">
        <v>20018</v>
      </c>
      <c r="H60" t="s">
        <v>219</v>
      </c>
      <c r="I60" t="s">
        <v>363</v>
      </c>
      <c r="J60" t="s">
        <v>95</v>
      </c>
      <c r="K60" t="s">
        <v>364</v>
      </c>
      <c r="L60" t="s">
        <v>95</v>
      </c>
      <c r="M60" t="s">
        <v>344</v>
      </c>
      <c r="N60" t="s">
        <v>95</v>
      </c>
      <c r="O60">
        <v>40</v>
      </c>
      <c r="P60" s="7">
        <v>5009</v>
      </c>
      <c r="Q60">
        <v>0.12</v>
      </c>
      <c r="R60">
        <v>2.25</v>
      </c>
      <c r="S60" s="5">
        <f t="shared" si="1"/>
        <v>5.4794520547945202E-2</v>
      </c>
      <c r="T60" t="s">
        <v>16</v>
      </c>
      <c r="U60" t="s">
        <v>16</v>
      </c>
    </row>
    <row r="61" spans="1:21" x14ac:dyDescent="0.3">
      <c r="A61" t="s">
        <v>27</v>
      </c>
      <c r="B61" t="s">
        <v>68</v>
      </c>
      <c r="C61">
        <v>143</v>
      </c>
      <c r="D61" t="s">
        <v>14</v>
      </c>
      <c r="E61" t="s">
        <v>45</v>
      </c>
      <c r="F61" s="3" t="s">
        <v>65</v>
      </c>
      <c r="G61">
        <v>20018</v>
      </c>
      <c r="H61" t="s">
        <v>219</v>
      </c>
      <c r="I61" t="s">
        <v>225</v>
      </c>
      <c r="J61" t="s">
        <v>95</v>
      </c>
      <c r="K61" t="s">
        <v>365</v>
      </c>
      <c r="L61" t="s">
        <v>95</v>
      </c>
      <c r="M61" t="s">
        <v>344</v>
      </c>
      <c r="N61" t="s">
        <v>95</v>
      </c>
      <c r="O61">
        <v>98</v>
      </c>
      <c r="P61" s="7">
        <v>6431</v>
      </c>
      <c r="Q61">
        <v>0.17</v>
      </c>
      <c r="R61">
        <v>1.65</v>
      </c>
      <c r="S61" s="5">
        <f t="shared" si="1"/>
        <v>0.13424657534246576</v>
      </c>
      <c r="T61" t="s">
        <v>16</v>
      </c>
      <c r="U61" t="s">
        <v>16</v>
      </c>
    </row>
    <row r="62" spans="1:21" x14ac:dyDescent="0.3">
      <c r="A62" t="s">
        <v>27</v>
      </c>
      <c r="B62" t="s">
        <v>68</v>
      </c>
      <c r="C62">
        <v>143</v>
      </c>
      <c r="D62" t="s">
        <v>14</v>
      </c>
      <c r="E62" t="s">
        <v>45</v>
      </c>
      <c r="F62" s="3" t="s">
        <v>65</v>
      </c>
      <c r="G62">
        <v>20018</v>
      </c>
      <c r="H62" t="s">
        <v>219</v>
      </c>
      <c r="I62" t="s">
        <v>222</v>
      </c>
      <c r="J62" t="s">
        <v>366</v>
      </c>
      <c r="K62" t="s">
        <v>95</v>
      </c>
      <c r="L62" t="s">
        <v>95</v>
      </c>
      <c r="M62" t="s">
        <v>344</v>
      </c>
      <c r="N62" t="s">
        <v>95</v>
      </c>
      <c r="O62">
        <v>122</v>
      </c>
      <c r="P62" s="7">
        <v>4187</v>
      </c>
      <c r="Q62">
        <v>0.13</v>
      </c>
      <c r="R62">
        <v>1.34</v>
      </c>
      <c r="S62" s="5">
        <f t="shared" si="1"/>
        <v>0.16712328767123288</v>
      </c>
      <c r="T62" t="s">
        <v>16</v>
      </c>
      <c r="U62" t="s">
        <v>16</v>
      </c>
    </row>
    <row r="63" spans="1:21" x14ac:dyDescent="0.3">
      <c r="A63" t="s">
        <v>27</v>
      </c>
      <c r="B63" t="s">
        <v>68</v>
      </c>
      <c r="C63">
        <v>143</v>
      </c>
      <c r="D63" t="s">
        <v>14</v>
      </c>
      <c r="E63" t="s">
        <v>45</v>
      </c>
      <c r="F63" s="3" t="s">
        <v>65</v>
      </c>
      <c r="G63">
        <v>20018</v>
      </c>
      <c r="H63" t="s">
        <v>219</v>
      </c>
      <c r="I63" t="s">
        <v>367</v>
      </c>
      <c r="J63" t="s">
        <v>95</v>
      </c>
      <c r="K63" t="s">
        <v>368</v>
      </c>
      <c r="L63" t="s">
        <v>95</v>
      </c>
      <c r="M63" t="s">
        <v>344</v>
      </c>
      <c r="N63" t="s">
        <v>95</v>
      </c>
      <c r="O63">
        <v>23</v>
      </c>
      <c r="P63" s="7">
        <v>8118</v>
      </c>
      <c r="Q63">
        <v>0.17</v>
      </c>
      <c r="R63">
        <v>4.5199999999999996</v>
      </c>
      <c r="S63" s="5">
        <f t="shared" si="1"/>
        <v>3.1506849315068496E-2</v>
      </c>
      <c r="T63" t="s">
        <v>16</v>
      </c>
      <c r="U63" t="s">
        <v>16</v>
      </c>
    </row>
    <row r="64" spans="1:21" x14ac:dyDescent="0.3">
      <c r="A64" t="s">
        <v>27</v>
      </c>
      <c r="B64" t="s">
        <v>68</v>
      </c>
      <c r="C64">
        <v>143</v>
      </c>
      <c r="D64" t="s">
        <v>14</v>
      </c>
      <c r="E64" t="s">
        <v>45</v>
      </c>
      <c r="F64" s="3" t="s">
        <v>369</v>
      </c>
      <c r="G64">
        <v>20018</v>
      </c>
      <c r="H64" t="s">
        <v>219</v>
      </c>
      <c r="I64" t="s">
        <v>222</v>
      </c>
      <c r="J64" t="s">
        <v>95</v>
      </c>
      <c r="K64" t="s">
        <v>95</v>
      </c>
      <c r="L64" t="s">
        <v>95</v>
      </c>
      <c r="M64" t="s">
        <v>370</v>
      </c>
      <c r="N64" t="s">
        <v>95</v>
      </c>
      <c r="O64">
        <v>36</v>
      </c>
      <c r="P64" s="7">
        <v>5414</v>
      </c>
      <c r="Q64">
        <v>0.22</v>
      </c>
      <c r="R64">
        <v>2.5</v>
      </c>
      <c r="S64" s="5">
        <f t="shared" si="1"/>
        <v>4.9315068493150684E-2</v>
      </c>
      <c r="T64" t="s">
        <v>16</v>
      </c>
      <c r="U64" t="s">
        <v>16</v>
      </c>
    </row>
    <row r="65" spans="1:21" x14ac:dyDescent="0.3">
      <c r="A65" t="s">
        <v>27</v>
      </c>
      <c r="B65" t="s">
        <v>68</v>
      </c>
      <c r="C65">
        <v>143</v>
      </c>
      <c r="D65" t="s">
        <v>14</v>
      </c>
      <c r="E65" t="s">
        <v>45</v>
      </c>
      <c r="F65" s="3" t="s">
        <v>371</v>
      </c>
      <c r="G65">
        <v>20018</v>
      </c>
      <c r="H65" t="s">
        <v>219</v>
      </c>
      <c r="I65" t="s">
        <v>222</v>
      </c>
      <c r="J65" t="s">
        <v>366</v>
      </c>
      <c r="K65" t="s">
        <v>95</v>
      </c>
      <c r="L65" t="s">
        <v>95</v>
      </c>
      <c r="M65" t="s">
        <v>95</v>
      </c>
      <c r="N65" t="s">
        <v>95</v>
      </c>
      <c r="O65">
        <v>32</v>
      </c>
      <c r="P65" s="7">
        <v>3079</v>
      </c>
      <c r="Q65">
        <v>0.18</v>
      </c>
      <c r="R65">
        <v>1.96</v>
      </c>
      <c r="S65" s="5">
        <f t="shared" si="1"/>
        <v>4.3835616438356165E-2</v>
      </c>
      <c r="T65" t="s">
        <v>16</v>
      </c>
      <c r="U65" t="s">
        <v>16</v>
      </c>
    </row>
    <row r="66" spans="1:21" x14ac:dyDescent="0.3">
      <c r="A66" t="s">
        <v>27</v>
      </c>
      <c r="B66" t="s">
        <v>68</v>
      </c>
      <c r="C66">
        <v>143</v>
      </c>
      <c r="D66" t="s">
        <v>14</v>
      </c>
      <c r="E66" t="s">
        <v>45</v>
      </c>
      <c r="F66" s="3" t="s">
        <v>371</v>
      </c>
      <c r="G66">
        <v>20018</v>
      </c>
      <c r="H66" t="s">
        <v>219</v>
      </c>
      <c r="I66" t="s">
        <v>372</v>
      </c>
      <c r="J66" t="s">
        <v>373</v>
      </c>
      <c r="K66" t="s">
        <v>95</v>
      </c>
      <c r="L66" t="s">
        <v>95</v>
      </c>
      <c r="M66" t="s">
        <v>95</v>
      </c>
      <c r="N66" t="s">
        <v>95</v>
      </c>
      <c r="O66">
        <v>107</v>
      </c>
      <c r="P66" s="7">
        <v>2933</v>
      </c>
      <c r="Q66">
        <v>0.1</v>
      </c>
      <c r="R66">
        <v>1.27</v>
      </c>
      <c r="S66" s="5">
        <f t="shared" si="1"/>
        <v>0.14657534246575343</v>
      </c>
      <c r="T66" t="s">
        <v>16</v>
      </c>
      <c r="U66" t="s">
        <v>16</v>
      </c>
    </row>
    <row r="67" spans="1:21" x14ac:dyDescent="0.3">
      <c r="A67" t="s">
        <v>27</v>
      </c>
      <c r="B67" t="s">
        <v>68</v>
      </c>
      <c r="C67">
        <v>143</v>
      </c>
      <c r="D67" t="s">
        <v>14</v>
      </c>
      <c r="E67" t="s">
        <v>45</v>
      </c>
      <c r="F67" s="3" t="s">
        <v>374</v>
      </c>
      <c r="G67">
        <v>20018</v>
      </c>
      <c r="H67" t="s">
        <v>219</v>
      </c>
      <c r="I67" t="s">
        <v>225</v>
      </c>
      <c r="J67" t="s">
        <v>344</v>
      </c>
      <c r="K67" t="s">
        <v>95</v>
      </c>
      <c r="L67" t="s">
        <v>375</v>
      </c>
      <c r="M67" t="s">
        <v>95</v>
      </c>
      <c r="N67" t="s">
        <v>95</v>
      </c>
      <c r="O67">
        <v>60</v>
      </c>
      <c r="P67" s="7">
        <v>11879</v>
      </c>
      <c r="Q67">
        <v>0.11</v>
      </c>
      <c r="R67">
        <v>2.97</v>
      </c>
      <c r="S67" s="5">
        <f t="shared" si="1"/>
        <v>8.2191780821917804E-2</v>
      </c>
      <c r="T67" t="s">
        <v>16</v>
      </c>
      <c r="U67" t="s">
        <v>16</v>
      </c>
    </row>
    <row r="68" spans="1:21" x14ac:dyDescent="0.3">
      <c r="A68" t="s">
        <v>27</v>
      </c>
      <c r="B68" t="s">
        <v>68</v>
      </c>
      <c r="C68">
        <v>143</v>
      </c>
      <c r="D68" t="s">
        <v>14</v>
      </c>
      <c r="E68" t="s">
        <v>45</v>
      </c>
      <c r="F68" s="3" t="s">
        <v>374</v>
      </c>
      <c r="G68">
        <v>20018</v>
      </c>
      <c r="H68" t="s">
        <v>219</v>
      </c>
      <c r="I68" t="s">
        <v>376</v>
      </c>
      <c r="J68" t="s">
        <v>344</v>
      </c>
      <c r="K68" t="s">
        <v>377</v>
      </c>
      <c r="L68" t="s">
        <v>95</v>
      </c>
      <c r="M68" t="s">
        <v>95</v>
      </c>
      <c r="N68" t="s">
        <v>95</v>
      </c>
      <c r="O68">
        <v>59</v>
      </c>
      <c r="P68" s="7">
        <v>3699</v>
      </c>
      <c r="Q68">
        <v>0.06</v>
      </c>
      <c r="R68">
        <v>1.62</v>
      </c>
      <c r="S68" s="5">
        <f t="shared" si="1"/>
        <v>8.0821917808219179E-2</v>
      </c>
      <c r="T68" t="s">
        <v>16</v>
      </c>
      <c r="U68" t="s">
        <v>16</v>
      </c>
    </row>
    <row r="69" spans="1:21" x14ac:dyDescent="0.3">
      <c r="A69" t="s">
        <v>27</v>
      </c>
      <c r="B69" t="s">
        <v>68</v>
      </c>
      <c r="C69">
        <v>143</v>
      </c>
      <c r="D69" t="s">
        <v>14</v>
      </c>
      <c r="E69" t="s">
        <v>45</v>
      </c>
      <c r="F69" s="3" t="s">
        <v>379</v>
      </c>
      <c r="G69">
        <v>20018</v>
      </c>
      <c r="H69" t="s">
        <v>219</v>
      </c>
      <c r="I69" t="s">
        <v>225</v>
      </c>
      <c r="J69" t="s">
        <v>380</v>
      </c>
      <c r="K69" t="s">
        <v>95</v>
      </c>
      <c r="L69" t="s">
        <v>95</v>
      </c>
      <c r="M69" t="s">
        <v>95</v>
      </c>
      <c r="N69" t="s">
        <v>381</v>
      </c>
      <c r="O69">
        <v>42</v>
      </c>
      <c r="P69" s="7">
        <v>2907</v>
      </c>
      <c r="Q69">
        <v>0.19</v>
      </c>
      <c r="R69">
        <v>1.69</v>
      </c>
      <c r="S69" s="5">
        <f t="shared" si="1"/>
        <v>5.7534246575342465E-2</v>
      </c>
      <c r="T69" t="s">
        <v>16</v>
      </c>
      <c r="U69" t="s">
        <v>16</v>
      </c>
    </row>
    <row r="70" spans="1:21" x14ac:dyDescent="0.3">
      <c r="A70" t="s">
        <v>27</v>
      </c>
      <c r="B70" t="s">
        <v>68</v>
      </c>
      <c r="C70">
        <v>143</v>
      </c>
      <c r="D70" t="s">
        <v>14</v>
      </c>
      <c r="E70" t="s">
        <v>45</v>
      </c>
      <c r="F70" s="3" t="s">
        <v>379</v>
      </c>
      <c r="G70">
        <v>20018</v>
      </c>
      <c r="H70" t="s">
        <v>219</v>
      </c>
      <c r="I70" t="s">
        <v>222</v>
      </c>
      <c r="J70" t="s">
        <v>95</v>
      </c>
      <c r="K70" t="s">
        <v>95</v>
      </c>
      <c r="L70" t="s">
        <v>382</v>
      </c>
      <c r="M70" t="s">
        <v>95</v>
      </c>
      <c r="N70" t="s">
        <v>381</v>
      </c>
      <c r="O70">
        <v>35</v>
      </c>
      <c r="P70" s="7">
        <v>6819</v>
      </c>
      <c r="Q70">
        <v>0.17</v>
      </c>
      <c r="R70">
        <v>2.94</v>
      </c>
      <c r="S70" s="5">
        <f t="shared" si="1"/>
        <v>4.7945205479452052E-2</v>
      </c>
      <c r="T70" t="s">
        <v>16</v>
      </c>
      <c r="U70" t="s">
        <v>16</v>
      </c>
    </row>
    <row r="71" spans="1:21" x14ac:dyDescent="0.3">
      <c r="A71" t="s">
        <v>27</v>
      </c>
      <c r="B71" t="s">
        <v>68</v>
      </c>
      <c r="C71">
        <v>143</v>
      </c>
      <c r="D71" t="s">
        <v>14</v>
      </c>
      <c r="E71" t="s">
        <v>45</v>
      </c>
      <c r="F71" s="3" t="s">
        <v>379</v>
      </c>
      <c r="G71">
        <v>20018</v>
      </c>
      <c r="H71" t="s">
        <v>219</v>
      </c>
      <c r="I71" t="s">
        <v>220</v>
      </c>
      <c r="J71" t="s">
        <v>383</v>
      </c>
      <c r="K71" t="s">
        <v>95</v>
      </c>
      <c r="L71" t="s">
        <v>95</v>
      </c>
      <c r="M71" t="s">
        <v>95</v>
      </c>
      <c r="N71" t="s">
        <v>381</v>
      </c>
      <c r="O71">
        <v>24</v>
      </c>
      <c r="P71" s="7">
        <v>3750</v>
      </c>
      <c r="Q71">
        <v>0.16</v>
      </c>
      <c r="R71">
        <v>2.56</v>
      </c>
      <c r="S71" s="5">
        <f t="shared" si="1"/>
        <v>3.287671232876712E-2</v>
      </c>
      <c r="T71" t="s">
        <v>16</v>
      </c>
      <c r="U71" t="s">
        <v>16</v>
      </c>
    </row>
    <row r="72" spans="1:21" x14ac:dyDescent="0.3">
      <c r="A72" t="s">
        <v>27</v>
      </c>
      <c r="B72" t="s">
        <v>68</v>
      </c>
      <c r="C72">
        <v>143</v>
      </c>
      <c r="D72" t="s">
        <v>14</v>
      </c>
      <c r="E72" t="s">
        <v>45</v>
      </c>
      <c r="F72" s="3" t="s">
        <v>384</v>
      </c>
      <c r="G72">
        <v>20018</v>
      </c>
      <c r="H72" t="s">
        <v>219</v>
      </c>
      <c r="I72" t="s">
        <v>220</v>
      </c>
      <c r="J72" t="s">
        <v>386</v>
      </c>
      <c r="K72" t="s">
        <v>95</v>
      </c>
      <c r="L72" t="s">
        <v>95</v>
      </c>
      <c r="M72" t="s">
        <v>95</v>
      </c>
      <c r="N72" t="s">
        <v>387</v>
      </c>
      <c r="O72">
        <v>219</v>
      </c>
      <c r="P72" s="7">
        <v>12005</v>
      </c>
      <c r="Q72">
        <v>0.08</v>
      </c>
      <c r="R72">
        <v>1.54</v>
      </c>
      <c r="S72" s="5">
        <f t="shared" si="1"/>
        <v>0.3</v>
      </c>
      <c r="T72" t="s">
        <v>16</v>
      </c>
      <c r="U72" t="s">
        <v>16</v>
      </c>
    </row>
    <row r="73" spans="1:21" x14ac:dyDescent="0.3">
      <c r="A73" t="s">
        <v>27</v>
      </c>
      <c r="B73" t="s">
        <v>68</v>
      </c>
      <c r="C73">
        <v>143</v>
      </c>
      <c r="D73" t="s">
        <v>14</v>
      </c>
      <c r="E73" t="s">
        <v>45</v>
      </c>
      <c r="F73" s="3" t="s">
        <v>388</v>
      </c>
      <c r="G73">
        <v>20018</v>
      </c>
      <c r="H73" t="s">
        <v>219</v>
      </c>
      <c r="I73" t="s">
        <v>225</v>
      </c>
      <c r="J73" t="s">
        <v>389</v>
      </c>
      <c r="K73" t="s">
        <v>95</v>
      </c>
      <c r="L73" t="s">
        <v>95</v>
      </c>
      <c r="M73" t="s">
        <v>95</v>
      </c>
      <c r="N73" t="s">
        <v>387</v>
      </c>
      <c r="O73">
        <v>40</v>
      </c>
      <c r="P73" s="7">
        <v>4599</v>
      </c>
      <c r="Q73">
        <v>0.14000000000000001</v>
      </c>
      <c r="R73">
        <v>2.14</v>
      </c>
      <c r="S73" s="5">
        <f t="shared" si="1"/>
        <v>5.4794520547945202E-2</v>
      </c>
      <c r="T73" t="s">
        <v>16</v>
      </c>
      <c r="U73" t="s">
        <v>16</v>
      </c>
    </row>
    <row r="74" spans="1:21" x14ac:dyDescent="0.3">
      <c r="A74" t="s">
        <v>27</v>
      </c>
      <c r="B74" t="s">
        <v>68</v>
      </c>
      <c r="C74">
        <v>143</v>
      </c>
      <c r="D74" t="s">
        <v>14</v>
      </c>
      <c r="E74" t="s">
        <v>45</v>
      </c>
      <c r="F74" s="3" t="s">
        <v>388</v>
      </c>
      <c r="G74">
        <v>20018</v>
      </c>
      <c r="H74" t="s">
        <v>219</v>
      </c>
      <c r="I74" t="s">
        <v>220</v>
      </c>
      <c r="J74" t="s">
        <v>390</v>
      </c>
      <c r="K74" t="s">
        <v>95</v>
      </c>
      <c r="L74" t="s">
        <v>95</v>
      </c>
      <c r="M74" t="s">
        <v>95</v>
      </c>
      <c r="N74" t="s">
        <v>387</v>
      </c>
      <c r="O74">
        <v>45</v>
      </c>
      <c r="P74" s="7">
        <v>5640</v>
      </c>
      <c r="Q74">
        <v>0.08</v>
      </c>
      <c r="R74">
        <v>2.25</v>
      </c>
      <c r="S74" s="5">
        <f t="shared" si="1"/>
        <v>6.1643835616438353E-2</v>
      </c>
      <c r="T74" t="s">
        <v>16</v>
      </c>
      <c r="U74" t="s">
        <v>16</v>
      </c>
    </row>
    <row r="75" spans="1:21" x14ac:dyDescent="0.3">
      <c r="A75" t="s">
        <v>27</v>
      </c>
      <c r="B75" t="s">
        <v>68</v>
      </c>
      <c r="C75">
        <v>143</v>
      </c>
      <c r="D75" t="s">
        <v>14</v>
      </c>
      <c r="E75" t="s">
        <v>45</v>
      </c>
      <c r="F75" s="3" t="s">
        <v>391</v>
      </c>
      <c r="G75">
        <v>20018</v>
      </c>
      <c r="H75" t="s">
        <v>219</v>
      </c>
      <c r="I75" t="s">
        <v>222</v>
      </c>
      <c r="J75" t="s">
        <v>394</v>
      </c>
      <c r="K75" t="s">
        <v>95</v>
      </c>
      <c r="L75" t="s">
        <v>95</v>
      </c>
      <c r="M75" t="s">
        <v>95</v>
      </c>
      <c r="N75" t="s">
        <v>387</v>
      </c>
      <c r="O75">
        <v>92</v>
      </c>
      <c r="P75" s="7">
        <v>7707</v>
      </c>
      <c r="Q75">
        <v>0.08</v>
      </c>
      <c r="R75">
        <v>1.83</v>
      </c>
      <c r="S75" s="5">
        <f t="shared" si="1"/>
        <v>0.12602739726027398</v>
      </c>
      <c r="T75" t="s">
        <v>16</v>
      </c>
      <c r="U75" t="s">
        <v>16</v>
      </c>
    </row>
    <row r="76" spans="1:21" x14ac:dyDescent="0.3">
      <c r="A76" t="s">
        <v>27</v>
      </c>
      <c r="B76" t="s">
        <v>68</v>
      </c>
      <c r="C76">
        <v>143</v>
      </c>
      <c r="D76" t="s">
        <v>14</v>
      </c>
      <c r="E76" t="s">
        <v>45</v>
      </c>
      <c r="F76" s="3" t="s">
        <v>396</v>
      </c>
      <c r="G76">
        <v>20018</v>
      </c>
      <c r="H76" t="s">
        <v>219</v>
      </c>
      <c r="I76" t="s">
        <v>225</v>
      </c>
      <c r="J76" t="s">
        <v>95</v>
      </c>
      <c r="K76" t="s">
        <v>397</v>
      </c>
      <c r="L76" t="s">
        <v>95</v>
      </c>
      <c r="M76" t="s">
        <v>95</v>
      </c>
      <c r="N76" t="s">
        <v>387</v>
      </c>
      <c r="O76">
        <v>53</v>
      </c>
      <c r="P76" s="7">
        <v>4457</v>
      </c>
      <c r="Q76">
        <v>0.15</v>
      </c>
      <c r="R76">
        <v>1.84</v>
      </c>
      <c r="S76" s="5">
        <f t="shared" si="1"/>
        <v>7.260273972602739E-2</v>
      </c>
      <c r="T76" t="s">
        <v>16</v>
      </c>
      <c r="U76" t="s">
        <v>16</v>
      </c>
    </row>
    <row r="77" spans="1:21" x14ac:dyDescent="0.3">
      <c r="A77" t="s">
        <v>27</v>
      </c>
      <c r="B77" t="s">
        <v>68</v>
      </c>
      <c r="C77">
        <v>143</v>
      </c>
      <c r="D77" t="s">
        <v>14</v>
      </c>
      <c r="E77" t="s">
        <v>45</v>
      </c>
      <c r="F77" s="3" t="s">
        <v>396</v>
      </c>
      <c r="G77">
        <v>20018</v>
      </c>
      <c r="H77" t="s">
        <v>219</v>
      </c>
      <c r="I77" t="s">
        <v>222</v>
      </c>
      <c r="J77" t="s">
        <v>95</v>
      </c>
      <c r="K77" t="s">
        <v>398</v>
      </c>
      <c r="L77" t="s">
        <v>95</v>
      </c>
      <c r="M77" t="s">
        <v>95</v>
      </c>
      <c r="N77" t="s">
        <v>387</v>
      </c>
      <c r="O77">
        <v>171</v>
      </c>
      <c r="P77" s="7">
        <v>10163</v>
      </c>
      <c r="Q77">
        <v>0.08</v>
      </c>
      <c r="R77">
        <v>1.59</v>
      </c>
      <c r="S77" s="5">
        <f t="shared" si="1"/>
        <v>0.23424657534246576</v>
      </c>
      <c r="T77" t="s">
        <v>16</v>
      </c>
      <c r="U77" t="s">
        <v>16</v>
      </c>
    </row>
    <row r="78" spans="1:21" x14ac:dyDescent="0.3">
      <c r="A78" t="s">
        <v>27</v>
      </c>
      <c r="B78" t="s">
        <v>68</v>
      </c>
      <c r="C78">
        <v>143</v>
      </c>
      <c r="D78" t="s">
        <v>14</v>
      </c>
      <c r="E78" t="s">
        <v>45</v>
      </c>
      <c r="F78" s="3" t="s">
        <v>396</v>
      </c>
      <c r="G78">
        <v>20018</v>
      </c>
      <c r="H78" t="s">
        <v>219</v>
      </c>
      <c r="I78" t="s">
        <v>220</v>
      </c>
      <c r="J78" t="s">
        <v>95</v>
      </c>
      <c r="K78" t="s">
        <v>399</v>
      </c>
      <c r="L78" t="s">
        <v>95</v>
      </c>
      <c r="M78" t="s">
        <v>95</v>
      </c>
      <c r="N78" t="s">
        <v>387</v>
      </c>
      <c r="O78">
        <v>30</v>
      </c>
      <c r="P78" s="7">
        <v>5788</v>
      </c>
      <c r="Q78">
        <v>0.1</v>
      </c>
      <c r="R78">
        <v>2.92</v>
      </c>
      <c r="S78" s="5">
        <f t="shared" si="1"/>
        <v>4.1095890410958902E-2</v>
      </c>
      <c r="T78" t="s">
        <v>16</v>
      </c>
      <c r="U78" t="s">
        <v>16</v>
      </c>
    </row>
    <row r="79" spans="1:21" x14ac:dyDescent="0.3">
      <c r="A79" t="s">
        <v>27</v>
      </c>
      <c r="B79" t="s">
        <v>68</v>
      </c>
      <c r="C79">
        <v>143</v>
      </c>
      <c r="D79" t="s">
        <v>14</v>
      </c>
      <c r="E79" t="s">
        <v>45</v>
      </c>
      <c r="F79" s="3" t="s">
        <v>400</v>
      </c>
      <c r="G79">
        <v>20018</v>
      </c>
      <c r="H79" t="s">
        <v>219</v>
      </c>
      <c r="I79" t="s">
        <v>222</v>
      </c>
      <c r="J79" t="s">
        <v>95</v>
      </c>
      <c r="K79" t="s">
        <v>95</v>
      </c>
      <c r="L79" t="s">
        <v>95</v>
      </c>
      <c r="M79" t="s">
        <v>401</v>
      </c>
      <c r="N79" t="s">
        <v>387</v>
      </c>
      <c r="O79">
        <v>53</v>
      </c>
      <c r="P79" s="7">
        <v>5685</v>
      </c>
      <c r="Q79">
        <v>0.24</v>
      </c>
      <c r="R79">
        <v>2.0699999999999998</v>
      </c>
      <c r="S79" s="5">
        <f t="shared" si="1"/>
        <v>7.260273972602739E-2</v>
      </c>
      <c r="T79" t="s">
        <v>16</v>
      </c>
      <c r="U79" t="s">
        <v>16</v>
      </c>
    </row>
    <row r="80" spans="1:21" x14ac:dyDescent="0.3">
      <c r="A80" t="s">
        <v>27</v>
      </c>
      <c r="B80" t="s">
        <v>68</v>
      </c>
      <c r="C80">
        <v>143</v>
      </c>
      <c r="D80" t="s">
        <v>14</v>
      </c>
      <c r="E80" t="s">
        <v>45</v>
      </c>
      <c r="F80" s="3" t="s">
        <v>400</v>
      </c>
      <c r="G80">
        <v>20018</v>
      </c>
      <c r="H80" t="s">
        <v>219</v>
      </c>
      <c r="I80" t="s">
        <v>220</v>
      </c>
      <c r="J80" t="s">
        <v>95</v>
      </c>
      <c r="K80" t="s">
        <v>402</v>
      </c>
      <c r="L80" t="s">
        <v>95</v>
      </c>
      <c r="M80" t="s">
        <v>95</v>
      </c>
      <c r="N80" t="s">
        <v>387</v>
      </c>
      <c r="O80">
        <v>44</v>
      </c>
      <c r="P80" s="7">
        <v>2529</v>
      </c>
      <c r="Q80">
        <v>0.11</v>
      </c>
      <c r="R80">
        <v>1.57</v>
      </c>
      <c r="S80" s="5">
        <f t="shared" si="1"/>
        <v>6.0273972602739728E-2</v>
      </c>
      <c r="T80" t="s">
        <v>16</v>
      </c>
      <c r="U80" t="s">
        <v>16</v>
      </c>
    </row>
    <row r="81" spans="1:21" x14ac:dyDescent="0.3">
      <c r="A81" t="s">
        <v>27</v>
      </c>
      <c r="B81" t="s">
        <v>68</v>
      </c>
      <c r="C81">
        <v>143</v>
      </c>
      <c r="D81" t="s">
        <v>14</v>
      </c>
      <c r="E81" t="s">
        <v>45</v>
      </c>
      <c r="F81" s="3" t="s">
        <v>403</v>
      </c>
      <c r="G81">
        <v>20018</v>
      </c>
      <c r="H81" t="s">
        <v>219</v>
      </c>
      <c r="I81" t="s">
        <v>225</v>
      </c>
      <c r="J81" t="s">
        <v>404</v>
      </c>
      <c r="K81" t="s">
        <v>95</v>
      </c>
      <c r="L81" t="s">
        <v>95</v>
      </c>
      <c r="M81" t="s">
        <v>95</v>
      </c>
      <c r="N81" t="s">
        <v>387</v>
      </c>
      <c r="O81">
        <v>42</v>
      </c>
      <c r="P81" s="7">
        <v>2359</v>
      </c>
      <c r="Q81">
        <v>0.14000000000000001</v>
      </c>
      <c r="R81">
        <v>1.56</v>
      </c>
      <c r="S81" s="5">
        <f t="shared" si="1"/>
        <v>5.7534246575342465E-2</v>
      </c>
      <c r="T81" t="s">
        <v>16</v>
      </c>
      <c r="U81" t="s">
        <v>16</v>
      </c>
    </row>
    <row r="82" spans="1:21" x14ac:dyDescent="0.3">
      <c r="A82" t="s">
        <v>27</v>
      </c>
      <c r="B82" t="s">
        <v>68</v>
      </c>
      <c r="C82">
        <v>143</v>
      </c>
      <c r="D82" t="s">
        <v>14</v>
      </c>
      <c r="E82" t="s">
        <v>45</v>
      </c>
      <c r="F82" s="3" t="s">
        <v>403</v>
      </c>
      <c r="G82">
        <v>20018</v>
      </c>
      <c r="H82" t="s">
        <v>219</v>
      </c>
      <c r="I82" t="s">
        <v>222</v>
      </c>
      <c r="J82" t="s">
        <v>95</v>
      </c>
      <c r="K82" t="s">
        <v>95</v>
      </c>
      <c r="L82" t="s">
        <v>95</v>
      </c>
      <c r="M82" t="s">
        <v>95</v>
      </c>
      <c r="N82" t="s">
        <v>405</v>
      </c>
      <c r="O82">
        <v>39</v>
      </c>
      <c r="P82" s="7">
        <v>1159</v>
      </c>
      <c r="Q82">
        <v>0.12</v>
      </c>
      <c r="R82">
        <v>1.29</v>
      </c>
      <c r="S82" s="5">
        <f t="shared" si="1"/>
        <v>5.3424657534246578E-2</v>
      </c>
      <c r="T82" t="s">
        <v>16</v>
      </c>
      <c r="U82" t="s">
        <v>16</v>
      </c>
    </row>
    <row r="83" spans="1:21" x14ac:dyDescent="0.3">
      <c r="A83" t="s">
        <v>27</v>
      </c>
      <c r="B83" t="s">
        <v>68</v>
      </c>
      <c r="C83">
        <v>143</v>
      </c>
      <c r="D83" t="s">
        <v>14</v>
      </c>
      <c r="E83" t="s">
        <v>45</v>
      </c>
      <c r="F83" s="3" t="s">
        <v>406</v>
      </c>
      <c r="G83">
        <v>20018</v>
      </c>
      <c r="H83" t="s">
        <v>219</v>
      </c>
      <c r="I83" t="s">
        <v>222</v>
      </c>
      <c r="J83" t="s">
        <v>95</v>
      </c>
      <c r="K83" t="s">
        <v>95</v>
      </c>
      <c r="L83" t="s">
        <v>407</v>
      </c>
      <c r="M83" t="s">
        <v>95</v>
      </c>
      <c r="N83" t="s">
        <v>95</v>
      </c>
      <c r="O83">
        <v>27</v>
      </c>
      <c r="P83" s="7">
        <v>3917</v>
      </c>
      <c r="Q83">
        <v>0.22</v>
      </c>
      <c r="R83">
        <v>2.4500000000000002</v>
      </c>
      <c r="S83" s="5">
        <f t="shared" si="1"/>
        <v>3.6986301369863014E-2</v>
      </c>
      <c r="T83" t="s">
        <v>16</v>
      </c>
      <c r="U83" t="s">
        <v>16</v>
      </c>
    </row>
    <row r="84" spans="1:21" x14ac:dyDescent="0.3">
      <c r="A84" t="s">
        <v>27</v>
      </c>
      <c r="B84" t="s">
        <v>68</v>
      </c>
      <c r="C84">
        <v>143</v>
      </c>
      <c r="D84" t="s">
        <v>14</v>
      </c>
      <c r="E84" t="s">
        <v>45</v>
      </c>
      <c r="F84" s="3" t="s">
        <v>408</v>
      </c>
      <c r="G84">
        <v>20018</v>
      </c>
      <c r="H84" t="s">
        <v>219</v>
      </c>
      <c r="I84" t="s">
        <v>225</v>
      </c>
      <c r="J84" t="s">
        <v>409</v>
      </c>
      <c r="K84" t="s">
        <v>95</v>
      </c>
      <c r="L84" t="s">
        <v>95</v>
      </c>
      <c r="M84" t="s">
        <v>95</v>
      </c>
      <c r="N84" t="s">
        <v>95</v>
      </c>
      <c r="O84">
        <v>22</v>
      </c>
      <c r="P84" s="7">
        <v>4779</v>
      </c>
      <c r="Q84">
        <v>0.18</v>
      </c>
      <c r="R84">
        <v>3.17</v>
      </c>
      <c r="S84" s="5">
        <f t="shared" si="1"/>
        <v>3.0136986301369864E-2</v>
      </c>
      <c r="T84" t="s">
        <v>16</v>
      </c>
      <c r="U84" t="s">
        <v>16</v>
      </c>
    </row>
    <row r="85" spans="1:21" x14ac:dyDescent="0.3">
      <c r="A85" t="s">
        <v>27</v>
      </c>
      <c r="B85" t="s">
        <v>68</v>
      </c>
      <c r="C85">
        <v>143</v>
      </c>
      <c r="D85" t="s">
        <v>14</v>
      </c>
      <c r="E85" t="s">
        <v>45</v>
      </c>
      <c r="F85" s="3" t="s">
        <v>408</v>
      </c>
      <c r="G85">
        <v>20018</v>
      </c>
      <c r="H85" t="s">
        <v>219</v>
      </c>
      <c r="I85" t="s">
        <v>222</v>
      </c>
      <c r="J85" t="s">
        <v>344</v>
      </c>
      <c r="K85" t="s">
        <v>95</v>
      </c>
      <c r="L85" t="s">
        <v>95</v>
      </c>
      <c r="M85" t="s">
        <v>95</v>
      </c>
      <c r="N85" t="s">
        <v>410</v>
      </c>
      <c r="O85">
        <v>72</v>
      </c>
      <c r="P85" s="7">
        <v>8759</v>
      </c>
      <c r="Q85">
        <v>0.06</v>
      </c>
      <c r="R85">
        <v>2.21</v>
      </c>
      <c r="S85" s="5">
        <f t="shared" si="1"/>
        <v>9.8630136986301367E-2</v>
      </c>
      <c r="T85" t="s">
        <v>16</v>
      </c>
      <c r="U85" t="s">
        <v>16</v>
      </c>
    </row>
    <row r="86" spans="1:21" x14ac:dyDescent="0.3">
      <c r="A86" t="s">
        <v>27</v>
      </c>
      <c r="B86" t="s">
        <v>68</v>
      </c>
      <c r="C86">
        <v>143</v>
      </c>
      <c r="D86" t="s">
        <v>14</v>
      </c>
      <c r="E86" t="s">
        <v>45</v>
      </c>
      <c r="F86" s="3" t="s">
        <v>408</v>
      </c>
      <c r="G86">
        <v>20018</v>
      </c>
      <c r="H86" t="s">
        <v>219</v>
      </c>
      <c r="I86" t="s">
        <v>220</v>
      </c>
      <c r="J86" t="s">
        <v>344</v>
      </c>
      <c r="K86" t="s">
        <v>95</v>
      </c>
      <c r="L86" t="s">
        <v>95</v>
      </c>
      <c r="M86" t="s">
        <v>95</v>
      </c>
      <c r="N86" t="s">
        <v>411</v>
      </c>
      <c r="O86">
        <v>61</v>
      </c>
      <c r="P86" s="7">
        <v>4108</v>
      </c>
      <c r="Q86">
        <v>0.06</v>
      </c>
      <c r="R86">
        <v>2.21</v>
      </c>
      <c r="S86" s="5">
        <f t="shared" si="1"/>
        <v>8.3561643835616442E-2</v>
      </c>
      <c r="T86" t="s">
        <v>16</v>
      </c>
      <c r="U86" t="s">
        <v>16</v>
      </c>
    </row>
    <row r="87" spans="1:21" x14ac:dyDescent="0.3">
      <c r="A87" t="s">
        <v>27</v>
      </c>
      <c r="B87" t="s">
        <v>68</v>
      </c>
      <c r="C87">
        <v>143</v>
      </c>
      <c r="D87" t="s">
        <v>14</v>
      </c>
      <c r="E87" t="s">
        <v>45</v>
      </c>
      <c r="F87" s="3" t="s">
        <v>87</v>
      </c>
      <c r="G87">
        <v>20018</v>
      </c>
      <c r="H87" t="s">
        <v>219</v>
      </c>
      <c r="I87" t="s">
        <v>225</v>
      </c>
      <c r="J87" t="s">
        <v>344</v>
      </c>
      <c r="K87" t="s">
        <v>412</v>
      </c>
      <c r="L87" t="s">
        <v>95</v>
      </c>
      <c r="M87" t="s">
        <v>95</v>
      </c>
      <c r="N87" t="s">
        <v>95</v>
      </c>
      <c r="O87">
        <v>94</v>
      </c>
      <c r="P87" s="7">
        <v>3202</v>
      </c>
      <c r="Q87">
        <v>0.13</v>
      </c>
      <c r="R87">
        <v>1.34</v>
      </c>
      <c r="S87" s="5">
        <f t="shared" si="1"/>
        <v>0.12876712328767123</v>
      </c>
      <c r="T87" t="s">
        <v>16</v>
      </c>
      <c r="U87" t="s">
        <v>16</v>
      </c>
    </row>
    <row r="88" spans="1:21" x14ac:dyDescent="0.3">
      <c r="A88" t="s">
        <v>27</v>
      </c>
      <c r="B88" t="s">
        <v>68</v>
      </c>
      <c r="C88">
        <v>143</v>
      </c>
      <c r="D88" t="s">
        <v>14</v>
      </c>
      <c r="E88" t="s">
        <v>45</v>
      </c>
      <c r="F88" s="3" t="s">
        <v>87</v>
      </c>
      <c r="G88">
        <v>20018</v>
      </c>
      <c r="H88" t="s">
        <v>219</v>
      </c>
      <c r="I88" t="s">
        <v>222</v>
      </c>
      <c r="J88" t="s">
        <v>344</v>
      </c>
      <c r="K88" t="s">
        <v>95</v>
      </c>
      <c r="L88" t="s">
        <v>95</v>
      </c>
      <c r="M88" t="s">
        <v>95</v>
      </c>
      <c r="N88" t="s">
        <v>413</v>
      </c>
      <c r="O88">
        <v>164</v>
      </c>
      <c r="P88" s="7">
        <v>9926</v>
      </c>
      <c r="Q88">
        <v>0.06</v>
      </c>
      <c r="R88">
        <v>1.6</v>
      </c>
      <c r="S88" s="5">
        <f t="shared" si="1"/>
        <v>0.22465753424657534</v>
      </c>
      <c r="T88" t="s">
        <v>16</v>
      </c>
      <c r="U88" t="s">
        <v>16</v>
      </c>
    </row>
    <row r="89" spans="1:21" x14ac:dyDescent="0.3">
      <c r="A89" t="s">
        <v>27</v>
      </c>
      <c r="B89" t="s">
        <v>68</v>
      </c>
      <c r="C89">
        <v>143</v>
      </c>
      <c r="D89" t="s">
        <v>14</v>
      </c>
      <c r="E89" t="s">
        <v>45</v>
      </c>
      <c r="F89" s="3" t="s">
        <v>87</v>
      </c>
      <c r="G89">
        <v>20018</v>
      </c>
      <c r="H89" t="s">
        <v>219</v>
      </c>
      <c r="I89" t="s">
        <v>414</v>
      </c>
      <c r="J89" t="s">
        <v>344</v>
      </c>
      <c r="K89" t="s">
        <v>95</v>
      </c>
      <c r="L89" t="s">
        <v>95</v>
      </c>
      <c r="M89" t="s">
        <v>95</v>
      </c>
      <c r="N89" t="s">
        <v>415</v>
      </c>
      <c r="O89">
        <v>164</v>
      </c>
      <c r="P89" s="7">
        <v>30166</v>
      </c>
      <c r="Q89">
        <v>7.0000000000000007E-2</v>
      </c>
      <c r="R89">
        <v>2.83</v>
      </c>
      <c r="S89" s="5">
        <f t="shared" si="1"/>
        <v>0.22465753424657534</v>
      </c>
      <c r="T89" t="s">
        <v>16</v>
      </c>
      <c r="U89" t="s">
        <v>16</v>
      </c>
    </row>
    <row r="90" spans="1:21" x14ac:dyDescent="0.3">
      <c r="A90" t="s">
        <v>27</v>
      </c>
      <c r="B90" t="s">
        <v>68</v>
      </c>
      <c r="C90">
        <v>143</v>
      </c>
      <c r="D90" t="s">
        <v>14</v>
      </c>
      <c r="E90" t="s">
        <v>45</v>
      </c>
      <c r="F90" s="3" t="s">
        <v>416</v>
      </c>
      <c r="G90">
        <v>20018</v>
      </c>
      <c r="H90" t="s">
        <v>219</v>
      </c>
      <c r="I90" t="s">
        <v>417</v>
      </c>
      <c r="J90" t="s">
        <v>344</v>
      </c>
      <c r="K90" t="s">
        <v>418</v>
      </c>
      <c r="L90" t="s">
        <v>95</v>
      </c>
      <c r="M90" t="s">
        <v>95</v>
      </c>
      <c r="N90" t="s">
        <v>95</v>
      </c>
      <c r="O90">
        <v>216</v>
      </c>
      <c r="P90" s="7">
        <v>8178</v>
      </c>
      <c r="Q90">
        <v>0.13</v>
      </c>
      <c r="R90">
        <v>1.37</v>
      </c>
      <c r="S90" s="5">
        <f t="shared" si="1"/>
        <v>0.29589041095890412</v>
      </c>
      <c r="T90" t="s">
        <v>16</v>
      </c>
      <c r="U90" t="s">
        <v>16</v>
      </c>
    </row>
    <row r="91" spans="1:21" x14ac:dyDescent="0.3">
      <c r="A91" t="s">
        <v>27</v>
      </c>
      <c r="B91" t="s">
        <v>68</v>
      </c>
      <c r="C91">
        <v>143</v>
      </c>
      <c r="D91" t="s">
        <v>14</v>
      </c>
      <c r="E91" t="s">
        <v>45</v>
      </c>
      <c r="F91" s="3" t="s">
        <v>416</v>
      </c>
      <c r="G91">
        <v>20018</v>
      </c>
      <c r="H91" t="s">
        <v>219</v>
      </c>
      <c r="I91" t="s">
        <v>222</v>
      </c>
      <c r="J91" t="s">
        <v>344</v>
      </c>
      <c r="K91" t="s">
        <v>419</v>
      </c>
      <c r="L91" t="s">
        <v>95</v>
      </c>
      <c r="M91" t="s">
        <v>95</v>
      </c>
      <c r="N91" t="s">
        <v>95</v>
      </c>
      <c r="O91">
        <v>320</v>
      </c>
      <c r="P91" s="7">
        <v>12390</v>
      </c>
      <c r="Q91">
        <v>0.06</v>
      </c>
      <c r="R91">
        <v>1.38</v>
      </c>
      <c r="S91" s="5">
        <f t="shared" si="1"/>
        <v>0.43835616438356162</v>
      </c>
      <c r="T91" t="s">
        <v>16</v>
      </c>
      <c r="U91" t="s">
        <v>16</v>
      </c>
    </row>
    <row r="92" spans="1:21" x14ac:dyDescent="0.3">
      <c r="A92" t="s">
        <v>27</v>
      </c>
      <c r="B92" t="s">
        <v>68</v>
      </c>
      <c r="C92">
        <v>143</v>
      </c>
      <c r="D92" t="s">
        <v>14</v>
      </c>
      <c r="E92" t="s">
        <v>45</v>
      </c>
      <c r="F92" s="3" t="s">
        <v>420</v>
      </c>
      <c r="G92">
        <v>20018</v>
      </c>
      <c r="H92" t="s">
        <v>219</v>
      </c>
      <c r="I92" t="s">
        <v>225</v>
      </c>
      <c r="J92" t="s">
        <v>421</v>
      </c>
      <c r="K92" t="s">
        <v>95</v>
      </c>
      <c r="L92" t="s">
        <v>95</v>
      </c>
      <c r="M92" t="s">
        <v>95</v>
      </c>
      <c r="N92" t="s">
        <v>392</v>
      </c>
      <c r="O92">
        <v>76</v>
      </c>
      <c r="P92" s="7">
        <v>6556</v>
      </c>
      <c r="Q92">
        <v>0.13</v>
      </c>
      <c r="R92">
        <v>1.86</v>
      </c>
      <c r="S92" s="5">
        <f t="shared" si="1"/>
        <v>0.10410958904109589</v>
      </c>
      <c r="T92" t="s">
        <v>16</v>
      </c>
      <c r="U92" t="s">
        <v>16</v>
      </c>
    </row>
    <row r="93" spans="1:21" x14ac:dyDescent="0.3">
      <c r="A93" t="s">
        <v>27</v>
      </c>
      <c r="B93" t="s">
        <v>68</v>
      </c>
      <c r="C93">
        <v>143</v>
      </c>
      <c r="D93" t="s">
        <v>14</v>
      </c>
      <c r="E93" t="s">
        <v>45</v>
      </c>
      <c r="F93" s="3" t="s">
        <v>420</v>
      </c>
      <c r="G93">
        <v>20018</v>
      </c>
      <c r="H93" t="s">
        <v>219</v>
      </c>
      <c r="I93" t="s">
        <v>422</v>
      </c>
      <c r="J93" t="s">
        <v>95</v>
      </c>
      <c r="K93" t="s">
        <v>423</v>
      </c>
      <c r="L93" t="s">
        <v>95</v>
      </c>
      <c r="M93" t="s">
        <v>95</v>
      </c>
      <c r="N93" t="s">
        <v>392</v>
      </c>
      <c r="O93">
        <v>220</v>
      </c>
      <c r="P93" s="7">
        <v>12362</v>
      </c>
      <c r="Q93">
        <v>0.11</v>
      </c>
      <c r="R93">
        <v>1.56</v>
      </c>
      <c r="S93" s="5">
        <f t="shared" si="1"/>
        <v>0.30136986301369861</v>
      </c>
      <c r="T93" t="s">
        <v>16</v>
      </c>
      <c r="U93" t="s">
        <v>16</v>
      </c>
    </row>
    <row r="94" spans="1:21" x14ac:dyDescent="0.3">
      <c r="A94" t="s">
        <v>27</v>
      </c>
      <c r="B94" t="s">
        <v>68</v>
      </c>
      <c r="C94">
        <v>143</v>
      </c>
      <c r="D94" t="s">
        <v>14</v>
      </c>
      <c r="E94" t="s">
        <v>45</v>
      </c>
      <c r="F94" s="3" t="s">
        <v>420</v>
      </c>
      <c r="G94">
        <v>20018</v>
      </c>
      <c r="H94" t="s">
        <v>219</v>
      </c>
      <c r="I94" t="s">
        <v>424</v>
      </c>
      <c r="J94" t="s">
        <v>95</v>
      </c>
      <c r="K94" t="s">
        <v>425</v>
      </c>
      <c r="L94" t="s">
        <v>426</v>
      </c>
      <c r="M94" t="s">
        <v>95</v>
      </c>
      <c r="N94" t="s">
        <v>392</v>
      </c>
      <c r="O94">
        <v>50</v>
      </c>
      <c r="P94" s="7">
        <v>6558</v>
      </c>
      <c r="Q94">
        <v>0.1</v>
      </c>
      <c r="R94">
        <v>2.31</v>
      </c>
      <c r="S94" s="5">
        <f t="shared" ref="S94:S144" si="2">O94/730</f>
        <v>6.8493150684931503E-2</v>
      </c>
      <c r="T94" t="s">
        <v>16</v>
      </c>
      <c r="U94" t="s">
        <v>16</v>
      </c>
    </row>
    <row r="95" spans="1:21" x14ac:dyDescent="0.3">
      <c r="A95" t="s">
        <v>27</v>
      </c>
      <c r="B95" t="s">
        <v>68</v>
      </c>
      <c r="C95">
        <v>143</v>
      </c>
      <c r="D95" t="s">
        <v>14</v>
      </c>
      <c r="E95" t="s">
        <v>45</v>
      </c>
      <c r="F95" s="3" t="s">
        <v>427</v>
      </c>
      <c r="G95">
        <v>20018</v>
      </c>
      <c r="H95" t="s">
        <v>219</v>
      </c>
      <c r="I95" t="s">
        <v>428</v>
      </c>
      <c r="J95" t="s">
        <v>95</v>
      </c>
      <c r="K95" t="s">
        <v>425</v>
      </c>
      <c r="L95" t="s">
        <v>95</v>
      </c>
      <c r="M95" t="s">
        <v>429</v>
      </c>
      <c r="N95" t="s">
        <v>392</v>
      </c>
      <c r="O95">
        <v>67</v>
      </c>
      <c r="P95" s="7">
        <v>4546</v>
      </c>
      <c r="Q95">
        <v>0.13</v>
      </c>
      <c r="R95">
        <v>1.67</v>
      </c>
      <c r="S95" s="5">
        <f t="shared" si="2"/>
        <v>9.1780821917808217E-2</v>
      </c>
      <c r="T95" t="s">
        <v>16</v>
      </c>
      <c r="U95" t="s">
        <v>16</v>
      </c>
    </row>
    <row r="96" spans="1:21" x14ac:dyDescent="0.3">
      <c r="A96" t="s">
        <v>27</v>
      </c>
      <c r="B96" t="s">
        <v>68</v>
      </c>
      <c r="C96">
        <v>143</v>
      </c>
      <c r="D96" t="s">
        <v>14</v>
      </c>
      <c r="E96" t="s">
        <v>45</v>
      </c>
      <c r="F96" s="3" t="s">
        <v>430</v>
      </c>
      <c r="G96">
        <v>20018</v>
      </c>
      <c r="H96" t="s">
        <v>219</v>
      </c>
      <c r="I96" t="s">
        <v>225</v>
      </c>
      <c r="J96" t="s">
        <v>95</v>
      </c>
      <c r="K96" t="s">
        <v>431</v>
      </c>
      <c r="L96" t="s">
        <v>95</v>
      </c>
      <c r="M96" t="s">
        <v>95</v>
      </c>
      <c r="N96" t="s">
        <v>392</v>
      </c>
      <c r="O96">
        <v>127</v>
      </c>
      <c r="P96" s="7">
        <v>6026</v>
      </c>
      <c r="Q96">
        <v>0.1</v>
      </c>
      <c r="R96">
        <v>1.47</v>
      </c>
      <c r="S96" s="5">
        <f t="shared" si="2"/>
        <v>0.17397260273972603</v>
      </c>
      <c r="T96" t="s">
        <v>16</v>
      </c>
      <c r="U96" t="s">
        <v>16</v>
      </c>
    </row>
    <row r="97" spans="1:21" x14ac:dyDescent="0.3">
      <c r="A97" t="s">
        <v>27</v>
      </c>
      <c r="B97" t="s">
        <v>68</v>
      </c>
      <c r="C97">
        <v>143</v>
      </c>
      <c r="D97" t="s">
        <v>14</v>
      </c>
      <c r="E97" t="s">
        <v>45</v>
      </c>
      <c r="F97" s="3" t="s">
        <v>430</v>
      </c>
      <c r="G97">
        <v>20018</v>
      </c>
      <c r="H97" t="s">
        <v>219</v>
      </c>
      <c r="I97" t="s">
        <v>220</v>
      </c>
      <c r="J97" t="s">
        <v>95</v>
      </c>
      <c r="K97" t="s">
        <v>433</v>
      </c>
      <c r="L97" t="s">
        <v>95</v>
      </c>
      <c r="M97" t="s">
        <v>344</v>
      </c>
      <c r="N97" t="s">
        <v>392</v>
      </c>
      <c r="O97">
        <v>178</v>
      </c>
      <c r="P97" s="7">
        <v>8752</v>
      </c>
      <c r="Q97">
        <v>7.0000000000000007E-2</v>
      </c>
      <c r="R97">
        <v>1.49</v>
      </c>
      <c r="S97" s="5">
        <f t="shared" si="2"/>
        <v>0.24383561643835616</v>
      </c>
      <c r="T97" t="s">
        <v>16</v>
      </c>
      <c r="U97" t="s">
        <v>16</v>
      </c>
    </row>
    <row r="98" spans="1:21" x14ac:dyDescent="0.3">
      <c r="A98" t="s">
        <v>27</v>
      </c>
      <c r="B98" t="s">
        <v>68</v>
      </c>
      <c r="C98">
        <v>143</v>
      </c>
      <c r="D98" t="s">
        <v>14</v>
      </c>
      <c r="E98" t="s">
        <v>45</v>
      </c>
      <c r="F98" s="3" t="s">
        <v>434</v>
      </c>
      <c r="G98">
        <v>20018</v>
      </c>
      <c r="H98" t="s">
        <v>219</v>
      </c>
      <c r="I98" t="s">
        <v>435</v>
      </c>
      <c r="J98" t="s">
        <v>95</v>
      </c>
      <c r="K98" t="s">
        <v>95</v>
      </c>
      <c r="L98" t="s">
        <v>95</v>
      </c>
      <c r="M98" t="s">
        <v>436</v>
      </c>
      <c r="N98" t="s">
        <v>392</v>
      </c>
      <c r="O98">
        <v>27</v>
      </c>
      <c r="P98" s="7">
        <v>6249</v>
      </c>
      <c r="Q98">
        <v>0.11</v>
      </c>
      <c r="R98">
        <v>3.31</v>
      </c>
      <c r="S98" s="5">
        <f t="shared" si="2"/>
        <v>3.6986301369863014E-2</v>
      </c>
      <c r="T98" t="s">
        <v>16</v>
      </c>
      <c r="U98" t="s">
        <v>16</v>
      </c>
    </row>
    <row r="99" spans="1:21" x14ac:dyDescent="0.3">
      <c r="A99" t="s">
        <v>27</v>
      </c>
      <c r="B99" t="s">
        <v>68</v>
      </c>
      <c r="C99">
        <v>143</v>
      </c>
      <c r="D99" t="s">
        <v>14</v>
      </c>
      <c r="E99" t="s">
        <v>45</v>
      </c>
      <c r="F99" s="3" t="s">
        <v>434</v>
      </c>
      <c r="G99">
        <v>20018</v>
      </c>
      <c r="H99" t="s">
        <v>219</v>
      </c>
      <c r="I99" t="s">
        <v>222</v>
      </c>
      <c r="J99" t="s">
        <v>437</v>
      </c>
      <c r="K99" t="s">
        <v>95</v>
      </c>
      <c r="L99" t="s">
        <v>95</v>
      </c>
      <c r="M99" t="s">
        <v>95</v>
      </c>
      <c r="N99" t="s">
        <v>392</v>
      </c>
      <c r="O99">
        <v>147</v>
      </c>
      <c r="P99" s="7">
        <v>3697</v>
      </c>
      <c r="Q99">
        <v>0.08</v>
      </c>
      <c r="R99">
        <v>1.25</v>
      </c>
      <c r="S99" s="5">
        <f t="shared" si="2"/>
        <v>0.20136986301369864</v>
      </c>
      <c r="T99" t="s">
        <v>16</v>
      </c>
      <c r="U99" t="s">
        <v>16</v>
      </c>
    </row>
    <row r="100" spans="1:21" x14ac:dyDescent="0.3">
      <c r="A100" t="s">
        <v>27</v>
      </c>
      <c r="B100" t="s">
        <v>68</v>
      </c>
      <c r="C100">
        <v>143</v>
      </c>
      <c r="D100" t="s">
        <v>14</v>
      </c>
      <c r="E100" t="s">
        <v>45</v>
      </c>
      <c r="F100" s="3" t="s">
        <v>434</v>
      </c>
      <c r="G100">
        <v>20018</v>
      </c>
      <c r="H100" t="s">
        <v>219</v>
      </c>
      <c r="I100" t="s">
        <v>220</v>
      </c>
      <c r="J100" t="s">
        <v>438</v>
      </c>
      <c r="K100" t="s">
        <v>95</v>
      </c>
      <c r="L100" t="s">
        <v>95</v>
      </c>
      <c r="M100" t="s">
        <v>95</v>
      </c>
      <c r="N100" t="s">
        <v>392</v>
      </c>
      <c r="O100">
        <v>70</v>
      </c>
      <c r="P100" s="7">
        <v>11597</v>
      </c>
      <c r="Q100">
        <v>0.1</v>
      </c>
      <c r="R100">
        <v>2.65</v>
      </c>
      <c r="S100" s="5">
        <f t="shared" si="2"/>
        <v>9.5890410958904104E-2</v>
      </c>
      <c r="T100" t="s">
        <v>16</v>
      </c>
      <c r="U100" t="s">
        <v>16</v>
      </c>
    </row>
    <row r="101" spans="1:21" x14ac:dyDescent="0.3">
      <c r="A101" t="s">
        <v>27</v>
      </c>
      <c r="B101" t="s">
        <v>68</v>
      </c>
      <c r="C101">
        <v>143</v>
      </c>
      <c r="D101" t="s">
        <v>14</v>
      </c>
      <c r="E101" t="s">
        <v>45</v>
      </c>
      <c r="F101" s="3" t="s">
        <v>439</v>
      </c>
      <c r="G101">
        <v>20018</v>
      </c>
      <c r="H101" t="s">
        <v>219</v>
      </c>
      <c r="I101" t="s">
        <v>220</v>
      </c>
      <c r="J101" t="s">
        <v>95</v>
      </c>
      <c r="K101" t="s">
        <v>95</v>
      </c>
      <c r="L101" t="s">
        <v>440</v>
      </c>
      <c r="M101" t="s">
        <v>95</v>
      </c>
      <c r="N101" t="s">
        <v>392</v>
      </c>
      <c r="O101">
        <v>27</v>
      </c>
      <c r="P101" s="7">
        <v>7298</v>
      </c>
      <c r="Q101">
        <v>0.18</v>
      </c>
      <c r="R101">
        <v>3.7</v>
      </c>
      <c r="S101" s="5">
        <f t="shared" si="2"/>
        <v>3.6986301369863014E-2</v>
      </c>
      <c r="T101" t="s">
        <v>16</v>
      </c>
      <c r="U101" t="s">
        <v>16</v>
      </c>
    </row>
    <row r="102" spans="1:21" x14ac:dyDescent="0.3">
      <c r="A102" t="s">
        <v>27</v>
      </c>
      <c r="B102" t="s">
        <v>68</v>
      </c>
      <c r="C102">
        <v>143</v>
      </c>
      <c r="D102" t="s">
        <v>14</v>
      </c>
      <c r="E102" t="s">
        <v>45</v>
      </c>
      <c r="F102" s="3" t="s">
        <v>441</v>
      </c>
      <c r="G102">
        <v>20018</v>
      </c>
      <c r="H102" t="s">
        <v>219</v>
      </c>
      <c r="I102" t="s">
        <v>225</v>
      </c>
      <c r="J102" t="s">
        <v>442</v>
      </c>
      <c r="K102" t="s">
        <v>95</v>
      </c>
      <c r="L102" t="s">
        <v>95</v>
      </c>
      <c r="M102" t="s">
        <v>95</v>
      </c>
      <c r="N102" t="s">
        <v>392</v>
      </c>
      <c r="O102">
        <v>47</v>
      </c>
      <c r="P102" s="7">
        <v>8758</v>
      </c>
      <c r="Q102">
        <v>0.14000000000000001</v>
      </c>
      <c r="R102">
        <v>2.86</v>
      </c>
      <c r="S102" s="5">
        <f t="shared" si="2"/>
        <v>6.4383561643835616E-2</v>
      </c>
      <c r="T102" t="s">
        <v>16</v>
      </c>
      <c r="U102" t="s">
        <v>16</v>
      </c>
    </row>
    <row r="103" spans="1:21" x14ac:dyDescent="0.3">
      <c r="A103" t="s">
        <v>27</v>
      </c>
      <c r="B103" t="s">
        <v>68</v>
      </c>
      <c r="C103">
        <v>143</v>
      </c>
      <c r="D103" t="s">
        <v>14</v>
      </c>
      <c r="E103" t="s">
        <v>45</v>
      </c>
      <c r="F103" s="3" t="s">
        <v>441</v>
      </c>
      <c r="G103">
        <v>20018</v>
      </c>
      <c r="H103" t="s">
        <v>219</v>
      </c>
      <c r="I103" t="s">
        <v>222</v>
      </c>
      <c r="J103" t="s">
        <v>443</v>
      </c>
      <c r="K103" t="s">
        <v>95</v>
      </c>
      <c r="L103" t="s">
        <v>95</v>
      </c>
      <c r="M103" t="s">
        <v>95</v>
      </c>
      <c r="N103" t="s">
        <v>392</v>
      </c>
      <c r="O103">
        <v>42</v>
      </c>
      <c r="P103" s="7">
        <v>5438</v>
      </c>
      <c r="Q103">
        <v>0.09</v>
      </c>
      <c r="R103">
        <v>2.29</v>
      </c>
      <c r="S103" s="5">
        <f t="shared" si="2"/>
        <v>5.7534246575342465E-2</v>
      </c>
      <c r="T103" t="s">
        <v>16</v>
      </c>
      <c r="U103" t="s">
        <v>16</v>
      </c>
    </row>
    <row r="104" spans="1:21" x14ac:dyDescent="0.3">
      <c r="A104" t="s">
        <v>27</v>
      </c>
      <c r="B104" t="s">
        <v>68</v>
      </c>
      <c r="C104">
        <v>143</v>
      </c>
      <c r="D104" t="s">
        <v>14</v>
      </c>
      <c r="E104" t="s">
        <v>45</v>
      </c>
      <c r="F104" s="3" t="s">
        <v>103</v>
      </c>
      <c r="G104">
        <v>20018</v>
      </c>
      <c r="H104" t="s">
        <v>219</v>
      </c>
      <c r="I104" t="s">
        <v>372</v>
      </c>
      <c r="J104" t="s">
        <v>95</v>
      </c>
      <c r="K104" t="s">
        <v>95</v>
      </c>
      <c r="L104" t="s">
        <v>95</v>
      </c>
      <c r="M104" t="s">
        <v>444</v>
      </c>
      <c r="N104" t="s">
        <v>392</v>
      </c>
      <c r="O104">
        <v>597</v>
      </c>
      <c r="P104" s="7">
        <v>17921</v>
      </c>
      <c r="Q104">
        <v>0.05</v>
      </c>
      <c r="R104">
        <v>1.3</v>
      </c>
      <c r="S104" s="5">
        <f t="shared" si="2"/>
        <v>0.81780821917808222</v>
      </c>
      <c r="T104" t="s">
        <v>16</v>
      </c>
      <c r="U104" t="s">
        <v>16</v>
      </c>
    </row>
    <row r="105" spans="1:21" x14ac:dyDescent="0.3">
      <c r="A105" t="s">
        <v>27</v>
      </c>
      <c r="B105" t="s">
        <v>68</v>
      </c>
      <c r="C105">
        <v>143</v>
      </c>
      <c r="D105" t="s">
        <v>14</v>
      </c>
      <c r="E105" t="s">
        <v>45</v>
      </c>
      <c r="F105" s="3" t="s">
        <v>103</v>
      </c>
      <c r="G105">
        <v>20018</v>
      </c>
      <c r="H105" t="s">
        <v>219</v>
      </c>
      <c r="I105" t="s">
        <v>221</v>
      </c>
      <c r="J105" t="s">
        <v>95</v>
      </c>
      <c r="K105" t="s">
        <v>95</v>
      </c>
      <c r="L105" t="s">
        <v>95</v>
      </c>
      <c r="M105" t="s">
        <v>445</v>
      </c>
      <c r="N105" t="s">
        <v>267</v>
      </c>
      <c r="O105">
        <v>19</v>
      </c>
      <c r="P105" s="7">
        <v>2907</v>
      </c>
      <c r="Q105">
        <v>0.21</v>
      </c>
      <c r="R105">
        <v>2.52</v>
      </c>
      <c r="S105" s="5">
        <f t="shared" si="2"/>
        <v>2.6027397260273973E-2</v>
      </c>
      <c r="T105" t="s">
        <v>16</v>
      </c>
      <c r="U105" t="s">
        <v>16</v>
      </c>
    </row>
    <row r="106" spans="1:21" x14ac:dyDescent="0.3">
      <c r="A106" t="s">
        <v>27</v>
      </c>
      <c r="B106" t="s">
        <v>68</v>
      </c>
      <c r="C106">
        <v>143</v>
      </c>
      <c r="D106" t="s">
        <v>14</v>
      </c>
      <c r="E106" t="s">
        <v>45</v>
      </c>
      <c r="F106" s="3" t="s">
        <v>446</v>
      </c>
      <c r="G106">
        <v>20018</v>
      </c>
      <c r="H106" t="s">
        <v>219</v>
      </c>
      <c r="I106" t="s">
        <v>222</v>
      </c>
      <c r="J106" t="s">
        <v>95</v>
      </c>
      <c r="K106" t="s">
        <v>447</v>
      </c>
      <c r="L106" t="s">
        <v>95</v>
      </c>
      <c r="M106" t="s">
        <v>445</v>
      </c>
      <c r="N106" t="s">
        <v>95</v>
      </c>
      <c r="O106">
        <v>44</v>
      </c>
      <c r="P106" s="7">
        <v>4207</v>
      </c>
      <c r="Q106">
        <v>0.15</v>
      </c>
      <c r="R106">
        <v>1.95</v>
      </c>
      <c r="S106" s="5">
        <f t="shared" si="2"/>
        <v>6.0273972602739728E-2</v>
      </c>
      <c r="T106" t="s">
        <v>16</v>
      </c>
      <c r="U106" t="s">
        <v>16</v>
      </c>
    </row>
    <row r="107" spans="1:21" x14ac:dyDescent="0.3">
      <c r="A107" t="s">
        <v>27</v>
      </c>
      <c r="B107" t="s">
        <v>68</v>
      </c>
      <c r="C107">
        <v>143</v>
      </c>
      <c r="D107" t="s">
        <v>14</v>
      </c>
      <c r="E107" t="s">
        <v>45</v>
      </c>
      <c r="F107" s="3" t="s">
        <v>446</v>
      </c>
      <c r="G107">
        <v>20018</v>
      </c>
      <c r="H107" t="s">
        <v>219</v>
      </c>
      <c r="I107" t="s">
        <v>448</v>
      </c>
      <c r="J107" t="s">
        <v>450</v>
      </c>
      <c r="K107" t="s">
        <v>449</v>
      </c>
      <c r="L107" t="s">
        <v>95</v>
      </c>
      <c r="M107" t="s">
        <v>445</v>
      </c>
      <c r="N107" t="s">
        <v>95</v>
      </c>
      <c r="O107">
        <v>142</v>
      </c>
      <c r="P107" s="7">
        <v>12164</v>
      </c>
      <c r="Q107">
        <v>0.09</v>
      </c>
      <c r="R107">
        <v>1.85</v>
      </c>
      <c r="S107" s="5">
        <f t="shared" si="2"/>
        <v>0.19452054794520549</v>
      </c>
      <c r="T107" t="s">
        <v>16</v>
      </c>
      <c r="U107" t="s">
        <v>16</v>
      </c>
    </row>
    <row r="108" spans="1:21" x14ac:dyDescent="0.3">
      <c r="A108" t="s">
        <v>27</v>
      </c>
      <c r="B108" t="s">
        <v>68</v>
      </c>
      <c r="C108">
        <v>143</v>
      </c>
      <c r="D108" t="s">
        <v>14</v>
      </c>
      <c r="E108" t="s">
        <v>45</v>
      </c>
      <c r="F108" s="3" t="s">
        <v>451</v>
      </c>
      <c r="G108">
        <v>20018</v>
      </c>
      <c r="H108" t="s">
        <v>219</v>
      </c>
      <c r="I108" t="s">
        <v>222</v>
      </c>
      <c r="J108" t="s">
        <v>95</v>
      </c>
      <c r="K108" t="s">
        <v>449</v>
      </c>
      <c r="L108" t="s">
        <v>95</v>
      </c>
      <c r="M108" t="s">
        <v>445</v>
      </c>
      <c r="N108" t="s">
        <v>452</v>
      </c>
      <c r="O108">
        <v>28</v>
      </c>
      <c r="P108" s="7">
        <v>4358</v>
      </c>
      <c r="Q108">
        <v>0.17</v>
      </c>
      <c r="R108">
        <v>2.5499999999999998</v>
      </c>
      <c r="S108" s="5">
        <f t="shared" si="2"/>
        <v>3.8356164383561646E-2</v>
      </c>
      <c r="T108" t="s">
        <v>16</v>
      </c>
      <c r="U108" t="s">
        <v>16</v>
      </c>
    </row>
    <row r="109" spans="1:21" x14ac:dyDescent="0.3">
      <c r="A109" t="s">
        <v>27</v>
      </c>
      <c r="B109" t="s">
        <v>68</v>
      </c>
      <c r="C109">
        <v>143</v>
      </c>
      <c r="D109" t="s">
        <v>14</v>
      </c>
      <c r="E109" t="s">
        <v>45</v>
      </c>
      <c r="F109" s="3" t="s">
        <v>451</v>
      </c>
      <c r="G109">
        <v>20018</v>
      </c>
      <c r="H109" t="s">
        <v>219</v>
      </c>
      <c r="I109" t="s">
        <v>453</v>
      </c>
      <c r="J109" t="s">
        <v>95</v>
      </c>
      <c r="K109" t="s">
        <v>455</v>
      </c>
      <c r="L109" t="s">
        <v>95</v>
      </c>
      <c r="M109" t="s">
        <v>445</v>
      </c>
      <c r="N109" t="s">
        <v>454</v>
      </c>
      <c r="O109">
        <v>228</v>
      </c>
      <c r="P109" s="7">
        <v>9402</v>
      </c>
      <c r="Q109">
        <v>0.06</v>
      </c>
      <c r="R109">
        <v>1.41</v>
      </c>
      <c r="S109" s="5">
        <f t="shared" si="2"/>
        <v>0.31232876712328766</v>
      </c>
      <c r="T109" t="s">
        <v>16</v>
      </c>
      <c r="U109" t="s">
        <v>16</v>
      </c>
    </row>
    <row r="110" spans="1:21" x14ac:dyDescent="0.3">
      <c r="A110" t="s">
        <v>27</v>
      </c>
      <c r="B110" t="s">
        <v>459</v>
      </c>
      <c r="C110">
        <v>143</v>
      </c>
      <c r="D110" t="s">
        <v>14</v>
      </c>
      <c r="E110" t="s">
        <v>45</v>
      </c>
      <c r="F110" s="3" t="s">
        <v>111</v>
      </c>
      <c r="G110">
        <v>20018</v>
      </c>
      <c r="H110" t="s">
        <v>219</v>
      </c>
      <c r="I110" t="s">
        <v>220</v>
      </c>
      <c r="J110" t="s">
        <v>95</v>
      </c>
      <c r="K110" t="s">
        <v>95</v>
      </c>
      <c r="L110" t="s">
        <v>460</v>
      </c>
      <c r="M110" t="s">
        <v>445</v>
      </c>
      <c r="N110" t="s">
        <v>95</v>
      </c>
      <c r="O110">
        <v>102</v>
      </c>
      <c r="P110" s="7">
        <v>11266</v>
      </c>
      <c r="Q110">
        <v>7.0000000000000007E-2</v>
      </c>
      <c r="R110">
        <v>2.1</v>
      </c>
      <c r="S110" s="5">
        <f t="shared" si="2"/>
        <v>0.13972602739726028</v>
      </c>
      <c r="T110" t="s">
        <v>16</v>
      </c>
      <c r="U110" t="s">
        <v>16</v>
      </c>
    </row>
    <row r="111" spans="1:21" x14ac:dyDescent="0.3">
      <c r="A111" t="s">
        <v>27</v>
      </c>
      <c r="B111" t="s">
        <v>459</v>
      </c>
      <c r="C111">
        <v>143</v>
      </c>
      <c r="D111" t="s">
        <v>14</v>
      </c>
      <c r="E111" t="s">
        <v>45</v>
      </c>
      <c r="F111" s="3" t="s">
        <v>461</v>
      </c>
      <c r="G111">
        <v>20018</v>
      </c>
      <c r="H111" t="s">
        <v>219</v>
      </c>
      <c r="I111" t="s">
        <v>220</v>
      </c>
      <c r="J111" t="s">
        <v>95</v>
      </c>
      <c r="K111" t="s">
        <v>95</v>
      </c>
      <c r="L111" t="s">
        <v>462</v>
      </c>
      <c r="M111" t="s">
        <v>445</v>
      </c>
      <c r="N111" t="s">
        <v>95</v>
      </c>
      <c r="O111">
        <v>58</v>
      </c>
      <c r="P111" s="7">
        <v>14839</v>
      </c>
      <c r="Q111">
        <v>0.1</v>
      </c>
      <c r="R111">
        <v>3.55</v>
      </c>
      <c r="S111" s="5">
        <f t="shared" si="2"/>
        <v>7.9452054794520555E-2</v>
      </c>
      <c r="T111" t="s">
        <v>16</v>
      </c>
      <c r="U111" t="s">
        <v>16</v>
      </c>
    </row>
    <row r="112" spans="1:21" x14ac:dyDescent="0.3">
      <c r="A112" t="s">
        <v>27</v>
      </c>
      <c r="B112" t="s">
        <v>459</v>
      </c>
      <c r="C112">
        <v>143</v>
      </c>
      <c r="D112" t="s">
        <v>14</v>
      </c>
      <c r="E112" t="s">
        <v>45</v>
      </c>
      <c r="F112" s="3" t="s">
        <v>116</v>
      </c>
      <c r="G112">
        <v>20018</v>
      </c>
      <c r="H112" t="s">
        <v>219</v>
      </c>
      <c r="I112" t="s">
        <v>220</v>
      </c>
      <c r="J112" t="s">
        <v>95</v>
      </c>
      <c r="K112" t="s">
        <v>95</v>
      </c>
      <c r="L112" t="s">
        <v>95</v>
      </c>
      <c r="M112" t="s">
        <v>463</v>
      </c>
      <c r="N112" t="s">
        <v>95</v>
      </c>
      <c r="O112">
        <v>39</v>
      </c>
      <c r="P112" s="7">
        <v>2338</v>
      </c>
      <c r="Q112">
        <v>0.17</v>
      </c>
      <c r="R112">
        <v>1.59</v>
      </c>
      <c r="S112" s="5">
        <f t="shared" si="2"/>
        <v>5.3424657534246578E-2</v>
      </c>
      <c r="T112" t="s">
        <v>16</v>
      </c>
      <c r="U112" t="s">
        <v>16</v>
      </c>
    </row>
    <row r="113" spans="1:21" x14ac:dyDescent="0.3">
      <c r="A113" t="s">
        <v>27</v>
      </c>
      <c r="B113" t="s">
        <v>459</v>
      </c>
      <c r="C113">
        <v>143</v>
      </c>
      <c r="D113" t="s">
        <v>14</v>
      </c>
      <c r="E113" t="s">
        <v>45</v>
      </c>
      <c r="F113" s="3" t="s">
        <v>464</v>
      </c>
      <c r="G113">
        <v>20018</v>
      </c>
      <c r="H113" t="s">
        <v>219</v>
      </c>
      <c r="I113" t="s">
        <v>220</v>
      </c>
      <c r="J113" t="s">
        <v>95</v>
      </c>
      <c r="K113" t="s">
        <v>95</v>
      </c>
      <c r="L113" t="s">
        <v>95</v>
      </c>
      <c r="M113" t="s">
        <v>465</v>
      </c>
      <c r="N113" t="s">
        <v>95</v>
      </c>
      <c r="O113">
        <v>97</v>
      </c>
      <c r="P113" s="7">
        <v>4584</v>
      </c>
      <c r="Q113">
        <v>0.17</v>
      </c>
      <c r="R113">
        <v>1.47</v>
      </c>
      <c r="S113" s="5">
        <f t="shared" si="2"/>
        <v>0.13287671232876713</v>
      </c>
      <c r="T113" t="s">
        <v>16</v>
      </c>
      <c r="U113" t="s">
        <v>16</v>
      </c>
    </row>
    <row r="114" spans="1:21" x14ac:dyDescent="0.3">
      <c r="A114" t="s">
        <v>27</v>
      </c>
      <c r="B114" t="s">
        <v>459</v>
      </c>
      <c r="C114">
        <v>143</v>
      </c>
      <c r="D114" t="s">
        <v>14</v>
      </c>
      <c r="E114" t="s">
        <v>45</v>
      </c>
      <c r="F114" s="3" t="s">
        <v>118</v>
      </c>
      <c r="G114">
        <v>20018</v>
      </c>
      <c r="H114" t="s">
        <v>219</v>
      </c>
      <c r="I114" t="s">
        <v>220</v>
      </c>
      <c r="J114" t="s">
        <v>95</v>
      </c>
      <c r="K114" t="s">
        <v>95</v>
      </c>
      <c r="L114" t="s">
        <v>95</v>
      </c>
      <c r="M114" t="s">
        <v>466</v>
      </c>
      <c r="N114" t="s">
        <v>95</v>
      </c>
      <c r="O114">
        <v>88</v>
      </c>
      <c r="P114" s="7">
        <v>12807</v>
      </c>
      <c r="Q114">
        <v>0.09</v>
      </c>
      <c r="R114">
        <v>2.4500000000000002</v>
      </c>
      <c r="S114" s="5">
        <f t="shared" si="2"/>
        <v>0.12054794520547946</v>
      </c>
      <c r="T114" t="s">
        <v>16</v>
      </c>
      <c r="U114" t="s">
        <v>16</v>
      </c>
    </row>
    <row r="115" spans="1:21" x14ac:dyDescent="0.3">
      <c r="A115" t="s">
        <v>27</v>
      </c>
      <c r="B115" t="s">
        <v>459</v>
      </c>
      <c r="C115">
        <v>143</v>
      </c>
      <c r="D115" t="s">
        <v>14</v>
      </c>
      <c r="E115" t="s">
        <v>45</v>
      </c>
      <c r="F115" s="3" t="s">
        <v>467</v>
      </c>
      <c r="G115">
        <v>20018</v>
      </c>
      <c r="H115" t="s">
        <v>219</v>
      </c>
      <c r="I115" t="s">
        <v>220</v>
      </c>
      <c r="J115" t="s">
        <v>468</v>
      </c>
      <c r="K115" t="s">
        <v>95</v>
      </c>
      <c r="L115" t="s">
        <v>95</v>
      </c>
      <c r="M115" t="s">
        <v>344</v>
      </c>
      <c r="N115" t="s">
        <v>95</v>
      </c>
      <c r="O115">
        <v>103</v>
      </c>
      <c r="P115" s="7">
        <v>5566</v>
      </c>
      <c r="Q115">
        <v>0.09</v>
      </c>
      <c r="R115">
        <v>1.54</v>
      </c>
      <c r="S115" s="5">
        <f t="shared" si="2"/>
        <v>0.14109589041095891</v>
      </c>
      <c r="T115" t="s">
        <v>16</v>
      </c>
      <c r="U115" t="s">
        <v>16</v>
      </c>
    </row>
    <row r="116" spans="1:21" x14ac:dyDescent="0.3">
      <c r="A116" t="s">
        <v>27</v>
      </c>
      <c r="B116" t="s">
        <v>68</v>
      </c>
      <c r="C116">
        <v>143</v>
      </c>
      <c r="D116" t="s">
        <v>14</v>
      </c>
      <c r="E116" t="s">
        <v>45</v>
      </c>
      <c r="F116" s="3" t="s">
        <v>474</v>
      </c>
      <c r="G116">
        <v>20018</v>
      </c>
      <c r="H116" t="s">
        <v>219</v>
      </c>
      <c r="I116" t="s">
        <v>220</v>
      </c>
      <c r="J116" t="s">
        <v>95</v>
      </c>
      <c r="K116" t="s">
        <v>95</v>
      </c>
      <c r="L116" t="s">
        <v>475</v>
      </c>
      <c r="M116" t="s">
        <v>95</v>
      </c>
      <c r="N116" t="s">
        <v>95</v>
      </c>
      <c r="O116">
        <v>170</v>
      </c>
      <c r="P116" s="7">
        <v>11067</v>
      </c>
      <c r="Q116">
        <v>7.0000000000000007E-2</v>
      </c>
      <c r="R116">
        <v>1.65</v>
      </c>
      <c r="S116" s="5">
        <f t="shared" si="2"/>
        <v>0.23287671232876711</v>
      </c>
      <c r="T116" t="s">
        <v>16</v>
      </c>
      <c r="U116" t="s">
        <v>16</v>
      </c>
    </row>
    <row r="117" spans="1:21" x14ac:dyDescent="0.3">
      <c r="A117" t="s">
        <v>27</v>
      </c>
      <c r="B117" t="s">
        <v>68</v>
      </c>
      <c r="C117">
        <v>143</v>
      </c>
      <c r="D117" t="s">
        <v>14</v>
      </c>
      <c r="E117" t="s">
        <v>45</v>
      </c>
      <c r="F117" s="3" t="s">
        <v>474</v>
      </c>
      <c r="G117">
        <v>20018</v>
      </c>
      <c r="H117" t="s">
        <v>219</v>
      </c>
      <c r="I117" t="s">
        <v>476</v>
      </c>
      <c r="J117" t="s">
        <v>95</v>
      </c>
      <c r="K117" t="s">
        <v>95</v>
      </c>
      <c r="L117" t="s">
        <v>477</v>
      </c>
      <c r="M117" t="s">
        <v>95</v>
      </c>
      <c r="N117" t="s">
        <v>478</v>
      </c>
      <c r="O117">
        <v>23</v>
      </c>
      <c r="P117" s="7">
        <v>2067</v>
      </c>
      <c r="Q117">
        <v>0.17</v>
      </c>
      <c r="R117">
        <v>1.89</v>
      </c>
      <c r="S117" s="5">
        <f t="shared" si="2"/>
        <v>3.1506849315068496E-2</v>
      </c>
      <c r="T117" t="s">
        <v>16</v>
      </c>
      <c r="U117" t="s">
        <v>16</v>
      </c>
    </row>
    <row r="118" spans="1:21" x14ac:dyDescent="0.3">
      <c r="A118" t="s">
        <v>27</v>
      </c>
      <c r="B118" t="s">
        <v>68</v>
      </c>
      <c r="C118">
        <v>143</v>
      </c>
      <c r="D118" t="s">
        <v>14</v>
      </c>
      <c r="E118" t="s">
        <v>45</v>
      </c>
      <c r="F118" s="3" t="s">
        <v>479</v>
      </c>
      <c r="G118">
        <v>20018</v>
      </c>
      <c r="H118" t="s">
        <v>219</v>
      </c>
      <c r="I118" t="s">
        <v>220</v>
      </c>
      <c r="J118" t="s">
        <v>95</v>
      </c>
      <c r="K118" t="s">
        <v>480</v>
      </c>
      <c r="L118" t="s">
        <v>477</v>
      </c>
      <c r="M118" t="s">
        <v>95</v>
      </c>
      <c r="N118" t="s">
        <v>95</v>
      </c>
      <c r="O118">
        <v>267</v>
      </c>
      <c r="P118" s="7">
        <v>14597</v>
      </c>
      <c r="Q118">
        <v>0.08</v>
      </c>
      <c r="R118">
        <v>1.54</v>
      </c>
      <c r="S118" s="5">
        <f t="shared" si="2"/>
        <v>0.36575342465753424</v>
      </c>
      <c r="T118" t="s">
        <v>16</v>
      </c>
      <c r="U118" t="s">
        <v>16</v>
      </c>
    </row>
    <row r="119" spans="1:21" x14ac:dyDescent="0.3">
      <c r="A119" t="s">
        <v>27</v>
      </c>
      <c r="B119" t="s">
        <v>68</v>
      </c>
      <c r="C119">
        <v>143</v>
      </c>
      <c r="D119" t="s">
        <v>14</v>
      </c>
      <c r="E119" t="s">
        <v>45</v>
      </c>
      <c r="F119" s="3" t="s">
        <v>485</v>
      </c>
      <c r="G119">
        <v>20018</v>
      </c>
      <c r="H119" t="s">
        <v>219</v>
      </c>
      <c r="I119" t="s">
        <v>220</v>
      </c>
      <c r="J119" t="s">
        <v>486</v>
      </c>
      <c r="K119" t="s">
        <v>95</v>
      </c>
      <c r="L119" t="s">
        <v>477</v>
      </c>
      <c r="M119" t="s">
        <v>477</v>
      </c>
      <c r="N119" t="s">
        <v>95</v>
      </c>
      <c r="O119">
        <v>25</v>
      </c>
      <c r="P119" s="7">
        <v>7508</v>
      </c>
      <c r="Q119">
        <v>0.16</v>
      </c>
      <c r="R119">
        <v>4</v>
      </c>
      <c r="S119" s="5">
        <f t="shared" si="2"/>
        <v>3.4246575342465752E-2</v>
      </c>
      <c r="T119" t="s">
        <v>16</v>
      </c>
      <c r="U119" t="s">
        <v>16</v>
      </c>
    </row>
    <row r="120" spans="1:21" x14ac:dyDescent="0.3">
      <c r="A120" t="s">
        <v>27</v>
      </c>
      <c r="B120" t="s">
        <v>68</v>
      </c>
      <c r="C120">
        <v>143</v>
      </c>
      <c r="D120" t="s">
        <v>14</v>
      </c>
      <c r="E120" t="s">
        <v>45</v>
      </c>
      <c r="F120" s="3" t="s">
        <v>487</v>
      </c>
      <c r="G120">
        <v>20018</v>
      </c>
      <c r="H120" t="s">
        <v>219</v>
      </c>
      <c r="I120" t="s">
        <v>220</v>
      </c>
      <c r="J120" t="s">
        <v>468</v>
      </c>
      <c r="K120" t="s">
        <v>95</v>
      </c>
      <c r="L120" t="s">
        <v>477</v>
      </c>
      <c r="M120" t="s">
        <v>477</v>
      </c>
      <c r="N120" t="s">
        <v>95</v>
      </c>
      <c r="O120">
        <v>33</v>
      </c>
      <c r="P120" s="7">
        <v>4318</v>
      </c>
      <c r="Q120">
        <v>0.12</v>
      </c>
      <c r="R120">
        <v>2.2999999999999998</v>
      </c>
      <c r="S120" s="5">
        <f t="shared" si="2"/>
        <v>4.5205479452054796E-2</v>
      </c>
      <c r="T120" t="s">
        <v>16</v>
      </c>
      <c r="U120" t="s">
        <v>16</v>
      </c>
    </row>
    <row r="121" spans="1:21" x14ac:dyDescent="0.3">
      <c r="A121" t="s">
        <v>27</v>
      </c>
      <c r="B121" t="s">
        <v>68</v>
      </c>
      <c r="C121">
        <v>143</v>
      </c>
      <c r="D121" t="s">
        <v>14</v>
      </c>
      <c r="E121" t="s">
        <v>45</v>
      </c>
      <c r="F121" s="3" t="s">
        <v>130</v>
      </c>
      <c r="G121">
        <v>20018</v>
      </c>
      <c r="H121" t="s">
        <v>219</v>
      </c>
      <c r="I121" t="s">
        <v>220</v>
      </c>
      <c r="J121" t="s">
        <v>95</v>
      </c>
      <c r="K121" t="s">
        <v>95</v>
      </c>
      <c r="L121" t="s">
        <v>477</v>
      </c>
      <c r="M121" t="s">
        <v>477</v>
      </c>
      <c r="N121" t="s">
        <v>488</v>
      </c>
      <c r="O121">
        <v>31</v>
      </c>
      <c r="P121" s="7">
        <v>7637</v>
      </c>
      <c r="Q121">
        <v>0.09</v>
      </c>
      <c r="R121">
        <v>3.46</v>
      </c>
      <c r="S121" s="5">
        <f t="shared" si="2"/>
        <v>4.2465753424657533E-2</v>
      </c>
      <c r="T121" t="s">
        <v>16</v>
      </c>
      <c r="U121" t="s">
        <v>16</v>
      </c>
    </row>
    <row r="122" spans="1:21" x14ac:dyDescent="0.3">
      <c r="A122" t="s">
        <v>27</v>
      </c>
      <c r="B122" t="s">
        <v>68</v>
      </c>
      <c r="C122">
        <v>143</v>
      </c>
      <c r="D122" t="s">
        <v>14</v>
      </c>
      <c r="E122" t="s">
        <v>45</v>
      </c>
      <c r="F122" s="3" t="s">
        <v>134</v>
      </c>
      <c r="G122">
        <v>20018</v>
      </c>
      <c r="H122" t="s">
        <v>219</v>
      </c>
      <c r="I122" t="s">
        <v>220</v>
      </c>
      <c r="J122" t="s">
        <v>95</v>
      </c>
      <c r="K122" t="s">
        <v>95</v>
      </c>
      <c r="L122" t="s">
        <v>477</v>
      </c>
      <c r="M122" t="s">
        <v>489</v>
      </c>
      <c r="N122" t="s">
        <v>477</v>
      </c>
      <c r="O122">
        <v>49</v>
      </c>
      <c r="P122" s="7">
        <v>5729</v>
      </c>
      <c r="Q122">
        <v>0.1</v>
      </c>
      <c r="R122">
        <v>2.16</v>
      </c>
      <c r="S122" s="5">
        <f t="shared" si="2"/>
        <v>6.7123287671232879E-2</v>
      </c>
      <c r="T122" t="s">
        <v>16</v>
      </c>
      <c r="U122" t="s">
        <v>16</v>
      </c>
    </row>
    <row r="123" spans="1:21" x14ac:dyDescent="0.3">
      <c r="A123" t="s">
        <v>27</v>
      </c>
      <c r="B123" t="s">
        <v>68</v>
      </c>
      <c r="C123">
        <v>143</v>
      </c>
      <c r="D123" t="s">
        <v>14</v>
      </c>
      <c r="E123" t="s">
        <v>45</v>
      </c>
      <c r="F123" s="3" t="s">
        <v>490</v>
      </c>
      <c r="G123">
        <v>20018</v>
      </c>
      <c r="H123" t="s">
        <v>219</v>
      </c>
      <c r="I123" t="s">
        <v>220</v>
      </c>
      <c r="J123" t="s">
        <v>95</v>
      </c>
      <c r="K123" t="s">
        <v>95</v>
      </c>
      <c r="L123" t="s">
        <v>491</v>
      </c>
      <c r="M123" t="s">
        <v>95</v>
      </c>
      <c r="N123" t="s">
        <v>477</v>
      </c>
      <c r="O123">
        <v>69</v>
      </c>
      <c r="P123" s="7">
        <v>9046</v>
      </c>
      <c r="Q123">
        <v>0.1</v>
      </c>
      <c r="R123">
        <v>2.31</v>
      </c>
      <c r="S123" s="5">
        <f t="shared" si="2"/>
        <v>9.452054794520548E-2</v>
      </c>
      <c r="T123" t="s">
        <v>16</v>
      </c>
      <c r="U123" t="s">
        <v>16</v>
      </c>
    </row>
    <row r="124" spans="1:21" x14ac:dyDescent="0.3">
      <c r="A124" t="s">
        <v>27</v>
      </c>
      <c r="B124" t="s">
        <v>68</v>
      </c>
      <c r="C124">
        <v>143</v>
      </c>
      <c r="D124" t="s">
        <v>14</v>
      </c>
      <c r="E124" t="s">
        <v>45</v>
      </c>
      <c r="F124" s="3" t="s">
        <v>492</v>
      </c>
      <c r="G124">
        <v>20018</v>
      </c>
      <c r="H124" t="s">
        <v>219</v>
      </c>
      <c r="I124" t="s">
        <v>220</v>
      </c>
      <c r="J124" t="s">
        <v>95</v>
      </c>
      <c r="K124" t="s">
        <v>95</v>
      </c>
      <c r="L124" t="s">
        <v>95</v>
      </c>
      <c r="M124" t="s">
        <v>95</v>
      </c>
      <c r="N124" t="s">
        <v>493</v>
      </c>
      <c r="O124">
        <v>13</v>
      </c>
      <c r="P124" s="7">
        <v>4488</v>
      </c>
      <c r="Q124">
        <v>0.3</v>
      </c>
      <c r="R124">
        <v>4.45</v>
      </c>
      <c r="S124" s="5">
        <f t="shared" si="2"/>
        <v>1.7808219178082191E-2</v>
      </c>
      <c r="T124" t="s">
        <v>16</v>
      </c>
      <c r="U124" t="s">
        <v>16</v>
      </c>
    </row>
    <row r="125" spans="1:21" x14ac:dyDescent="0.3">
      <c r="A125" t="s">
        <v>27</v>
      </c>
      <c r="B125" t="s">
        <v>68</v>
      </c>
      <c r="C125">
        <v>143</v>
      </c>
      <c r="D125" t="s">
        <v>14</v>
      </c>
      <c r="E125" t="s">
        <v>45</v>
      </c>
      <c r="F125" s="3" t="s">
        <v>494</v>
      </c>
      <c r="G125">
        <v>20018</v>
      </c>
      <c r="H125" t="s">
        <v>219</v>
      </c>
      <c r="I125" t="s">
        <v>220</v>
      </c>
      <c r="J125" t="s">
        <v>95</v>
      </c>
      <c r="K125" t="s">
        <v>496</v>
      </c>
      <c r="L125" t="s">
        <v>95</v>
      </c>
      <c r="M125" t="s">
        <v>95</v>
      </c>
      <c r="N125" t="s">
        <v>495</v>
      </c>
      <c r="O125">
        <v>30</v>
      </c>
      <c r="P125" s="7">
        <v>8117</v>
      </c>
      <c r="Q125">
        <v>0.1</v>
      </c>
      <c r="R125">
        <v>3.7</v>
      </c>
      <c r="S125" s="5">
        <f t="shared" si="2"/>
        <v>4.1095890410958902E-2</v>
      </c>
      <c r="T125" t="s">
        <v>16</v>
      </c>
      <c r="U125" t="s">
        <v>16</v>
      </c>
    </row>
    <row r="126" spans="1:21" x14ac:dyDescent="0.3">
      <c r="A126" t="s">
        <v>27</v>
      </c>
      <c r="B126" t="s">
        <v>68</v>
      </c>
      <c r="C126">
        <v>143</v>
      </c>
      <c r="D126" t="s">
        <v>14</v>
      </c>
      <c r="E126" t="s">
        <v>45</v>
      </c>
      <c r="F126" s="3" t="s">
        <v>497</v>
      </c>
      <c r="G126">
        <v>20018</v>
      </c>
      <c r="H126" t="s">
        <v>219</v>
      </c>
      <c r="I126" t="s">
        <v>220</v>
      </c>
      <c r="J126" t="s">
        <v>95</v>
      </c>
      <c r="K126" t="s">
        <v>498</v>
      </c>
      <c r="L126" t="s">
        <v>95</v>
      </c>
      <c r="M126" t="s">
        <v>95</v>
      </c>
      <c r="N126" t="s">
        <v>495</v>
      </c>
      <c r="O126">
        <v>104</v>
      </c>
      <c r="P126" s="7">
        <v>13007</v>
      </c>
      <c r="Q126">
        <v>0.05</v>
      </c>
      <c r="R126">
        <v>2.25</v>
      </c>
      <c r="S126" s="5">
        <f t="shared" si="2"/>
        <v>0.14246575342465753</v>
      </c>
      <c r="T126" t="s">
        <v>16</v>
      </c>
      <c r="U126" t="s">
        <v>16</v>
      </c>
    </row>
    <row r="127" spans="1:21" x14ac:dyDescent="0.3">
      <c r="A127" t="s">
        <v>27</v>
      </c>
      <c r="B127" t="s">
        <v>68</v>
      </c>
      <c r="C127">
        <v>143</v>
      </c>
      <c r="D127" t="s">
        <v>14</v>
      </c>
      <c r="E127" t="s">
        <v>45</v>
      </c>
      <c r="F127" s="3" t="s">
        <v>499</v>
      </c>
      <c r="G127">
        <v>20018</v>
      </c>
      <c r="H127" t="s">
        <v>219</v>
      </c>
      <c r="I127" t="s">
        <v>500</v>
      </c>
      <c r="J127" t="s">
        <v>95</v>
      </c>
      <c r="K127" t="s">
        <v>501</v>
      </c>
      <c r="L127" t="s">
        <v>95</v>
      </c>
      <c r="M127" t="s">
        <v>95</v>
      </c>
      <c r="N127" t="s">
        <v>495</v>
      </c>
      <c r="O127">
        <v>63</v>
      </c>
      <c r="P127" s="7">
        <v>9637</v>
      </c>
      <c r="Q127">
        <v>0.09</v>
      </c>
      <c r="R127">
        <v>2.52</v>
      </c>
      <c r="S127" s="5">
        <f t="shared" si="2"/>
        <v>8.6301369863013705E-2</v>
      </c>
      <c r="T127" t="s">
        <v>16</v>
      </c>
      <c r="U127" t="s">
        <v>16</v>
      </c>
    </row>
    <row r="128" spans="1:21" x14ac:dyDescent="0.3">
      <c r="A128" t="s">
        <v>27</v>
      </c>
      <c r="B128" t="s">
        <v>68</v>
      </c>
      <c r="C128">
        <v>143</v>
      </c>
      <c r="D128" t="s">
        <v>14</v>
      </c>
      <c r="E128" t="s">
        <v>45</v>
      </c>
      <c r="F128" s="3" t="s">
        <v>499</v>
      </c>
      <c r="G128">
        <v>20018</v>
      </c>
      <c r="H128" t="s">
        <v>219</v>
      </c>
      <c r="I128" t="s">
        <v>502</v>
      </c>
      <c r="J128" t="s">
        <v>95</v>
      </c>
      <c r="K128" t="s">
        <v>477</v>
      </c>
      <c r="L128" t="s">
        <v>95</v>
      </c>
      <c r="M128" t="s">
        <v>95</v>
      </c>
      <c r="N128" t="s">
        <v>503</v>
      </c>
      <c r="O128">
        <v>85</v>
      </c>
      <c r="P128" s="7">
        <v>9237</v>
      </c>
      <c r="Q128">
        <v>0.05</v>
      </c>
      <c r="R128">
        <v>2.08</v>
      </c>
      <c r="S128" s="5">
        <f t="shared" si="2"/>
        <v>0.11643835616438356</v>
      </c>
      <c r="T128" t="s">
        <v>16</v>
      </c>
      <c r="U128" t="s">
        <v>16</v>
      </c>
    </row>
    <row r="129" spans="1:21" x14ac:dyDescent="0.3">
      <c r="A129" t="s">
        <v>27</v>
      </c>
      <c r="B129" t="s">
        <v>68</v>
      </c>
      <c r="C129">
        <v>143</v>
      </c>
      <c r="D129" t="s">
        <v>14</v>
      </c>
      <c r="E129" t="s">
        <v>45</v>
      </c>
      <c r="F129" s="3" t="s">
        <v>504</v>
      </c>
      <c r="G129">
        <v>20018</v>
      </c>
      <c r="H129" t="s">
        <v>219</v>
      </c>
      <c r="I129" t="s">
        <v>376</v>
      </c>
      <c r="J129" t="s">
        <v>95</v>
      </c>
      <c r="K129" t="s">
        <v>477</v>
      </c>
      <c r="L129" t="s">
        <v>95</v>
      </c>
      <c r="M129" t="s">
        <v>95</v>
      </c>
      <c r="N129" t="s">
        <v>505</v>
      </c>
      <c r="O129">
        <v>48</v>
      </c>
      <c r="P129" s="7">
        <v>6155</v>
      </c>
      <c r="Q129">
        <v>0.16</v>
      </c>
      <c r="R129">
        <v>2.2799999999999998</v>
      </c>
      <c r="S129" s="5">
        <f t="shared" si="2"/>
        <v>6.575342465753424E-2</v>
      </c>
      <c r="T129" t="s">
        <v>16</v>
      </c>
      <c r="U129" t="s">
        <v>16</v>
      </c>
    </row>
    <row r="130" spans="1:21" x14ac:dyDescent="0.3">
      <c r="A130" t="s">
        <v>27</v>
      </c>
      <c r="B130" t="s">
        <v>68</v>
      </c>
      <c r="C130">
        <v>143</v>
      </c>
      <c r="D130" t="s">
        <v>14</v>
      </c>
      <c r="E130" t="s">
        <v>45</v>
      </c>
      <c r="F130" s="3" t="s">
        <v>504</v>
      </c>
      <c r="G130">
        <v>20018</v>
      </c>
      <c r="H130" t="s">
        <v>219</v>
      </c>
      <c r="I130" t="s">
        <v>220</v>
      </c>
      <c r="J130" t="s">
        <v>95</v>
      </c>
      <c r="K130" t="s">
        <v>477</v>
      </c>
      <c r="L130" t="s">
        <v>506</v>
      </c>
      <c r="M130" t="s">
        <v>95</v>
      </c>
      <c r="N130" t="s">
        <v>95</v>
      </c>
      <c r="O130">
        <v>70</v>
      </c>
      <c r="P130" s="7">
        <v>8398</v>
      </c>
      <c r="Q130">
        <v>7.0000000000000007E-2</v>
      </c>
      <c r="R130">
        <v>2.19</v>
      </c>
      <c r="S130" s="5">
        <f t="shared" si="2"/>
        <v>9.5890410958904104E-2</v>
      </c>
      <c r="T130" t="s">
        <v>16</v>
      </c>
      <c r="U130" t="s">
        <v>16</v>
      </c>
    </row>
    <row r="131" spans="1:21" x14ac:dyDescent="0.3">
      <c r="A131" t="s">
        <v>27</v>
      </c>
      <c r="B131" t="s">
        <v>68</v>
      </c>
      <c r="C131">
        <v>143</v>
      </c>
      <c r="D131" t="s">
        <v>14</v>
      </c>
      <c r="E131" t="s">
        <v>45</v>
      </c>
      <c r="F131" s="3" t="s">
        <v>145</v>
      </c>
      <c r="G131">
        <v>20018</v>
      </c>
      <c r="H131" t="s">
        <v>219</v>
      </c>
      <c r="I131" t="s">
        <v>507</v>
      </c>
      <c r="J131" t="s">
        <v>95</v>
      </c>
      <c r="K131" t="s">
        <v>477</v>
      </c>
      <c r="L131" t="s">
        <v>508</v>
      </c>
      <c r="M131" t="s">
        <v>95</v>
      </c>
      <c r="N131" t="s">
        <v>95</v>
      </c>
      <c r="O131">
        <v>21</v>
      </c>
      <c r="P131" s="7">
        <v>9769</v>
      </c>
      <c r="Q131">
        <v>0.23</v>
      </c>
      <c r="R131">
        <v>5.65</v>
      </c>
      <c r="S131" s="5">
        <f t="shared" si="2"/>
        <v>2.8767123287671233E-2</v>
      </c>
      <c r="T131" t="s">
        <v>16</v>
      </c>
      <c r="U131" t="s">
        <v>16</v>
      </c>
    </row>
    <row r="132" spans="1:21" x14ac:dyDescent="0.3">
      <c r="A132" t="s">
        <v>27</v>
      </c>
      <c r="B132" t="s">
        <v>68</v>
      </c>
      <c r="C132">
        <v>143</v>
      </c>
      <c r="D132" t="s">
        <v>14</v>
      </c>
      <c r="E132" t="s">
        <v>45</v>
      </c>
      <c r="F132" s="3" t="s">
        <v>145</v>
      </c>
      <c r="G132">
        <v>20018</v>
      </c>
      <c r="H132" t="s">
        <v>219</v>
      </c>
      <c r="I132" t="s">
        <v>220</v>
      </c>
      <c r="J132" t="s">
        <v>95</v>
      </c>
      <c r="K132" t="s">
        <v>477</v>
      </c>
      <c r="L132" t="s">
        <v>509</v>
      </c>
      <c r="M132" t="s">
        <v>95</v>
      </c>
      <c r="N132" t="s">
        <v>95</v>
      </c>
      <c r="O132">
        <v>74</v>
      </c>
      <c r="P132" s="7">
        <v>1799</v>
      </c>
      <c r="Q132">
        <v>0.1</v>
      </c>
      <c r="R132">
        <v>1.24</v>
      </c>
      <c r="S132" s="5">
        <f t="shared" si="2"/>
        <v>0.10136986301369863</v>
      </c>
      <c r="T132" t="s">
        <v>16</v>
      </c>
      <c r="U132" t="s">
        <v>16</v>
      </c>
    </row>
    <row r="133" spans="1:21" x14ac:dyDescent="0.3">
      <c r="A133" t="s">
        <v>27</v>
      </c>
      <c r="B133" t="s">
        <v>512</v>
      </c>
      <c r="C133">
        <v>143</v>
      </c>
      <c r="D133" t="s">
        <v>14</v>
      </c>
      <c r="E133" t="s">
        <v>45</v>
      </c>
      <c r="F133" s="3" t="s">
        <v>513</v>
      </c>
      <c r="G133">
        <v>20018</v>
      </c>
      <c r="H133" t="s">
        <v>219</v>
      </c>
      <c r="I133" t="s">
        <v>220</v>
      </c>
      <c r="J133" t="s">
        <v>95</v>
      </c>
      <c r="K133" t="s">
        <v>477</v>
      </c>
      <c r="L133" t="s">
        <v>95</v>
      </c>
      <c r="M133" t="s">
        <v>344</v>
      </c>
      <c r="N133" t="s">
        <v>514</v>
      </c>
      <c r="O133">
        <v>159</v>
      </c>
      <c r="P133" s="7">
        <v>8487</v>
      </c>
      <c r="Q133">
        <v>0.06</v>
      </c>
      <c r="R133">
        <v>1.53</v>
      </c>
      <c r="S133" s="5">
        <f t="shared" si="2"/>
        <v>0.21780821917808219</v>
      </c>
      <c r="T133" t="s">
        <v>16</v>
      </c>
      <c r="U133" t="s">
        <v>16</v>
      </c>
    </row>
    <row r="134" spans="1:21" x14ac:dyDescent="0.3">
      <c r="A134" t="s">
        <v>27</v>
      </c>
      <c r="B134" t="s">
        <v>512</v>
      </c>
      <c r="C134">
        <v>143</v>
      </c>
      <c r="D134" t="s">
        <v>14</v>
      </c>
      <c r="E134" t="s">
        <v>45</v>
      </c>
      <c r="F134" s="3" t="s">
        <v>515</v>
      </c>
      <c r="G134">
        <v>20018</v>
      </c>
      <c r="H134" t="s">
        <v>219</v>
      </c>
      <c r="I134" t="s">
        <v>220</v>
      </c>
      <c r="J134" t="s">
        <v>95</v>
      </c>
      <c r="K134" t="s">
        <v>516</v>
      </c>
      <c r="L134" t="s">
        <v>95</v>
      </c>
      <c r="M134" t="s">
        <v>344</v>
      </c>
      <c r="N134" t="s">
        <v>392</v>
      </c>
      <c r="O134">
        <v>67</v>
      </c>
      <c r="P134" s="7">
        <v>20398</v>
      </c>
      <c r="Q134">
        <v>0.1</v>
      </c>
      <c r="R134">
        <v>4.04</v>
      </c>
      <c r="S134" s="5">
        <f t="shared" si="2"/>
        <v>9.1780821917808217E-2</v>
      </c>
      <c r="T134" t="s">
        <v>16</v>
      </c>
      <c r="U134" t="s">
        <v>16</v>
      </c>
    </row>
    <row r="135" spans="1:21" x14ac:dyDescent="0.3">
      <c r="A135" t="s">
        <v>27</v>
      </c>
      <c r="B135" t="s">
        <v>512</v>
      </c>
      <c r="C135">
        <v>143</v>
      </c>
      <c r="D135" t="s">
        <v>14</v>
      </c>
      <c r="E135" t="s">
        <v>45</v>
      </c>
      <c r="F135" s="3" t="s">
        <v>517</v>
      </c>
      <c r="G135">
        <v>20018</v>
      </c>
      <c r="H135" t="s">
        <v>219</v>
      </c>
      <c r="I135" t="s">
        <v>220</v>
      </c>
      <c r="J135" t="s">
        <v>518</v>
      </c>
      <c r="K135" t="s">
        <v>477</v>
      </c>
      <c r="L135" t="s">
        <v>95</v>
      </c>
      <c r="M135" t="s">
        <v>344</v>
      </c>
      <c r="N135" t="s">
        <v>392</v>
      </c>
      <c r="O135">
        <v>162</v>
      </c>
      <c r="P135" s="7">
        <v>14053</v>
      </c>
      <c r="Q135">
        <v>0.08</v>
      </c>
      <c r="R135">
        <v>1.86</v>
      </c>
      <c r="S135" s="5">
        <f t="shared" si="2"/>
        <v>0.22191780821917809</v>
      </c>
      <c r="T135" t="s">
        <v>16</v>
      </c>
      <c r="U135" t="s">
        <v>16</v>
      </c>
    </row>
    <row r="136" spans="1:21" x14ac:dyDescent="0.3">
      <c r="A136" t="s">
        <v>27</v>
      </c>
      <c r="B136" t="s">
        <v>68</v>
      </c>
      <c r="C136">
        <v>143</v>
      </c>
      <c r="D136" t="s">
        <v>14</v>
      </c>
      <c r="E136" t="s">
        <v>45</v>
      </c>
      <c r="F136" s="3" t="s">
        <v>521</v>
      </c>
      <c r="G136">
        <v>20018</v>
      </c>
      <c r="H136" t="s">
        <v>219</v>
      </c>
      <c r="I136" t="s">
        <v>220</v>
      </c>
      <c r="J136" t="s">
        <v>522</v>
      </c>
      <c r="K136" t="s">
        <v>477</v>
      </c>
      <c r="L136" t="s">
        <v>477</v>
      </c>
      <c r="M136" t="s">
        <v>344</v>
      </c>
      <c r="N136" t="s">
        <v>392</v>
      </c>
      <c r="O136">
        <v>108</v>
      </c>
      <c r="P136" s="7">
        <v>9646</v>
      </c>
      <c r="Q136">
        <v>0.08</v>
      </c>
      <c r="R136">
        <v>1.89</v>
      </c>
      <c r="S136" s="5">
        <f t="shared" si="2"/>
        <v>0.14794520547945206</v>
      </c>
      <c r="T136" t="s">
        <v>16</v>
      </c>
      <c r="U136" t="s">
        <v>16</v>
      </c>
    </row>
    <row r="137" spans="1:21" x14ac:dyDescent="0.3">
      <c r="A137" t="s">
        <v>27</v>
      </c>
      <c r="B137" t="s">
        <v>68</v>
      </c>
      <c r="C137">
        <v>143</v>
      </c>
      <c r="D137" t="s">
        <v>14</v>
      </c>
      <c r="E137" t="s">
        <v>45</v>
      </c>
      <c r="F137" s="3" t="s">
        <v>523</v>
      </c>
      <c r="G137">
        <v>20018</v>
      </c>
      <c r="H137" t="s">
        <v>219</v>
      </c>
      <c r="I137" t="s">
        <v>220</v>
      </c>
      <c r="J137" t="s">
        <v>95</v>
      </c>
      <c r="K137" t="s">
        <v>524</v>
      </c>
      <c r="L137" t="s">
        <v>477</v>
      </c>
      <c r="M137" t="s">
        <v>344</v>
      </c>
      <c r="N137" t="s">
        <v>392</v>
      </c>
      <c r="O137">
        <v>28</v>
      </c>
      <c r="P137" s="7">
        <v>7788</v>
      </c>
      <c r="Q137">
        <v>0.14000000000000001</v>
      </c>
      <c r="R137">
        <v>3.78</v>
      </c>
      <c r="S137" s="5">
        <f t="shared" si="2"/>
        <v>3.8356164383561646E-2</v>
      </c>
      <c r="T137" t="s">
        <v>16</v>
      </c>
      <c r="U137" t="s">
        <v>16</v>
      </c>
    </row>
    <row r="138" spans="1:21" x14ac:dyDescent="0.3">
      <c r="A138" t="s">
        <v>27</v>
      </c>
      <c r="B138" t="s">
        <v>68</v>
      </c>
      <c r="C138">
        <v>143</v>
      </c>
      <c r="D138" t="s">
        <v>14</v>
      </c>
      <c r="E138" t="s">
        <v>45</v>
      </c>
      <c r="F138" s="3" t="s">
        <v>525</v>
      </c>
      <c r="G138">
        <v>20018</v>
      </c>
      <c r="H138" t="s">
        <v>219</v>
      </c>
      <c r="I138" t="s">
        <v>220</v>
      </c>
      <c r="J138" t="s">
        <v>526</v>
      </c>
      <c r="K138" t="s">
        <v>477</v>
      </c>
      <c r="L138" t="s">
        <v>477</v>
      </c>
      <c r="M138" t="s">
        <v>344</v>
      </c>
      <c r="N138" t="s">
        <v>392</v>
      </c>
      <c r="O138">
        <v>94</v>
      </c>
      <c r="P138" s="7">
        <v>11908</v>
      </c>
      <c r="Q138">
        <v>0.09</v>
      </c>
      <c r="R138">
        <v>2.2599999999999998</v>
      </c>
      <c r="S138" s="5">
        <f t="shared" si="2"/>
        <v>0.12876712328767123</v>
      </c>
      <c r="T138" t="s">
        <v>16</v>
      </c>
      <c r="U138" t="s">
        <v>16</v>
      </c>
    </row>
    <row r="139" spans="1:21" x14ac:dyDescent="0.3">
      <c r="A139" t="s">
        <v>27</v>
      </c>
      <c r="B139" t="s">
        <v>68</v>
      </c>
      <c r="C139">
        <v>143</v>
      </c>
      <c r="D139" t="s">
        <v>14</v>
      </c>
      <c r="E139" t="s">
        <v>45</v>
      </c>
      <c r="F139" s="3" t="s">
        <v>157</v>
      </c>
      <c r="G139">
        <v>20018</v>
      </c>
      <c r="H139" t="s">
        <v>219</v>
      </c>
      <c r="I139" t="s">
        <v>220</v>
      </c>
      <c r="J139" t="s">
        <v>95</v>
      </c>
      <c r="K139" t="s">
        <v>527</v>
      </c>
      <c r="L139" t="s">
        <v>477</v>
      </c>
      <c r="M139" t="s">
        <v>344</v>
      </c>
      <c r="N139" t="s">
        <v>392</v>
      </c>
      <c r="O139">
        <v>75</v>
      </c>
      <c r="P139" s="7">
        <v>9844</v>
      </c>
      <c r="Q139">
        <v>0.13</v>
      </c>
      <c r="R139">
        <v>2.31</v>
      </c>
      <c r="S139" s="5">
        <f t="shared" si="2"/>
        <v>0.10273972602739725</v>
      </c>
      <c r="T139" t="s">
        <v>16</v>
      </c>
      <c r="U139" t="s">
        <v>16</v>
      </c>
    </row>
    <row r="140" spans="1:21" x14ac:dyDescent="0.3">
      <c r="A140" t="s">
        <v>27</v>
      </c>
      <c r="B140" t="s">
        <v>530</v>
      </c>
      <c r="C140">
        <v>143</v>
      </c>
      <c r="D140" t="s">
        <v>14</v>
      </c>
      <c r="E140" t="s">
        <v>45</v>
      </c>
      <c r="F140" s="3" t="s">
        <v>531</v>
      </c>
      <c r="G140">
        <v>20018</v>
      </c>
      <c r="H140" t="s">
        <v>219</v>
      </c>
      <c r="I140" t="s">
        <v>220</v>
      </c>
      <c r="J140" t="s">
        <v>532</v>
      </c>
      <c r="K140" t="s">
        <v>95</v>
      </c>
      <c r="L140" t="s">
        <v>477</v>
      </c>
      <c r="M140" t="s">
        <v>344</v>
      </c>
      <c r="N140" t="s">
        <v>95</v>
      </c>
      <c r="O140">
        <v>136</v>
      </c>
      <c r="P140" s="7">
        <v>13105</v>
      </c>
      <c r="Q140">
        <v>7.0000000000000007E-2</v>
      </c>
      <c r="R140">
        <v>1.96</v>
      </c>
      <c r="S140" s="5">
        <f t="shared" si="2"/>
        <v>0.18630136986301371</v>
      </c>
      <c r="T140" t="s">
        <v>16</v>
      </c>
      <c r="U140" t="s">
        <v>16</v>
      </c>
    </row>
    <row r="141" spans="1:21" x14ac:dyDescent="0.3">
      <c r="A141" t="s">
        <v>27</v>
      </c>
      <c r="B141" t="s">
        <v>536</v>
      </c>
      <c r="C141">
        <v>143</v>
      </c>
      <c r="D141" t="s">
        <v>14</v>
      </c>
      <c r="E141" t="s">
        <v>45</v>
      </c>
      <c r="F141" s="3" t="s">
        <v>537</v>
      </c>
      <c r="G141">
        <v>20018</v>
      </c>
      <c r="H141" t="s">
        <v>219</v>
      </c>
      <c r="I141" t="s">
        <v>222</v>
      </c>
      <c r="J141" t="s">
        <v>534</v>
      </c>
      <c r="K141" t="s">
        <v>538</v>
      </c>
      <c r="L141" t="s">
        <v>477</v>
      </c>
      <c r="M141" t="s">
        <v>344</v>
      </c>
      <c r="N141" t="s">
        <v>95</v>
      </c>
      <c r="O141">
        <v>65</v>
      </c>
      <c r="P141" s="7">
        <v>3144</v>
      </c>
      <c r="Q141">
        <v>0.12</v>
      </c>
      <c r="R141">
        <v>1.48</v>
      </c>
      <c r="S141" s="5">
        <f t="shared" si="2"/>
        <v>8.9041095890410954E-2</v>
      </c>
      <c r="T141" t="s">
        <v>16</v>
      </c>
      <c r="U141" t="s">
        <v>16</v>
      </c>
    </row>
    <row r="142" spans="1:21" x14ac:dyDescent="0.3">
      <c r="A142" t="s">
        <v>27</v>
      </c>
      <c r="B142" t="s">
        <v>536</v>
      </c>
      <c r="C142">
        <v>143</v>
      </c>
      <c r="D142" t="s">
        <v>14</v>
      </c>
      <c r="E142" t="s">
        <v>45</v>
      </c>
      <c r="F142" s="3" t="s">
        <v>169</v>
      </c>
      <c r="G142">
        <v>20018</v>
      </c>
      <c r="H142" t="s">
        <v>219</v>
      </c>
      <c r="I142" t="s">
        <v>220</v>
      </c>
      <c r="J142" t="s">
        <v>540</v>
      </c>
      <c r="K142" t="s">
        <v>539</v>
      </c>
      <c r="L142" t="s">
        <v>477</v>
      </c>
      <c r="M142" t="s">
        <v>344</v>
      </c>
      <c r="N142" t="s">
        <v>95</v>
      </c>
      <c r="O142">
        <v>137</v>
      </c>
      <c r="P142" s="7">
        <v>26461</v>
      </c>
      <c r="Q142">
        <v>0.11</v>
      </c>
      <c r="R142">
        <v>2.93</v>
      </c>
      <c r="S142" s="5">
        <f t="shared" si="2"/>
        <v>0.18767123287671234</v>
      </c>
      <c r="T142" t="s">
        <v>16</v>
      </c>
      <c r="U142" t="s">
        <v>16</v>
      </c>
    </row>
    <row r="143" spans="1:21" x14ac:dyDescent="0.3">
      <c r="A143" t="s">
        <v>27</v>
      </c>
      <c r="B143" t="s">
        <v>536</v>
      </c>
      <c r="C143">
        <v>143</v>
      </c>
      <c r="D143" t="s">
        <v>14</v>
      </c>
      <c r="E143" t="s">
        <v>45</v>
      </c>
      <c r="F143" s="3" t="s">
        <v>541</v>
      </c>
      <c r="G143">
        <v>20018</v>
      </c>
      <c r="H143" t="s">
        <v>219</v>
      </c>
      <c r="I143" t="s">
        <v>220</v>
      </c>
      <c r="J143" t="s">
        <v>542</v>
      </c>
      <c r="K143" t="s">
        <v>539</v>
      </c>
      <c r="L143" t="s">
        <v>477</v>
      </c>
      <c r="M143" t="s">
        <v>344</v>
      </c>
      <c r="N143" t="s">
        <v>95</v>
      </c>
      <c r="O143">
        <v>183</v>
      </c>
      <c r="P143" s="7">
        <v>13834</v>
      </c>
      <c r="Q143">
        <v>0.08</v>
      </c>
      <c r="R143">
        <v>1.75</v>
      </c>
      <c r="S143" s="5">
        <f t="shared" si="2"/>
        <v>0.25068493150684934</v>
      </c>
      <c r="T143" t="s">
        <v>16</v>
      </c>
      <c r="U143" t="s">
        <v>16</v>
      </c>
    </row>
    <row r="144" spans="1:21" x14ac:dyDescent="0.3">
      <c r="A144" t="s">
        <v>27</v>
      </c>
      <c r="B144" t="s">
        <v>536</v>
      </c>
      <c r="C144">
        <v>143</v>
      </c>
      <c r="D144" t="s">
        <v>14</v>
      </c>
      <c r="E144" t="s">
        <v>45</v>
      </c>
      <c r="F144" s="3" t="s">
        <v>543</v>
      </c>
      <c r="G144">
        <v>20018</v>
      </c>
      <c r="H144" t="s">
        <v>219</v>
      </c>
      <c r="I144" t="s">
        <v>220</v>
      </c>
      <c r="J144" t="s">
        <v>95</v>
      </c>
      <c r="K144" t="s">
        <v>539</v>
      </c>
      <c r="L144" t="s">
        <v>477</v>
      </c>
      <c r="M144" t="s">
        <v>544</v>
      </c>
      <c r="N144" t="s">
        <v>95</v>
      </c>
      <c r="O144">
        <v>42</v>
      </c>
      <c r="P144" s="7">
        <v>7378</v>
      </c>
      <c r="Q144">
        <v>0.09</v>
      </c>
      <c r="R144">
        <v>2.75</v>
      </c>
      <c r="S144" s="5">
        <f t="shared" si="2"/>
        <v>5.7534246575342465E-2</v>
      </c>
      <c r="T144" t="s">
        <v>16</v>
      </c>
      <c r="U144" t="s">
        <v>16</v>
      </c>
    </row>
    <row r="145" spans="1:21" x14ac:dyDescent="0.3">
      <c r="A145" t="s">
        <v>27</v>
      </c>
      <c r="B145" t="s">
        <v>536</v>
      </c>
      <c r="C145">
        <v>143</v>
      </c>
      <c r="D145" t="s">
        <v>14</v>
      </c>
      <c r="E145" t="s">
        <v>45</v>
      </c>
      <c r="F145" s="3" t="s">
        <v>545</v>
      </c>
      <c r="G145">
        <v>20018</v>
      </c>
      <c r="H145" t="s">
        <v>219</v>
      </c>
      <c r="I145" t="s">
        <v>220</v>
      </c>
      <c r="J145" t="s">
        <v>95</v>
      </c>
      <c r="K145" t="s">
        <v>539</v>
      </c>
      <c r="L145" t="s">
        <v>477</v>
      </c>
      <c r="M145" t="s">
        <v>95</v>
      </c>
      <c r="N145" t="s">
        <v>229</v>
      </c>
      <c r="O145">
        <v>33</v>
      </c>
      <c r="P145" s="7">
        <v>2228</v>
      </c>
      <c r="Q145">
        <v>0.15</v>
      </c>
      <c r="R145">
        <v>1.67</v>
      </c>
      <c r="S145" s="5">
        <f t="shared" ref="S145:S169" si="3">O145/730</f>
        <v>4.5205479452054796E-2</v>
      </c>
      <c r="T145" t="s">
        <v>16</v>
      </c>
      <c r="U145" t="s">
        <v>16</v>
      </c>
    </row>
    <row r="146" spans="1:21" x14ac:dyDescent="0.3">
      <c r="A146" t="s">
        <v>27</v>
      </c>
      <c r="B146" t="s">
        <v>536</v>
      </c>
      <c r="C146">
        <v>143</v>
      </c>
      <c r="D146" t="s">
        <v>14</v>
      </c>
      <c r="E146" t="s">
        <v>45</v>
      </c>
      <c r="F146" s="3" t="s">
        <v>546</v>
      </c>
      <c r="G146">
        <v>20018</v>
      </c>
      <c r="H146" t="s">
        <v>219</v>
      </c>
      <c r="I146" t="s">
        <v>220</v>
      </c>
      <c r="J146" t="s">
        <v>547</v>
      </c>
      <c r="K146" t="s">
        <v>539</v>
      </c>
      <c r="L146" t="s">
        <v>477</v>
      </c>
      <c r="M146" t="s">
        <v>95</v>
      </c>
      <c r="N146" t="s">
        <v>95</v>
      </c>
      <c r="O146">
        <v>67</v>
      </c>
      <c r="P146" s="7">
        <v>9967</v>
      </c>
      <c r="Q146">
        <v>7.0000000000000007E-2</v>
      </c>
      <c r="R146">
        <v>1.89</v>
      </c>
      <c r="S146" s="5">
        <f t="shared" si="3"/>
        <v>9.1780821917808217E-2</v>
      </c>
      <c r="T146" t="s">
        <v>16</v>
      </c>
      <c r="U146" t="s">
        <v>16</v>
      </c>
    </row>
    <row r="147" spans="1:21" x14ac:dyDescent="0.3">
      <c r="A147" t="s">
        <v>27</v>
      </c>
      <c r="B147" t="s">
        <v>536</v>
      </c>
      <c r="C147">
        <v>143</v>
      </c>
      <c r="D147" t="s">
        <v>14</v>
      </c>
      <c r="E147" t="s">
        <v>45</v>
      </c>
      <c r="F147" s="3" t="s">
        <v>548</v>
      </c>
      <c r="G147">
        <v>20018</v>
      </c>
      <c r="H147" t="s">
        <v>219</v>
      </c>
      <c r="I147" t="s">
        <v>220</v>
      </c>
      <c r="J147" t="s">
        <v>454</v>
      </c>
      <c r="K147" t="s">
        <v>539</v>
      </c>
      <c r="L147" t="s">
        <v>477</v>
      </c>
      <c r="M147" t="s">
        <v>95</v>
      </c>
      <c r="N147" t="s">
        <v>549</v>
      </c>
      <c r="O147">
        <v>98</v>
      </c>
      <c r="P147" s="7">
        <v>7026</v>
      </c>
      <c r="Q147">
        <v>0.08</v>
      </c>
      <c r="R147">
        <v>1.71</v>
      </c>
      <c r="S147" s="5">
        <f t="shared" si="3"/>
        <v>0.13424657534246576</v>
      </c>
      <c r="T147" t="s">
        <v>16</v>
      </c>
      <c r="U147" t="s">
        <v>16</v>
      </c>
    </row>
    <row r="148" spans="1:21" x14ac:dyDescent="0.3">
      <c r="A148" t="s">
        <v>27</v>
      </c>
      <c r="B148" t="s">
        <v>536</v>
      </c>
      <c r="C148">
        <v>143</v>
      </c>
      <c r="D148" t="s">
        <v>14</v>
      </c>
      <c r="E148" t="s">
        <v>45</v>
      </c>
      <c r="F148" s="3" t="s">
        <v>550</v>
      </c>
      <c r="G148">
        <v>20018</v>
      </c>
      <c r="H148" t="s">
        <v>219</v>
      </c>
      <c r="I148" t="s">
        <v>220</v>
      </c>
      <c r="J148" t="s">
        <v>551</v>
      </c>
      <c r="K148" t="s">
        <v>539</v>
      </c>
      <c r="L148" t="s">
        <v>477</v>
      </c>
      <c r="M148" t="s">
        <v>95</v>
      </c>
      <c r="N148" t="s">
        <v>95</v>
      </c>
      <c r="O148">
        <v>31</v>
      </c>
      <c r="P148" s="7">
        <v>8668</v>
      </c>
      <c r="Q148">
        <v>0.12</v>
      </c>
      <c r="R148">
        <v>3.79</v>
      </c>
      <c r="S148" s="5">
        <f t="shared" si="3"/>
        <v>4.2465753424657533E-2</v>
      </c>
      <c r="T148" t="s">
        <v>16</v>
      </c>
      <c r="U148" t="s">
        <v>16</v>
      </c>
    </row>
    <row r="149" spans="1:21" x14ac:dyDescent="0.3">
      <c r="A149" t="s">
        <v>27</v>
      </c>
      <c r="B149" t="s">
        <v>536</v>
      </c>
      <c r="C149">
        <v>143</v>
      </c>
      <c r="D149" t="s">
        <v>14</v>
      </c>
      <c r="E149" t="s">
        <v>45</v>
      </c>
      <c r="F149" s="3" t="s">
        <v>552</v>
      </c>
      <c r="G149">
        <v>20018</v>
      </c>
      <c r="H149" t="s">
        <v>219</v>
      </c>
      <c r="I149" t="s">
        <v>220</v>
      </c>
      <c r="J149" t="s">
        <v>95</v>
      </c>
      <c r="K149" t="s">
        <v>539</v>
      </c>
      <c r="L149" t="s">
        <v>477</v>
      </c>
      <c r="M149" t="s">
        <v>553</v>
      </c>
      <c r="N149" t="s">
        <v>95</v>
      </c>
      <c r="O149">
        <v>52</v>
      </c>
      <c r="P149" s="7">
        <v>6848</v>
      </c>
      <c r="Q149">
        <v>0.09</v>
      </c>
      <c r="R149">
        <v>2.31</v>
      </c>
      <c r="S149" s="5">
        <f t="shared" si="3"/>
        <v>7.1232876712328766E-2</v>
      </c>
      <c r="T149" t="s">
        <v>16</v>
      </c>
      <c r="U149" t="s">
        <v>16</v>
      </c>
    </row>
    <row r="150" spans="1:21" x14ac:dyDescent="0.3">
      <c r="A150" t="s">
        <v>27</v>
      </c>
      <c r="B150" t="s">
        <v>536</v>
      </c>
      <c r="C150">
        <v>143</v>
      </c>
      <c r="D150" t="s">
        <v>14</v>
      </c>
      <c r="E150" t="s">
        <v>45</v>
      </c>
      <c r="F150" s="3" t="s">
        <v>554</v>
      </c>
      <c r="G150">
        <v>20018</v>
      </c>
      <c r="H150" t="s">
        <v>219</v>
      </c>
      <c r="I150" t="s">
        <v>220</v>
      </c>
      <c r="J150" t="s">
        <v>95</v>
      </c>
      <c r="K150" t="s">
        <v>539</v>
      </c>
      <c r="L150" t="s">
        <v>477</v>
      </c>
      <c r="M150" t="s">
        <v>555</v>
      </c>
      <c r="N150" t="s">
        <v>556</v>
      </c>
      <c r="O150">
        <v>18</v>
      </c>
      <c r="P150" s="7">
        <v>3198</v>
      </c>
      <c r="Q150">
        <v>0.27</v>
      </c>
      <c r="R150">
        <v>2.77</v>
      </c>
      <c r="S150" s="5">
        <f t="shared" si="3"/>
        <v>2.4657534246575342E-2</v>
      </c>
      <c r="T150" t="s">
        <v>16</v>
      </c>
      <c r="U150" t="s">
        <v>16</v>
      </c>
    </row>
    <row r="151" spans="1:21" x14ac:dyDescent="0.3">
      <c r="A151" t="s">
        <v>27</v>
      </c>
      <c r="B151" t="s">
        <v>536</v>
      </c>
      <c r="C151">
        <v>143</v>
      </c>
      <c r="D151" t="s">
        <v>14</v>
      </c>
      <c r="E151" t="s">
        <v>45</v>
      </c>
      <c r="F151" s="3" t="s">
        <v>557</v>
      </c>
      <c r="G151">
        <v>20018</v>
      </c>
      <c r="H151" t="s">
        <v>219</v>
      </c>
      <c r="I151" t="s">
        <v>220</v>
      </c>
      <c r="J151" t="s">
        <v>95</v>
      </c>
      <c r="K151" t="s">
        <v>539</v>
      </c>
      <c r="L151" t="s">
        <v>477</v>
      </c>
      <c r="M151" t="s">
        <v>558</v>
      </c>
      <c r="N151" t="s">
        <v>95</v>
      </c>
      <c r="O151">
        <v>90</v>
      </c>
      <c r="P151" s="7">
        <v>8378</v>
      </c>
      <c r="Q151">
        <v>0.05</v>
      </c>
      <c r="R151">
        <v>1.93</v>
      </c>
      <c r="S151" s="5">
        <f t="shared" si="3"/>
        <v>0.12328767123287671</v>
      </c>
      <c r="T151" t="s">
        <v>16</v>
      </c>
      <c r="U151" t="s">
        <v>16</v>
      </c>
    </row>
    <row r="152" spans="1:21" x14ac:dyDescent="0.3">
      <c r="A152" t="s">
        <v>27</v>
      </c>
      <c r="B152" t="s">
        <v>536</v>
      </c>
      <c r="C152">
        <v>143</v>
      </c>
      <c r="D152" t="s">
        <v>14</v>
      </c>
      <c r="E152" t="s">
        <v>45</v>
      </c>
      <c r="F152" s="3" t="s">
        <v>559</v>
      </c>
      <c r="G152">
        <v>20018</v>
      </c>
      <c r="H152" t="s">
        <v>219</v>
      </c>
      <c r="I152" t="s">
        <v>220</v>
      </c>
      <c r="J152" t="s">
        <v>95</v>
      </c>
      <c r="K152" t="s">
        <v>539</v>
      </c>
      <c r="L152" t="s">
        <v>560</v>
      </c>
      <c r="M152" t="s">
        <v>95</v>
      </c>
      <c r="N152" t="s">
        <v>95</v>
      </c>
      <c r="O152">
        <v>29</v>
      </c>
      <c r="P152" s="7">
        <v>2916</v>
      </c>
      <c r="Q152">
        <v>0.1</v>
      </c>
      <c r="R152">
        <v>2</v>
      </c>
      <c r="S152" s="5">
        <f t="shared" si="3"/>
        <v>3.9726027397260277E-2</v>
      </c>
      <c r="T152" t="s">
        <v>16</v>
      </c>
      <c r="U152" t="s">
        <v>16</v>
      </c>
    </row>
    <row r="153" spans="1:21" x14ac:dyDescent="0.3">
      <c r="A153" t="s">
        <v>27</v>
      </c>
      <c r="B153" t="s">
        <v>536</v>
      </c>
      <c r="C153">
        <v>143</v>
      </c>
      <c r="D153" t="s">
        <v>14</v>
      </c>
      <c r="E153" t="s">
        <v>45</v>
      </c>
      <c r="F153" s="3" t="s">
        <v>561</v>
      </c>
      <c r="G153">
        <v>20018</v>
      </c>
      <c r="H153" t="s">
        <v>219</v>
      </c>
      <c r="I153" t="s">
        <v>220</v>
      </c>
      <c r="J153" t="s">
        <v>95</v>
      </c>
      <c r="K153" t="s">
        <v>539</v>
      </c>
      <c r="L153" t="s">
        <v>562</v>
      </c>
      <c r="M153" t="s">
        <v>95</v>
      </c>
      <c r="N153" t="s">
        <v>95</v>
      </c>
      <c r="O153">
        <v>12</v>
      </c>
      <c r="P153" s="7">
        <v>5869</v>
      </c>
      <c r="Q153">
        <v>0.33</v>
      </c>
      <c r="R153">
        <v>5.89</v>
      </c>
      <c r="S153" s="5">
        <f t="shared" si="3"/>
        <v>1.643835616438356E-2</v>
      </c>
      <c r="T153" t="s">
        <v>16</v>
      </c>
      <c r="U153" t="s">
        <v>16</v>
      </c>
    </row>
    <row r="154" spans="1:21" x14ac:dyDescent="0.3">
      <c r="A154" t="s">
        <v>27</v>
      </c>
      <c r="B154" t="s">
        <v>536</v>
      </c>
      <c r="C154">
        <v>143</v>
      </c>
      <c r="D154" t="s">
        <v>14</v>
      </c>
      <c r="E154" t="s">
        <v>45</v>
      </c>
      <c r="F154" s="3" t="s">
        <v>563</v>
      </c>
      <c r="G154">
        <v>20018</v>
      </c>
      <c r="H154" t="s">
        <v>219</v>
      </c>
      <c r="I154" t="s">
        <v>220</v>
      </c>
      <c r="J154" t="s">
        <v>95</v>
      </c>
      <c r="K154" t="s">
        <v>539</v>
      </c>
      <c r="L154" t="s">
        <v>564</v>
      </c>
      <c r="M154" t="s">
        <v>95</v>
      </c>
      <c r="N154" t="s">
        <v>565</v>
      </c>
      <c r="O154">
        <v>25</v>
      </c>
      <c r="P154" s="7">
        <v>5797</v>
      </c>
      <c r="Q154">
        <v>0.16</v>
      </c>
      <c r="R154">
        <v>3.31</v>
      </c>
      <c r="S154" s="5">
        <f t="shared" si="3"/>
        <v>3.4246575342465752E-2</v>
      </c>
      <c r="T154" t="s">
        <v>16</v>
      </c>
      <c r="U154" t="s">
        <v>16</v>
      </c>
    </row>
    <row r="155" spans="1:21" x14ac:dyDescent="0.3">
      <c r="A155" t="s">
        <v>27</v>
      </c>
      <c r="B155" t="s">
        <v>536</v>
      </c>
      <c r="C155">
        <v>143</v>
      </c>
      <c r="D155" t="s">
        <v>14</v>
      </c>
      <c r="E155" t="s">
        <v>45</v>
      </c>
      <c r="F155" s="3" t="s">
        <v>566</v>
      </c>
      <c r="G155">
        <v>20018</v>
      </c>
      <c r="H155" t="s">
        <v>219</v>
      </c>
      <c r="I155" t="s">
        <v>220</v>
      </c>
      <c r="J155" t="s">
        <v>95</v>
      </c>
      <c r="K155" t="s">
        <v>539</v>
      </c>
      <c r="L155" t="s">
        <v>564</v>
      </c>
      <c r="M155" t="s">
        <v>567</v>
      </c>
      <c r="N155" t="s">
        <v>95</v>
      </c>
      <c r="O155">
        <v>41</v>
      </c>
      <c r="P155" s="7">
        <v>7359</v>
      </c>
      <c r="Q155">
        <v>0.09</v>
      </c>
      <c r="R155">
        <v>2.79</v>
      </c>
      <c r="S155" s="5">
        <f t="shared" si="3"/>
        <v>5.6164383561643834E-2</v>
      </c>
      <c r="T155" t="s">
        <v>16</v>
      </c>
      <c r="U155" t="s">
        <v>16</v>
      </c>
    </row>
    <row r="156" spans="1:21" x14ac:dyDescent="0.3">
      <c r="A156" t="s">
        <v>27</v>
      </c>
      <c r="B156" t="s">
        <v>536</v>
      </c>
      <c r="C156">
        <v>143</v>
      </c>
      <c r="D156" t="s">
        <v>14</v>
      </c>
      <c r="E156" t="s">
        <v>45</v>
      </c>
      <c r="F156" s="3" t="s">
        <v>568</v>
      </c>
      <c r="G156">
        <v>20018</v>
      </c>
      <c r="H156" t="s">
        <v>219</v>
      </c>
      <c r="I156" t="s">
        <v>220</v>
      </c>
      <c r="J156" t="s">
        <v>95</v>
      </c>
      <c r="K156" t="s">
        <v>539</v>
      </c>
      <c r="L156" t="s">
        <v>569</v>
      </c>
      <c r="M156" t="s">
        <v>477</v>
      </c>
      <c r="N156" t="s">
        <v>95</v>
      </c>
      <c r="O156">
        <v>55</v>
      </c>
      <c r="P156" s="7">
        <v>12318</v>
      </c>
      <c r="Q156">
        <v>0.09</v>
      </c>
      <c r="R156">
        <v>3.23</v>
      </c>
      <c r="S156" s="5">
        <f t="shared" si="3"/>
        <v>7.5342465753424653E-2</v>
      </c>
      <c r="T156" t="s">
        <v>16</v>
      </c>
      <c r="U156" t="s">
        <v>16</v>
      </c>
    </row>
    <row r="157" spans="1:21" x14ac:dyDescent="0.3">
      <c r="A157" t="s">
        <v>27</v>
      </c>
      <c r="B157" t="s">
        <v>536</v>
      </c>
      <c r="C157">
        <v>143</v>
      </c>
      <c r="D157" t="s">
        <v>182</v>
      </c>
      <c r="E157" t="s">
        <v>45</v>
      </c>
      <c r="F157" s="3" t="s">
        <v>576</v>
      </c>
      <c r="G157">
        <v>20018</v>
      </c>
      <c r="H157" t="s">
        <v>219</v>
      </c>
      <c r="I157" t="s">
        <v>225</v>
      </c>
      <c r="J157" t="s">
        <v>95</v>
      </c>
      <c r="K157" t="s">
        <v>539</v>
      </c>
      <c r="L157" t="s">
        <v>577</v>
      </c>
      <c r="M157" t="s">
        <v>477</v>
      </c>
      <c r="N157" t="s">
        <v>95</v>
      </c>
      <c r="O157">
        <v>390</v>
      </c>
      <c r="P157" s="7">
        <v>16432</v>
      </c>
      <c r="Q157">
        <v>0.08</v>
      </c>
      <c r="R157">
        <v>1.42</v>
      </c>
      <c r="S157" s="5">
        <f t="shared" si="3"/>
        <v>0.53424657534246578</v>
      </c>
      <c r="T157" t="s">
        <v>16</v>
      </c>
      <c r="U157" t="s">
        <v>16</v>
      </c>
    </row>
    <row r="158" spans="1:21" x14ac:dyDescent="0.3">
      <c r="A158" t="s">
        <v>27</v>
      </c>
      <c r="B158" t="s">
        <v>536</v>
      </c>
      <c r="C158">
        <v>143</v>
      </c>
      <c r="D158" t="s">
        <v>182</v>
      </c>
      <c r="E158" t="s">
        <v>45</v>
      </c>
      <c r="F158" s="3" t="s">
        <v>576</v>
      </c>
      <c r="G158">
        <v>20018</v>
      </c>
      <c r="H158" t="s">
        <v>219</v>
      </c>
      <c r="I158" t="s">
        <v>222</v>
      </c>
      <c r="J158" t="s">
        <v>95</v>
      </c>
      <c r="K158" t="s">
        <v>539</v>
      </c>
      <c r="L158" t="s">
        <v>578</v>
      </c>
      <c r="M158" t="s">
        <v>477</v>
      </c>
      <c r="N158" t="s">
        <v>95</v>
      </c>
      <c r="O158">
        <v>140</v>
      </c>
      <c r="P158" s="7">
        <v>9157</v>
      </c>
      <c r="Q158">
        <v>7.0000000000000007E-2</v>
      </c>
      <c r="R158">
        <v>1.65</v>
      </c>
      <c r="S158" s="5">
        <f t="shared" si="3"/>
        <v>0.19178082191780821</v>
      </c>
      <c r="T158" t="s">
        <v>16</v>
      </c>
      <c r="U158" t="s">
        <v>16</v>
      </c>
    </row>
    <row r="159" spans="1:21" x14ac:dyDescent="0.3">
      <c r="A159" t="s">
        <v>27</v>
      </c>
      <c r="B159" t="s">
        <v>536</v>
      </c>
      <c r="C159">
        <v>143</v>
      </c>
      <c r="D159" t="s">
        <v>182</v>
      </c>
      <c r="E159" t="s">
        <v>45</v>
      </c>
      <c r="F159" s="3" t="s">
        <v>183</v>
      </c>
      <c r="G159">
        <v>20018</v>
      </c>
      <c r="H159" t="s">
        <v>219</v>
      </c>
      <c r="I159" t="s">
        <v>222</v>
      </c>
      <c r="J159" t="s">
        <v>95</v>
      </c>
      <c r="K159" t="s">
        <v>580</v>
      </c>
      <c r="L159" t="s">
        <v>579</v>
      </c>
      <c r="M159" t="s">
        <v>477</v>
      </c>
      <c r="N159" t="s">
        <v>95</v>
      </c>
      <c r="O159">
        <v>38</v>
      </c>
      <c r="P159" s="7">
        <v>5246</v>
      </c>
      <c r="Q159">
        <v>0.15</v>
      </c>
      <c r="R159">
        <v>2.38</v>
      </c>
      <c r="S159" s="5">
        <f t="shared" si="3"/>
        <v>5.2054794520547946E-2</v>
      </c>
      <c r="T159" t="s">
        <v>16</v>
      </c>
      <c r="U159" t="s">
        <v>16</v>
      </c>
    </row>
    <row r="160" spans="1:21" x14ac:dyDescent="0.3">
      <c r="A160" t="s">
        <v>27</v>
      </c>
      <c r="B160" t="s">
        <v>536</v>
      </c>
      <c r="C160">
        <v>143</v>
      </c>
      <c r="D160" t="s">
        <v>182</v>
      </c>
      <c r="E160" t="s">
        <v>45</v>
      </c>
      <c r="F160" s="3" t="s">
        <v>581</v>
      </c>
      <c r="G160">
        <v>20018</v>
      </c>
      <c r="H160" t="s">
        <v>219</v>
      </c>
      <c r="I160" t="s">
        <v>225</v>
      </c>
      <c r="J160" t="s">
        <v>95</v>
      </c>
      <c r="K160" t="s">
        <v>95</v>
      </c>
      <c r="L160" t="s">
        <v>579</v>
      </c>
      <c r="M160" t="s">
        <v>582</v>
      </c>
      <c r="N160" t="s">
        <v>95</v>
      </c>
      <c r="O160">
        <v>236</v>
      </c>
      <c r="P160" s="7">
        <v>7234</v>
      </c>
      <c r="Q160">
        <v>0.11</v>
      </c>
      <c r="R160">
        <v>1.3</v>
      </c>
      <c r="S160" s="5">
        <f t="shared" si="3"/>
        <v>0.32328767123287672</v>
      </c>
      <c r="T160" t="s">
        <v>16</v>
      </c>
      <c r="U160" t="s">
        <v>16</v>
      </c>
    </row>
    <row r="161" spans="1:21" x14ac:dyDescent="0.3">
      <c r="A161" t="s">
        <v>27</v>
      </c>
      <c r="B161" t="s">
        <v>536</v>
      </c>
      <c r="C161">
        <v>143</v>
      </c>
      <c r="D161" t="s">
        <v>182</v>
      </c>
      <c r="E161" t="s">
        <v>45</v>
      </c>
      <c r="F161" s="3" t="s">
        <v>583</v>
      </c>
      <c r="G161">
        <v>20018</v>
      </c>
      <c r="H161" t="s">
        <v>219</v>
      </c>
      <c r="I161" t="s">
        <v>225</v>
      </c>
      <c r="J161" t="s">
        <v>95</v>
      </c>
      <c r="K161" t="s">
        <v>95</v>
      </c>
      <c r="L161" t="s">
        <v>579</v>
      </c>
      <c r="M161" t="s">
        <v>95</v>
      </c>
      <c r="N161" t="s">
        <v>584</v>
      </c>
      <c r="O161">
        <v>60</v>
      </c>
      <c r="P161" s="7">
        <v>8288</v>
      </c>
      <c r="Q161">
        <v>0.08</v>
      </c>
      <c r="R161">
        <v>2.38</v>
      </c>
      <c r="S161" s="5">
        <f t="shared" si="3"/>
        <v>8.2191780821917804E-2</v>
      </c>
      <c r="T161" t="s">
        <v>16</v>
      </c>
      <c r="U161" t="s">
        <v>16</v>
      </c>
    </row>
    <row r="162" spans="1:21" x14ac:dyDescent="0.3">
      <c r="A162" t="s">
        <v>27</v>
      </c>
      <c r="B162" t="s">
        <v>536</v>
      </c>
      <c r="C162">
        <v>143</v>
      </c>
      <c r="D162" t="s">
        <v>182</v>
      </c>
      <c r="E162" t="s">
        <v>45</v>
      </c>
      <c r="F162" s="3" t="s">
        <v>256</v>
      </c>
      <c r="G162">
        <v>20018</v>
      </c>
      <c r="H162" t="s">
        <v>219</v>
      </c>
      <c r="I162" t="s">
        <v>225</v>
      </c>
      <c r="J162" t="s">
        <v>468</v>
      </c>
      <c r="K162" t="s">
        <v>95</v>
      </c>
      <c r="L162" t="s">
        <v>579</v>
      </c>
      <c r="M162" t="s">
        <v>95</v>
      </c>
      <c r="N162" t="s">
        <v>477</v>
      </c>
      <c r="O162">
        <v>48</v>
      </c>
      <c r="P162" s="7">
        <v>2687</v>
      </c>
      <c r="Q162">
        <v>0.1</v>
      </c>
      <c r="R162">
        <v>1.55</v>
      </c>
      <c r="S162" s="5">
        <f t="shared" si="3"/>
        <v>6.575342465753424E-2</v>
      </c>
      <c r="T162" t="s">
        <v>16</v>
      </c>
      <c r="U162" t="s">
        <v>16</v>
      </c>
    </row>
    <row r="163" spans="1:21" x14ac:dyDescent="0.3">
      <c r="A163" t="s">
        <v>27</v>
      </c>
      <c r="B163" t="s">
        <v>536</v>
      </c>
      <c r="C163">
        <v>143</v>
      </c>
      <c r="D163" t="s">
        <v>182</v>
      </c>
      <c r="E163" t="s">
        <v>45</v>
      </c>
      <c r="F163" s="3" t="s">
        <v>585</v>
      </c>
      <c r="G163">
        <v>20018</v>
      </c>
      <c r="H163" t="s">
        <v>219</v>
      </c>
      <c r="I163" t="s">
        <v>225</v>
      </c>
      <c r="J163" t="s">
        <v>586</v>
      </c>
      <c r="K163" t="s">
        <v>95</v>
      </c>
      <c r="L163" t="s">
        <v>579</v>
      </c>
      <c r="M163" t="s">
        <v>95</v>
      </c>
      <c r="N163" t="s">
        <v>587</v>
      </c>
      <c r="O163">
        <v>503</v>
      </c>
      <c r="P163" s="7">
        <v>11091</v>
      </c>
      <c r="Q163">
        <v>0.04</v>
      </c>
      <c r="R163">
        <v>1.22</v>
      </c>
      <c r="S163" s="5">
        <f t="shared" si="3"/>
        <v>0.68904109589041096</v>
      </c>
      <c r="T163" t="s">
        <v>16</v>
      </c>
      <c r="U163" t="s">
        <v>16</v>
      </c>
    </row>
    <row r="164" spans="1:21" x14ac:dyDescent="0.3">
      <c r="A164" t="s">
        <v>27</v>
      </c>
      <c r="B164" t="s">
        <v>536</v>
      </c>
      <c r="C164">
        <v>143</v>
      </c>
      <c r="D164" t="s">
        <v>182</v>
      </c>
      <c r="E164" t="s">
        <v>45</v>
      </c>
      <c r="F164" s="3" t="s">
        <v>585</v>
      </c>
      <c r="G164">
        <v>20018</v>
      </c>
      <c r="H164" t="s">
        <v>219</v>
      </c>
      <c r="I164" t="s">
        <v>588</v>
      </c>
      <c r="J164" t="s">
        <v>589</v>
      </c>
      <c r="K164" t="s">
        <v>95</v>
      </c>
      <c r="L164" t="s">
        <v>579</v>
      </c>
      <c r="M164" t="s">
        <v>95</v>
      </c>
      <c r="N164" t="s">
        <v>95</v>
      </c>
      <c r="O164">
        <v>36</v>
      </c>
      <c r="P164" s="7">
        <v>7639</v>
      </c>
      <c r="Q164">
        <v>0.16</v>
      </c>
      <c r="R164">
        <v>3.12</v>
      </c>
      <c r="S164" s="5">
        <f t="shared" si="3"/>
        <v>4.9315068493150684E-2</v>
      </c>
      <c r="T164" t="s">
        <v>16</v>
      </c>
      <c r="U164" t="s">
        <v>16</v>
      </c>
    </row>
    <row r="165" spans="1:21" x14ac:dyDescent="0.3">
      <c r="A165" t="s">
        <v>27</v>
      </c>
      <c r="B165" t="s">
        <v>536</v>
      </c>
      <c r="C165">
        <v>143</v>
      </c>
      <c r="D165" t="s">
        <v>182</v>
      </c>
      <c r="E165" t="s">
        <v>45</v>
      </c>
      <c r="F165" s="3" t="s">
        <v>590</v>
      </c>
      <c r="G165">
        <v>20018</v>
      </c>
      <c r="H165" t="s">
        <v>219</v>
      </c>
      <c r="I165" t="s">
        <v>591</v>
      </c>
      <c r="J165" t="s">
        <v>95</v>
      </c>
      <c r="K165" t="s">
        <v>592</v>
      </c>
      <c r="L165" t="s">
        <v>579</v>
      </c>
      <c r="M165" t="s">
        <v>95</v>
      </c>
      <c r="N165" t="s">
        <v>95</v>
      </c>
      <c r="O165">
        <v>59</v>
      </c>
      <c r="P165" s="7">
        <v>8827</v>
      </c>
      <c r="Q165">
        <v>0.1</v>
      </c>
      <c r="R165">
        <v>2.4900000000000002</v>
      </c>
      <c r="S165" s="5">
        <f t="shared" si="3"/>
        <v>8.0821917808219179E-2</v>
      </c>
      <c r="T165" t="s">
        <v>16</v>
      </c>
      <c r="U165" t="s">
        <v>16</v>
      </c>
    </row>
    <row r="166" spans="1:21" x14ac:dyDescent="0.3">
      <c r="A166" t="s">
        <v>27</v>
      </c>
      <c r="B166" t="s">
        <v>536</v>
      </c>
      <c r="C166">
        <v>143</v>
      </c>
      <c r="D166" t="s">
        <v>182</v>
      </c>
      <c r="E166" t="s">
        <v>45</v>
      </c>
      <c r="F166" s="3" t="s">
        <v>593</v>
      </c>
      <c r="G166">
        <v>20018</v>
      </c>
      <c r="H166" t="s">
        <v>219</v>
      </c>
      <c r="I166" t="s">
        <v>591</v>
      </c>
      <c r="J166" t="s">
        <v>95</v>
      </c>
      <c r="K166" t="s">
        <v>594</v>
      </c>
      <c r="L166" t="s">
        <v>579</v>
      </c>
      <c r="M166" t="s">
        <v>95</v>
      </c>
      <c r="N166" t="s">
        <v>595</v>
      </c>
      <c r="O166">
        <v>28</v>
      </c>
      <c r="P166" s="7">
        <v>7578</v>
      </c>
      <c r="Q166">
        <v>0.17</v>
      </c>
      <c r="R166">
        <v>3.7</v>
      </c>
      <c r="S166" s="5">
        <f t="shared" si="3"/>
        <v>3.8356164383561646E-2</v>
      </c>
      <c r="T166" t="s">
        <v>16</v>
      </c>
      <c r="U166" t="s">
        <v>16</v>
      </c>
    </row>
    <row r="167" spans="1:21" x14ac:dyDescent="0.3">
      <c r="A167" t="s">
        <v>27</v>
      </c>
      <c r="B167" t="s">
        <v>536</v>
      </c>
      <c r="C167">
        <v>143</v>
      </c>
      <c r="D167" t="s">
        <v>182</v>
      </c>
      <c r="E167" t="s">
        <v>45</v>
      </c>
      <c r="F167" s="3" t="s">
        <v>57</v>
      </c>
      <c r="G167">
        <v>20018</v>
      </c>
      <c r="H167" t="s">
        <v>219</v>
      </c>
      <c r="I167" t="s">
        <v>591</v>
      </c>
      <c r="J167" t="s">
        <v>95</v>
      </c>
      <c r="K167" t="s">
        <v>594</v>
      </c>
      <c r="L167" t="s">
        <v>579</v>
      </c>
      <c r="M167" t="s">
        <v>95</v>
      </c>
      <c r="N167" t="s">
        <v>596</v>
      </c>
      <c r="O167">
        <v>132</v>
      </c>
      <c r="P167" s="7">
        <v>15064</v>
      </c>
      <c r="Q167">
        <v>0.11</v>
      </c>
      <c r="R167">
        <v>2.14</v>
      </c>
      <c r="S167" s="5">
        <f t="shared" si="3"/>
        <v>0.18082191780821918</v>
      </c>
      <c r="T167" t="s">
        <v>16</v>
      </c>
      <c r="U167" t="s">
        <v>16</v>
      </c>
    </row>
    <row r="168" spans="1:21" x14ac:dyDescent="0.3">
      <c r="A168" t="s">
        <v>27</v>
      </c>
      <c r="B168" t="s">
        <v>536</v>
      </c>
      <c r="C168">
        <v>143</v>
      </c>
      <c r="D168" t="s">
        <v>182</v>
      </c>
      <c r="E168" t="s">
        <v>45</v>
      </c>
      <c r="F168" s="3" t="s">
        <v>57</v>
      </c>
      <c r="G168">
        <v>20018</v>
      </c>
      <c r="H168" t="s">
        <v>219</v>
      </c>
      <c r="I168" t="s">
        <v>507</v>
      </c>
      <c r="J168" t="s">
        <v>95</v>
      </c>
      <c r="K168" t="s">
        <v>594</v>
      </c>
      <c r="L168" t="s">
        <v>579</v>
      </c>
      <c r="M168" t="s">
        <v>95</v>
      </c>
      <c r="N168" t="s">
        <v>597</v>
      </c>
      <c r="O168">
        <v>39</v>
      </c>
      <c r="P168" s="7">
        <v>4165</v>
      </c>
      <c r="Q168">
        <v>0.17</v>
      </c>
      <c r="R168">
        <v>2.06</v>
      </c>
      <c r="S168" s="5">
        <f t="shared" si="3"/>
        <v>5.3424657534246578E-2</v>
      </c>
      <c r="T168" t="s">
        <v>16</v>
      </c>
      <c r="U168" t="s">
        <v>16</v>
      </c>
    </row>
    <row r="169" spans="1:21" x14ac:dyDescent="0.3">
      <c r="A169" t="s">
        <v>27</v>
      </c>
      <c r="B169" t="s">
        <v>536</v>
      </c>
      <c r="C169">
        <v>143</v>
      </c>
      <c r="D169" t="s">
        <v>14</v>
      </c>
      <c r="E169" t="s">
        <v>570</v>
      </c>
      <c r="F169" s="3" t="s">
        <v>571</v>
      </c>
      <c r="G169">
        <v>20018</v>
      </c>
      <c r="H169" t="s">
        <v>219</v>
      </c>
      <c r="I169" t="s">
        <v>222</v>
      </c>
      <c r="J169" t="s">
        <v>95</v>
      </c>
      <c r="K169" t="s">
        <v>539</v>
      </c>
      <c r="L169" t="s">
        <v>572</v>
      </c>
      <c r="M169" t="s">
        <v>573</v>
      </c>
      <c r="N169" t="s">
        <v>95</v>
      </c>
      <c r="O169">
        <v>243</v>
      </c>
      <c r="P169" s="7">
        <v>6157</v>
      </c>
      <c r="Q169">
        <v>0.09</v>
      </c>
      <c r="R169">
        <v>1.25</v>
      </c>
      <c r="S169" s="5">
        <f t="shared" si="3"/>
        <v>0.33287671232876714</v>
      </c>
      <c r="T169" t="s">
        <v>16</v>
      </c>
      <c r="U169" t="s">
        <v>16</v>
      </c>
    </row>
    <row r="170" spans="1:21" x14ac:dyDescent="0.3">
      <c r="A170" t="s">
        <v>27</v>
      </c>
      <c r="B170" t="s">
        <v>536</v>
      </c>
      <c r="C170">
        <v>143</v>
      </c>
      <c r="D170" t="s">
        <v>14</v>
      </c>
      <c r="E170" t="s">
        <v>570</v>
      </c>
      <c r="F170" s="3" t="s">
        <v>571</v>
      </c>
      <c r="G170">
        <v>20018</v>
      </c>
      <c r="H170" t="s">
        <v>219</v>
      </c>
      <c r="I170" t="s">
        <v>220</v>
      </c>
      <c r="J170" t="s">
        <v>95</v>
      </c>
      <c r="K170" t="s">
        <v>575</v>
      </c>
      <c r="L170" t="s">
        <v>572</v>
      </c>
      <c r="M170" t="s">
        <v>574</v>
      </c>
      <c r="N170" t="s">
        <v>95</v>
      </c>
      <c r="O170">
        <v>178</v>
      </c>
      <c r="P170" s="7">
        <v>5703</v>
      </c>
      <c r="Q170">
        <v>0.11</v>
      </c>
      <c r="R170">
        <v>1.32</v>
      </c>
      <c r="S170" s="5">
        <f>O170/730</f>
        <v>0.24383561643835616</v>
      </c>
      <c r="T170" t="s">
        <v>16</v>
      </c>
      <c r="U170" t="s">
        <v>16</v>
      </c>
    </row>
    <row r="171" spans="1:21" x14ac:dyDescent="0.3">
      <c r="A171" t="s">
        <v>27</v>
      </c>
      <c r="B171" t="s">
        <v>536</v>
      </c>
      <c r="C171">
        <v>143</v>
      </c>
      <c r="D171" t="s">
        <v>14</v>
      </c>
      <c r="E171" t="s">
        <v>570</v>
      </c>
      <c r="F171" s="3" t="s">
        <v>598</v>
      </c>
      <c r="G171">
        <v>20018</v>
      </c>
      <c r="H171" t="s">
        <v>219</v>
      </c>
      <c r="I171" t="s">
        <v>225</v>
      </c>
      <c r="J171" t="s">
        <v>95</v>
      </c>
      <c r="K171" t="s">
        <v>95</v>
      </c>
      <c r="L171" t="s">
        <v>572</v>
      </c>
      <c r="M171" t="s">
        <v>574</v>
      </c>
      <c r="N171" t="s">
        <v>599</v>
      </c>
      <c r="O171">
        <v>37</v>
      </c>
      <c r="P171" s="7">
        <v>4166</v>
      </c>
      <c r="Q171">
        <v>0.16</v>
      </c>
      <c r="R171">
        <v>2.12</v>
      </c>
      <c r="S171" s="5">
        <f>O171/730</f>
        <v>5.0684931506849315E-2</v>
      </c>
      <c r="T171" t="s">
        <v>16</v>
      </c>
      <c r="U171" t="s">
        <v>16</v>
      </c>
    </row>
    <row r="172" spans="1:21" x14ac:dyDescent="0.3">
      <c r="A172" t="s">
        <v>27</v>
      </c>
      <c r="B172" t="s">
        <v>536</v>
      </c>
      <c r="C172">
        <v>143</v>
      </c>
      <c r="D172" t="s">
        <v>14</v>
      </c>
      <c r="E172" t="s">
        <v>570</v>
      </c>
      <c r="F172" s="3" t="s">
        <v>598</v>
      </c>
      <c r="G172">
        <v>20018</v>
      </c>
      <c r="H172" t="s">
        <v>219</v>
      </c>
      <c r="I172" t="s">
        <v>221</v>
      </c>
      <c r="J172" t="s">
        <v>95</v>
      </c>
      <c r="K172" t="s">
        <v>95</v>
      </c>
      <c r="L172" t="s">
        <v>600</v>
      </c>
      <c r="M172" t="s">
        <v>574</v>
      </c>
      <c r="N172" t="s">
        <v>477</v>
      </c>
      <c r="O172">
        <v>22</v>
      </c>
      <c r="P172" s="7">
        <v>3398</v>
      </c>
      <c r="Q172">
        <v>0.31</v>
      </c>
      <c r="R172">
        <v>2.54</v>
      </c>
      <c r="S172" s="5">
        <f>O172/730</f>
        <v>3.0136986301369864E-2</v>
      </c>
      <c r="T172" t="s">
        <v>16</v>
      </c>
      <c r="U172" t="s">
        <v>16</v>
      </c>
    </row>
    <row r="173" spans="1:21" x14ac:dyDescent="0.3">
      <c r="A173" t="s">
        <v>27</v>
      </c>
      <c r="B173" t="s">
        <v>536</v>
      </c>
      <c r="C173">
        <v>143</v>
      </c>
      <c r="D173" t="s">
        <v>14</v>
      </c>
      <c r="E173" t="s">
        <v>570</v>
      </c>
      <c r="F173" s="3" t="s">
        <v>601</v>
      </c>
      <c r="G173">
        <v>20018</v>
      </c>
      <c r="H173" t="s">
        <v>219</v>
      </c>
      <c r="I173" t="s">
        <v>591</v>
      </c>
      <c r="J173" t="s">
        <v>95</v>
      </c>
      <c r="K173" t="s">
        <v>95</v>
      </c>
      <c r="L173" t="s">
        <v>95</v>
      </c>
      <c r="M173" t="s">
        <v>602</v>
      </c>
      <c r="N173" t="s">
        <v>477</v>
      </c>
      <c r="O173">
        <v>56</v>
      </c>
      <c r="P173" s="7">
        <v>6858</v>
      </c>
      <c r="Q173">
        <v>0.14000000000000001</v>
      </c>
      <c r="R173">
        <v>2.2200000000000002</v>
      </c>
      <c r="S173" s="5">
        <f>O173/730</f>
        <v>7.6712328767123292E-2</v>
      </c>
      <c r="T173" t="s">
        <v>16</v>
      </c>
      <c r="U173" t="s">
        <v>16</v>
      </c>
    </row>
    <row r="174" spans="1:21" x14ac:dyDescent="0.3">
      <c r="A174" t="s">
        <v>27</v>
      </c>
      <c r="B174" t="s">
        <v>536</v>
      </c>
      <c r="C174">
        <v>143</v>
      </c>
      <c r="D174" t="s">
        <v>14</v>
      </c>
      <c r="E174" t="s">
        <v>570</v>
      </c>
      <c r="F174" s="3" t="s">
        <v>601</v>
      </c>
      <c r="G174">
        <v>20018</v>
      </c>
      <c r="H174" t="s">
        <v>219</v>
      </c>
      <c r="I174" t="s">
        <v>222</v>
      </c>
      <c r="J174" t="s">
        <v>603</v>
      </c>
      <c r="K174" t="s">
        <v>95</v>
      </c>
      <c r="L174" t="s">
        <v>95</v>
      </c>
      <c r="M174" t="s">
        <v>477</v>
      </c>
      <c r="N174" t="s">
        <v>477</v>
      </c>
      <c r="O174">
        <v>172</v>
      </c>
      <c r="P174" s="7">
        <v>7297</v>
      </c>
      <c r="Q174">
        <v>0.26</v>
      </c>
      <c r="R174">
        <v>1.42</v>
      </c>
      <c r="S174" s="5">
        <f>O174/730</f>
        <v>0.23561643835616439</v>
      </c>
      <c r="T174" t="s">
        <v>16</v>
      </c>
      <c r="U174" t="s">
        <v>16</v>
      </c>
    </row>
    <row r="175" spans="1:21" x14ac:dyDescent="0.3">
      <c r="A175" t="s">
        <v>27</v>
      </c>
      <c r="B175" t="s">
        <v>536</v>
      </c>
      <c r="C175">
        <v>143</v>
      </c>
      <c r="D175" t="s">
        <v>14</v>
      </c>
      <c r="E175" t="s">
        <v>570</v>
      </c>
      <c r="F175" s="3" t="s">
        <v>601</v>
      </c>
      <c r="G175">
        <v>20018</v>
      </c>
      <c r="H175" t="s">
        <v>219</v>
      </c>
      <c r="I175" t="s">
        <v>220</v>
      </c>
      <c r="J175" t="s">
        <v>477</v>
      </c>
      <c r="K175" t="s">
        <v>95</v>
      </c>
      <c r="L175" t="s">
        <v>95</v>
      </c>
      <c r="M175" t="s">
        <v>604</v>
      </c>
      <c r="N175" t="s">
        <v>477</v>
      </c>
      <c r="O175">
        <v>128</v>
      </c>
      <c r="P175" s="7">
        <v>4286</v>
      </c>
      <c r="Q175">
        <v>0.08</v>
      </c>
      <c r="R175">
        <v>1.33</v>
      </c>
      <c r="S175" s="5">
        <f>O175/730</f>
        <v>0.17534246575342466</v>
      </c>
      <c r="T175" t="s">
        <v>16</v>
      </c>
      <c r="U175" t="s">
        <v>16</v>
      </c>
    </row>
    <row r="176" spans="1:21" x14ac:dyDescent="0.3">
      <c r="A176" t="s">
        <v>27</v>
      </c>
      <c r="B176" t="s">
        <v>536</v>
      </c>
      <c r="C176">
        <v>143</v>
      </c>
      <c r="D176" t="s">
        <v>14</v>
      </c>
      <c r="E176" t="s">
        <v>570</v>
      </c>
      <c r="F176" s="3" t="s">
        <v>601</v>
      </c>
      <c r="G176">
        <v>20018</v>
      </c>
      <c r="H176" t="s">
        <v>219</v>
      </c>
      <c r="I176" t="s">
        <v>605</v>
      </c>
      <c r="J176" t="s">
        <v>477</v>
      </c>
      <c r="K176" t="s">
        <v>95</v>
      </c>
      <c r="L176" t="s">
        <v>95</v>
      </c>
      <c r="M176" t="s">
        <v>95</v>
      </c>
      <c r="N176" t="s">
        <v>606</v>
      </c>
      <c r="O176">
        <v>65</v>
      </c>
      <c r="P176" s="7">
        <v>5284</v>
      </c>
      <c r="Q176">
        <v>0.18</v>
      </c>
      <c r="R176">
        <v>1.81</v>
      </c>
      <c r="S176" s="5">
        <f>O176/730</f>
        <v>8.9041095890410954E-2</v>
      </c>
      <c r="T176" t="s">
        <v>16</v>
      </c>
      <c r="U176" t="s">
        <v>16</v>
      </c>
    </row>
    <row r="177" spans="1:21" x14ac:dyDescent="0.3">
      <c r="A177" t="s">
        <v>27</v>
      </c>
      <c r="B177" t="s">
        <v>536</v>
      </c>
      <c r="C177">
        <v>143</v>
      </c>
      <c r="D177" t="s">
        <v>14</v>
      </c>
      <c r="E177" t="s">
        <v>570</v>
      </c>
      <c r="F177" s="3" t="s">
        <v>607</v>
      </c>
      <c r="G177">
        <v>20018</v>
      </c>
      <c r="H177" t="s">
        <v>219</v>
      </c>
      <c r="I177" t="s">
        <v>608</v>
      </c>
      <c r="J177" t="s">
        <v>477</v>
      </c>
      <c r="K177" t="s">
        <v>95</v>
      </c>
      <c r="L177" t="s">
        <v>95</v>
      </c>
      <c r="M177" t="s">
        <v>609</v>
      </c>
      <c r="N177" t="s">
        <v>95</v>
      </c>
      <c r="O177">
        <v>376</v>
      </c>
      <c r="P177" s="7">
        <v>12066</v>
      </c>
      <c r="Q177">
        <v>0.11</v>
      </c>
      <c r="R177">
        <v>1.32</v>
      </c>
      <c r="S177" s="5">
        <f>O177/730</f>
        <v>0.51506849315068493</v>
      </c>
      <c r="T177" t="s">
        <v>16</v>
      </c>
      <c r="U177" t="s">
        <v>16</v>
      </c>
    </row>
    <row r="178" spans="1:21" x14ac:dyDescent="0.3">
      <c r="A178" t="s">
        <v>27</v>
      </c>
      <c r="B178" t="s">
        <v>536</v>
      </c>
      <c r="C178">
        <v>143</v>
      </c>
      <c r="D178" t="s">
        <v>14</v>
      </c>
      <c r="E178" t="s">
        <v>570</v>
      </c>
      <c r="F178" s="3" t="s">
        <v>607</v>
      </c>
      <c r="G178">
        <v>20018</v>
      </c>
      <c r="H178" t="s">
        <v>219</v>
      </c>
      <c r="I178" t="s">
        <v>220</v>
      </c>
      <c r="J178" t="s">
        <v>477</v>
      </c>
      <c r="K178" t="s">
        <v>610</v>
      </c>
      <c r="L178" t="s">
        <v>95</v>
      </c>
      <c r="M178" t="s">
        <v>95</v>
      </c>
      <c r="N178" t="s">
        <v>95</v>
      </c>
      <c r="O178">
        <v>39</v>
      </c>
      <c r="P178" s="7">
        <v>6729</v>
      </c>
      <c r="Q178">
        <v>7.0000000000000007E-2</v>
      </c>
      <c r="R178">
        <v>2.72</v>
      </c>
      <c r="S178" s="5">
        <f>O178/730</f>
        <v>5.3424657534246578E-2</v>
      </c>
      <c r="T178" t="s">
        <v>16</v>
      </c>
      <c r="U178" t="s">
        <v>16</v>
      </c>
    </row>
    <row r="179" spans="1:21" x14ac:dyDescent="0.3">
      <c r="A179" t="s">
        <v>27</v>
      </c>
      <c r="B179" t="s">
        <v>536</v>
      </c>
      <c r="C179">
        <v>143</v>
      </c>
      <c r="D179" t="s">
        <v>14</v>
      </c>
      <c r="E179" t="s">
        <v>570</v>
      </c>
      <c r="F179" s="3" t="s">
        <v>607</v>
      </c>
      <c r="G179">
        <v>20018</v>
      </c>
      <c r="H179" t="s">
        <v>219</v>
      </c>
      <c r="I179" t="s">
        <v>221</v>
      </c>
      <c r="J179" t="s">
        <v>477</v>
      </c>
      <c r="K179" t="s">
        <v>95</v>
      </c>
      <c r="L179" t="s">
        <v>95</v>
      </c>
      <c r="M179" t="s">
        <v>611</v>
      </c>
      <c r="N179" t="s">
        <v>95</v>
      </c>
      <c r="O179">
        <v>21</v>
      </c>
      <c r="P179" s="7">
        <v>2485</v>
      </c>
      <c r="Q179">
        <v>0.52</v>
      </c>
      <c r="R179">
        <v>2.1800000000000002</v>
      </c>
      <c r="S179" s="5">
        <f>O179/730</f>
        <v>2.8767123287671233E-2</v>
      </c>
      <c r="T179" t="s">
        <v>16</v>
      </c>
      <c r="U179" t="s">
        <v>16</v>
      </c>
    </row>
    <row r="180" spans="1:21" x14ac:dyDescent="0.3">
      <c r="A180" t="s">
        <v>27</v>
      </c>
      <c r="B180" t="s">
        <v>536</v>
      </c>
      <c r="C180">
        <v>143</v>
      </c>
      <c r="D180" t="s">
        <v>14</v>
      </c>
      <c r="E180" t="s">
        <v>570</v>
      </c>
      <c r="F180" s="3" t="s">
        <v>612</v>
      </c>
      <c r="G180">
        <v>20018</v>
      </c>
      <c r="H180" t="s">
        <v>219</v>
      </c>
      <c r="I180" t="s">
        <v>507</v>
      </c>
      <c r="J180" t="s">
        <v>477</v>
      </c>
      <c r="K180" t="s">
        <v>613</v>
      </c>
      <c r="L180" t="s">
        <v>95</v>
      </c>
      <c r="M180" t="s">
        <v>95</v>
      </c>
      <c r="N180" t="s">
        <v>95</v>
      </c>
      <c r="O180">
        <v>276</v>
      </c>
      <c r="P180" s="7">
        <v>4208</v>
      </c>
      <c r="Q180">
        <v>0.1</v>
      </c>
      <c r="R180">
        <v>1.1499999999999999</v>
      </c>
      <c r="S180" s="5">
        <f>O180/730</f>
        <v>0.37808219178082192</v>
      </c>
      <c r="T180" t="s">
        <v>16</v>
      </c>
      <c r="U180" t="s">
        <v>16</v>
      </c>
    </row>
    <row r="181" spans="1:21" x14ac:dyDescent="0.3">
      <c r="A181" t="s">
        <v>27</v>
      </c>
      <c r="B181" t="s">
        <v>536</v>
      </c>
      <c r="C181">
        <v>143</v>
      </c>
      <c r="D181" t="s">
        <v>14</v>
      </c>
      <c r="E181" t="s">
        <v>570</v>
      </c>
      <c r="F181" s="3" t="s">
        <v>612</v>
      </c>
      <c r="G181">
        <v>20018</v>
      </c>
      <c r="H181" t="s">
        <v>219</v>
      </c>
      <c r="I181" t="s">
        <v>220</v>
      </c>
      <c r="J181" t="s">
        <v>477</v>
      </c>
      <c r="K181" t="s">
        <v>344</v>
      </c>
      <c r="L181" t="s">
        <v>614</v>
      </c>
      <c r="M181" t="s">
        <v>95</v>
      </c>
      <c r="N181" t="s">
        <v>95</v>
      </c>
      <c r="O181">
        <v>71</v>
      </c>
      <c r="P181" s="7">
        <v>5545</v>
      </c>
      <c r="Q181">
        <v>0.11</v>
      </c>
      <c r="R181">
        <v>1.78</v>
      </c>
      <c r="S181" s="5">
        <f>O181/730</f>
        <v>9.7260273972602743E-2</v>
      </c>
      <c r="T181" t="s">
        <v>16</v>
      </c>
      <c r="U181" t="s">
        <v>16</v>
      </c>
    </row>
    <row r="182" spans="1:21" x14ac:dyDescent="0.3">
      <c r="A182" t="s">
        <v>27</v>
      </c>
      <c r="B182" t="s">
        <v>536</v>
      </c>
      <c r="C182">
        <v>143</v>
      </c>
      <c r="D182" t="s">
        <v>14</v>
      </c>
      <c r="E182" t="s">
        <v>570</v>
      </c>
      <c r="F182" s="3" t="s">
        <v>615</v>
      </c>
      <c r="G182">
        <v>20018</v>
      </c>
      <c r="H182" t="s">
        <v>219</v>
      </c>
      <c r="I182" t="s">
        <v>591</v>
      </c>
      <c r="J182" t="s">
        <v>477</v>
      </c>
      <c r="K182" t="s">
        <v>344</v>
      </c>
      <c r="L182" t="s">
        <v>95</v>
      </c>
      <c r="M182" t="s">
        <v>616</v>
      </c>
      <c r="N182" t="s">
        <v>95</v>
      </c>
      <c r="O182">
        <v>338</v>
      </c>
      <c r="P182" s="7">
        <v>5074</v>
      </c>
      <c r="Q182">
        <v>0.12</v>
      </c>
      <c r="R182">
        <v>1.1499999999999999</v>
      </c>
      <c r="S182" s="5">
        <f>O182/730</f>
        <v>0.46301369863013697</v>
      </c>
      <c r="T182" t="s">
        <v>16</v>
      </c>
      <c r="U182" t="s">
        <v>16</v>
      </c>
    </row>
    <row r="183" spans="1:21" x14ac:dyDescent="0.3">
      <c r="A183" t="s">
        <v>27</v>
      </c>
      <c r="B183" t="s">
        <v>536</v>
      </c>
      <c r="C183">
        <v>143</v>
      </c>
      <c r="D183" t="s">
        <v>14</v>
      </c>
      <c r="E183" t="s">
        <v>570</v>
      </c>
      <c r="F183" s="3" t="s">
        <v>615</v>
      </c>
      <c r="G183">
        <v>20018</v>
      </c>
      <c r="H183" t="s">
        <v>219</v>
      </c>
      <c r="I183" t="s">
        <v>617</v>
      </c>
      <c r="J183" t="s">
        <v>477</v>
      </c>
      <c r="K183" t="s">
        <v>344</v>
      </c>
      <c r="L183" t="s">
        <v>618</v>
      </c>
      <c r="M183" t="s">
        <v>95</v>
      </c>
      <c r="N183" t="s">
        <v>95</v>
      </c>
      <c r="O183">
        <v>541</v>
      </c>
      <c r="P183" s="7">
        <v>7244</v>
      </c>
      <c r="Q183">
        <v>0.11</v>
      </c>
      <c r="R183">
        <v>1.1299999999999999</v>
      </c>
      <c r="S183" s="5">
        <f>O183/730</f>
        <v>0.74109589041095891</v>
      </c>
      <c r="T183" t="s">
        <v>16</v>
      </c>
      <c r="U183" t="s">
        <v>16</v>
      </c>
    </row>
    <row r="184" spans="1:21" x14ac:dyDescent="0.3">
      <c r="A184" t="s">
        <v>27</v>
      </c>
      <c r="B184" t="s">
        <v>536</v>
      </c>
      <c r="C184">
        <v>143</v>
      </c>
      <c r="D184" t="s">
        <v>14</v>
      </c>
      <c r="E184" t="s">
        <v>570</v>
      </c>
      <c r="F184" s="3" t="s">
        <v>615</v>
      </c>
      <c r="G184">
        <v>20018</v>
      </c>
      <c r="H184" t="s">
        <v>219</v>
      </c>
      <c r="I184" t="s">
        <v>221</v>
      </c>
      <c r="J184" t="s">
        <v>477</v>
      </c>
      <c r="K184" t="s">
        <v>344</v>
      </c>
      <c r="L184" t="s">
        <v>619</v>
      </c>
      <c r="M184" t="s">
        <v>95</v>
      </c>
      <c r="N184" t="s">
        <v>95</v>
      </c>
      <c r="O184">
        <v>35</v>
      </c>
      <c r="P184" s="7">
        <v>3509</v>
      </c>
      <c r="Q184">
        <v>0.2</v>
      </c>
      <c r="R184">
        <v>2</v>
      </c>
      <c r="S184" s="5">
        <f>O184/730</f>
        <v>4.7945205479452052E-2</v>
      </c>
      <c r="T184" t="s">
        <v>16</v>
      </c>
      <c r="U184" t="s">
        <v>16</v>
      </c>
    </row>
    <row r="185" spans="1:21" x14ac:dyDescent="0.3">
      <c r="A185" t="s">
        <v>27</v>
      </c>
      <c r="B185" t="s">
        <v>536</v>
      </c>
      <c r="C185">
        <v>143</v>
      </c>
      <c r="D185" t="s">
        <v>14</v>
      </c>
      <c r="E185" t="s">
        <v>570</v>
      </c>
      <c r="F185" s="3" t="s">
        <v>620</v>
      </c>
      <c r="G185">
        <v>20018</v>
      </c>
      <c r="H185" t="s">
        <v>219</v>
      </c>
      <c r="I185" t="s">
        <v>591</v>
      </c>
      <c r="J185" t="s">
        <v>477</v>
      </c>
      <c r="K185" t="s">
        <v>344</v>
      </c>
      <c r="L185" t="s">
        <v>95</v>
      </c>
      <c r="M185" t="s">
        <v>95</v>
      </c>
      <c r="N185" t="s">
        <v>349</v>
      </c>
      <c r="O185">
        <v>175</v>
      </c>
      <c r="P185" s="7">
        <v>3931</v>
      </c>
      <c r="Q185">
        <v>0.13</v>
      </c>
      <c r="R185">
        <v>1.22</v>
      </c>
      <c r="S185" s="5">
        <f>O185/730</f>
        <v>0.23972602739726026</v>
      </c>
      <c r="T185" t="s">
        <v>16</v>
      </c>
      <c r="U185" t="s">
        <v>16</v>
      </c>
    </row>
    <row r="186" spans="1:21" x14ac:dyDescent="0.3">
      <c r="A186" t="s">
        <v>27</v>
      </c>
      <c r="B186" t="s">
        <v>536</v>
      </c>
      <c r="C186">
        <v>143</v>
      </c>
      <c r="D186" t="s">
        <v>14</v>
      </c>
      <c r="E186" t="s">
        <v>570</v>
      </c>
      <c r="F186" s="3" t="s">
        <v>620</v>
      </c>
      <c r="G186">
        <v>20018</v>
      </c>
      <c r="H186" t="s">
        <v>219</v>
      </c>
      <c r="I186" t="s">
        <v>222</v>
      </c>
      <c r="J186" t="s">
        <v>477</v>
      </c>
      <c r="K186" t="s">
        <v>621</v>
      </c>
      <c r="L186" t="s">
        <v>95</v>
      </c>
      <c r="M186" t="s">
        <v>95</v>
      </c>
      <c r="N186" t="s">
        <v>95</v>
      </c>
      <c r="O186">
        <v>326</v>
      </c>
      <c r="P186" s="7">
        <v>13996</v>
      </c>
      <c r="Q186">
        <v>0.12</v>
      </c>
      <c r="R186">
        <v>1.42</v>
      </c>
      <c r="S186" s="5">
        <f>O186/730</f>
        <v>0.44657534246575342</v>
      </c>
      <c r="T186" t="s">
        <v>16</v>
      </c>
      <c r="U186" t="s">
        <v>16</v>
      </c>
    </row>
    <row r="187" spans="1:21" x14ac:dyDescent="0.3">
      <c r="A187" t="s">
        <v>27</v>
      </c>
      <c r="B187" t="s">
        <v>536</v>
      </c>
      <c r="C187">
        <v>143</v>
      </c>
      <c r="D187" t="s">
        <v>14</v>
      </c>
      <c r="E187" t="s">
        <v>570</v>
      </c>
      <c r="F187" s="3" t="s">
        <v>622</v>
      </c>
      <c r="G187">
        <v>20018</v>
      </c>
      <c r="H187" t="s">
        <v>219</v>
      </c>
      <c r="I187" t="s">
        <v>623</v>
      </c>
      <c r="J187" t="s">
        <v>624</v>
      </c>
      <c r="K187" t="s">
        <v>449</v>
      </c>
      <c r="L187" t="s">
        <v>95</v>
      </c>
      <c r="M187" t="s">
        <v>95</v>
      </c>
      <c r="N187" t="s">
        <v>95</v>
      </c>
      <c r="O187">
        <v>372</v>
      </c>
      <c r="P187" s="7">
        <v>4317</v>
      </c>
      <c r="Q187">
        <v>0.14000000000000001</v>
      </c>
      <c r="R187">
        <v>1.1100000000000001</v>
      </c>
      <c r="S187" s="5">
        <f>O187/730</f>
        <v>0.50958904109589043</v>
      </c>
      <c r="T187" t="s">
        <v>16</v>
      </c>
      <c r="U187" t="s">
        <v>16</v>
      </c>
    </row>
    <row r="188" spans="1:21" x14ac:dyDescent="0.3">
      <c r="A188" t="s">
        <v>27</v>
      </c>
      <c r="B188" t="s">
        <v>536</v>
      </c>
      <c r="C188">
        <v>143</v>
      </c>
      <c r="D188" t="s">
        <v>14</v>
      </c>
      <c r="E188" t="s">
        <v>570</v>
      </c>
      <c r="F188" s="3" t="s">
        <v>622</v>
      </c>
      <c r="G188">
        <v>20018</v>
      </c>
      <c r="H188" t="s">
        <v>219</v>
      </c>
      <c r="I188" t="s">
        <v>221</v>
      </c>
      <c r="J188" t="s">
        <v>387</v>
      </c>
      <c r="K188" t="s">
        <v>449</v>
      </c>
      <c r="L188" t="s">
        <v>95</v>
      </c>
      <c r="M188" t="s">
        <v>95</v>
      </c>
      <c r="N188" t="s">
        <v>625</v>
      </c>
      <c r="O188">
        <v>20</v>
      </c>
      <c r="P188" s="7">
        <v>1600</v>
      </c>
      <c r="Q188">
        <v>0.2</v>
      </c>
      <c r="R188">
        <v>1.1000000000000001</v>
      </c>
      <c r="S188" s="5">
        <f>O188/730</f>
        <v>2.7397260273972601E-2</v>
      </c>
      <c r="T188" t="s">
        <v>16</v>
      </c>
      <c r="U188" t="s">
        <v>16</v>
      </c>
    </row>
    <row r="189" spans="1:21" x14ac:dyDescent="0.3">
      <c r="A189" t="s">
        <v>27</v>
      </c>
      <c r="B189" t="s">
        <v>536</v>
      </c>
      <c r="C189">
        <v>143</v>
      </c>
      <c r="D189" t="s">
        <v>14</v>
      </c>
      <c r="E189" t="s">
        <v>570</v>
      </c>
      <c r="F189" s="3" t="s">
        <v>626</v>
      </c>
      <c r="G189">
        <v>20018</v>
      </c>
      <c r="H189" t="s">
        <v>219</v>
      </c>
      <c r="I189" t="s">
        <v>507</v>
      </c>
      <c r="J189" t="s">
        <v>387</v>
      </c>
      <c r="K189" t="s">
        <v>449</v>
      </c>
      <c r="L189" t="s">
        <v>628</v>
      </c>
      <c r="M189" t="s">
        <v>95</v>
      </c>
      <c r="N189" t="s">
        <v>627</v>
      </c>
      <c r="O189">
        <v>338</v>
      </c>
      <c r="P189" s="7">
        <v>7156</v>
      </c>
      <c r="Q189">
        <v>0.12</v>
      </c>
      <c r="R189">
        <v>1.21</v>
      </c>
      <c r="S189" s="5">
        <f>O189/730</f>
        <v>0.46301369863013697</v>
      </c>
      <c r="T189" t="s">
        <v>16</v>
      </c>
      <c r="U189" t="s">
        <v>16</v>
      </c>
    </row>
    <row r="190" spans="1:21" x14ac:dyDescent="0.3">
      <c r="A190" t="s">
        <v>27</v>
      </c>
      <c r="B190" t="s">
        <v>536</v>
      </c>
      <c r="C190">
        <v>143</v>
      </c>
      <c r="D190" t="s">
        <v>14</v>
      </c>
      <c r="E190" t="s">
        <v>570</v>
      </c>
      <c r="F190" s="3" t="s">
        <v>626</v>
      </c>
      <c r="G190">
        <v>20018</v>
      </c>
      <c r="H190" t="s">
        <v>219</v>
      </c>
      <c r="I190" t="s">
        <v>605</v>
      </c>
      <c r="J190" t="s">
        <v>629</v>
      </c>
      <c r="K190" t="s">
        <v>449</v>
      </c>
      <c r="L190" t="s">
        <v>95</v>
      </c>
      <c r="M190" t="s">
        <v>95</v>
      </c>
      <c r="N190" t="s">
        <v>627</v>
      </c>
      <c r="O190">
        <v>22</v>
      </c>
      <c r="P190" s="7">
        <v>1890</v>
      </c>
      <c r="Q190">
        <v>0.18</v>
      </c>
      <c r="R190">
        <v>1.85</v>
      </c>
      <c r="S190" s="5">
        <f>O190/730</f>
        <v>3.0136986301369864E-2</v>
      </c>
      <c r="T190" t="s">
        <v>16</v>
      </c>
      <c r="U190" t="s">
        <v>16</v>
      </c>
    </row>
    <row r="191" spans="1:21" x14ac:dyDescent="0.3">
      <c r="A191" t="s">
        <v>27</v>
      </c>
      <c r="B191" t="s">
        <v>536</v>
      </c>
      <c r="C191">
        <v>143</v>
      </c>
      <c r="D191" t="s">
        <v>14</v>
      </c>
      <c r="E191" t="s">
        <v>570</v>
      </c>
      <c r="F191" s="3" t="s">
        <v>196</v>
      </c>
      <c r="G191">
        <v>20018</v>
      </c>
      <c r="H191" t="s">
        <v>219</v>
      </c>
      <c r="I191" t="s">
        <v>630</v>
      </c>
      <c r="J191" t="s">
        <v>95</v>
      </c>
      <c r="K191" t="s">
        <v>449</v>
      </c>
      <c r="L191" t="s">
        <v>631</v>
      </c>
      <c r="M191" t="s">
        <v>95</v>
      </c>
      <c r="N191" t="s">
        <v>627</v>
      </c>
      <c r="O191">
        <v>84</v>
      </c>
      <c r="P191" s="7">
        <v>8864</v>
      </c>
      <c r="Q191">
        <v>0.14000000000000001</v>
      </c>
      <c r="R191">
        <v>2.0499999999999998</v>
      </c>
      <c r="S191" s="5">
        <f>O191/730</f>
        <v>0.11506849315068493</v>
      </c>
      <c r="T191" t="s">
        <v>16</v>
      </c>
      <c r="U191" t="s">
        <v>16</v>
      </c>
    </row>
    <row r="192" spans="1:21" x14ac:dyDescent="0.3">
      <c r="A192" t="s">
        <v>27</v>
      </c>
      <c r="B192" t="s">
        <v>536</v>
      </c>
      <c r="C192">
        <v>143</v>
      </c>
      <c r="D192" t="s">
        <v>14</v>
      </c>
      <c r="E192" t="s">
        <v>570</v>
      </c>
      <c r="F192" s="3" t="s">
        <v>196</v>
      </c>
      <c r="G192">
        <v>20018</v>
      </c>
      <c r="H192" t="s">
        <v>219</v>
      </c>
      <c r="I192" t="s">
        <v>632</v>
      </c>
      <c r="J192" t="s">
        <v>95</v>
      </c>
      <c r="K192" t="s">
        <v>449</v>
      </c>
      <c r="L192" t="s">
        <v>95</v>
      </c>
      <c r="M192" t="s">
        <v>95</v>
      </c>
      <c r="N192" t="s">
        <v>633</v>
      </c>
      <c r="O192">
        <v>113</v>
      </c>
      <c r="P192" s="7">
        <v>9517</v>
      </c>
      <c r="Q192">
        <v>0.11</v>
      </c>
      <c r="R192">
        <v>1.84</v>
      </c>
      <c r="S192" s="5">
        <f>O192/730</f>
        <v>0.15479452054794521</v>
      </c>
      <c r="T192" t="s">
        <v>16</v>
      </c>
      <c r="U192" t="s">
        <v>16</v>
      </c>
    </row>
    <row r="193" spans="1:21" x14ac:dyDescent="0.3">
      <c r="A193" t="s">
        <v>27</v>
      </c>
      <c r="B193" t="s">
        <v>536</v>
      </c>
      <c r="C193">
        <v>143</v>
      </c>
      <c r="D193" t="s">
        <v>14</v>
      </c>
      <c r="E193" t="s">
        <v>570</v>
      </c>
      <c r="F193" s="3" t="s">
        <v>634</v>
      </c>
      <c r="G193">
        <v>20018</v>
      </c>
      <c r="H193" t="s">
        <v>219</v>
      </c>
      <c r="I193" t="s">
        <v>632</v>
      </c>
      <c r="J193" t="s">
        <v>95</v>
      </c>
      <c r="K193" t="s">
        <v>635</v>
      </c>
      <c r="L193" t="s">
        <v>95</v>
      </c>
      <c r="M193" t="s">
        <v>95</v>
      </c>
      <c r="N193" t="s">
        <v>95</v>
      </c>
      <c r="O193">
        <v>98</v>
      </c>
      <c r="P193" s="7">
        <v>7408</v>
      </c>
      <c r="Q193">
        <v>0.09</v>
      </c>
      <c r="R193">
        <v>1.75</v>
      </c>
      <c r="S193" s="5">
        <f>O193/730</f>
        <v>0.13424657534246576</v>
      </c>
      <c r="T193" t="s">
        <v>16</v>
      </c>
      <c r="U193" t="s">
        <v>16</v>
      </c>
    </row>
    <row r="194" spans="1:21" x14ac:dyDescent="0.3">
      <c r="A194" t="s">
        <v>27</v>
      </c>
      <c r="B194" t="s">
        <v>536</v>
      </c>
      <c r="C194">
        <v>143</v>
      </c>
      <c r="D194" t="s">
        <v>14</v>
      </c>
      <c r="E194" t="s">
        <v>570</v>
      </c>
      <c r="F194" s="3" t="s">
        <v>636</v>
      </c>
      <c r="G194">
        <v>20018</v>
      </c>
      <c r="H194" t="s">
        <v>219</v>
      </c>
      <c r="I194" t="s">
        <v>632</v>
      </c>
      <c r="J194" t="s">
        <v>95</v>
      </c>
      <c r="K194" t="s">
        <v>95</v>
      </c>
      <c r="L194" t="s">
        <v>637</v>
      </c>
      <c r="M194" t="s">
        <v>95</v>
      </c>
      <c r="N194" t="s">
        <v>95</v>
      </c>
      <c r="O194">
        <v>45</v>
      </c>
      <c r="P194" s="7">
        <v>4937</v>
      </c>
      <c r="Q194">
        <v>0.13</v>
      </c>
      <c r="R194">
        <v>2.09</v>
      </c>
      <c r="S194" s="5">
        <f>O194/730</f>
        <v>6.1643835616438353E-2</v>
      </c>
      <c r="T194" t="s">
        <v>16</v>
      </c>
      <c r="U194" t="s">
        <v>16</v>
      </c>
    </row>
    <row r="195" spans="1:21" x14ac:dyDescent="0.3">
      <c r="A195" t="s">
        <v>27</v>
      </c>
      <c r="B195" t="s">
        <v>642</v>
      </c>
      <c r="C195">
        <v>143</v>
      </c>
      <c r="D195" t="s">
        <v>14</v>
      </c>
      <c r="E195" t="s">
        <v>570</v>
      </c>
      <c r="F195" s="3" t="s">
        <v>638</v>
      </c>
      <c r="G195">
        <v>20018</v>
      </c>
      <c r="H195" t="s">
        <v>219</v>
      </c>
      <c r="I195" t="s">
        <v>220</v>
      </c>
      <c r="J195" t="s">
        <v>641</v>
      </c>
      <c r="K195" t="s">
        <v>95</v>
      </c>
      <c r="L195" t="s">
        <v>95</v>
      </c>
      <c r="M195" t="s">
        <v>640</v>
      </c>
      <c r="N195" t="s">
        <v>95</v>
      </c>
      <c r="O195">
        <v>51</v>
      </c>
      <c r="P195" s="7">
        <v>3988</v>
      </c>
      <c r="Q195">
        <v>0.13</v>
      </c>
      <c r="R195">
        <v>1.78</v>
      </c>
      <c r="S195" s="5">
        <f>O195/730</f>
        <v>6.9863013698630141E-2</v>
      </c>
      <c r="T195" t="s">
        <v>16</v>
      </c>
      <c r="U195" t="s">
        <v>16</v>
      </c>
    </row>
    <row r="196" spans="1:21" x14ac:dyDescent="0.3">
      <c r="A196" t="s">
        <v>27</v>
      </c>
      <c r="B196" t="s">
        <v>68</v>
      </c>
      <c r="C196">
        <v>143</v>
      </c>
      <c r="D196" t="s">
        <v>14</v>
      </c>
      <c r="E196" t="s">
        <v>570</v>
      </c>
      <c r="F196" s="3" t="s">
        <v>198</v>
      </c>
      <c r="G196">
        <v>20018</v>
      </c>
      <c r="H196" t="s">
        <v>219</v>
      </c>
      <c r="I196" t="s">
        <v>630</v>
      </c>
      <c r="J196" t="s">
        <v>640</v>
      </c>
      <c r="K196" t="s">
        <v>95</v>
      </c>
      <c r="L196" t="s">
        <v>643</v>
      </c>
      <c r="M196" t="s">
        <v>640</v>
      </c>
      <c r="N196" t="s">
        <v>95</v>
      </c>
      <c r="O196">
        <v>60</v>
      </c>
      <c r="P196" s="7">
        <v>3414</v>
      </c>
      <c r="Q196">
        <v>0.18</v>
      </c>
      <c r="R196">
        <v>1.56</v>
      </c>
      <c r="S196" s="5">
        <f>O196/730</f>
        <v>8.2191780821917804E-2</v>
      </c>
      <c r="T196" t="s">
        <v>16</v>
      </c>
      <c r="U196" t="s">
        <v>16</v>
      </c>
    </row>
    <row r="197" spans="1:21" x14ac:dyDescent="0.3">
      <c r="A197" t="s">
        <v>27</v>
      </c>
      <c r="B197" t="s">
        <v>68</v>
      </c>
      <c r="C197">
        <v>143</v>
      </c>
      <c r="D197" t="s">
        <v>14</v>
      </c>
      <c r="E197" t="s">
        <v>570</v>
      </c>
      <c r="F197" s="3" t="s">
        <v>198</v>
      </c>
      <c r="G197">
        <v>20018</v>
      </c>
      <c r="H197" t="s">
        <v>219</v>
      </c>
      <c r="I197" t="s">
        <v>644</v>
      </c>
      <c r="J197" t="s">
        <v>640</v>
      </c>
      <c r="K197" t="s">
        <v>645</v>
      </c>
      <c r="L197" t="s">
        <v>95</v>
      </c>
      <c r="M197" t="s">
        <v>640</v>
      </c>
      <c r="N197" t="s">
        <v>95</v>
      </c>
      <c r="O197">
        <v>242</v>
      </c>
      <c r="P197" s="7">
        <v>8553</v>
      </c>
      <c r="Q197">
        <v>0.16</v>
      </c>
      <c r="R197">
        <v>1.35</v>
      </c>
      <c r="S197" s="5">
        <f>O197/730</f>
        <v>0.33150684931506852</v>
      </c>
      <c r="T197" t="s">
        <v>16</v>
      </c>
      <c r="U197" t="s">
        <v>16</v>
      </c>
    </row>
    <row r="198" spans="1:21" x14ac:dyDescent="0.3">
      <c r="A198" t="s">
        <v>27</v>
      </c>
      <c r="B198" t="s">
        <v>68</v>
      </c>
      <c r="C198">
        <v>143</v>
      </c>
      <c r="D198" t="s">
        <v>14</v>
      </c>
      <c r="E198" t="s">
        <v>570</v>
      </c>
      <c r="F198" s="3" t="s">
        <v>198</v>
      </c>
      <c r="G198">
        <v>20018</v>
      </c>
      <c r="H198" t="s">
        <v>219</v>
      </c>
      <c r="I198" t="s">
        <v>220</v>
      </c>
      <c r="J198" t="s">
        <v>640</v>
      </c>
      <c r="K198" t="s">
        <v>646</v>
      </c>
      <c r="L198" t="s">
        <v>95</v>
      </c>
      <c r="M198" t="s">
        <v>640</v>
      </c>
      <c r="N198" t="s">
        <v>95</v>
      </c>
      <c r="O198">
        <v>37</v>
      </c>
      <c r="P198" s="7">
        <v>5079</v>
      </c>
      <c r="Q198">
        <v>0.13</v>
      </c>
      <c r="R198">
        <v>2.37</v>
      </c>
      <c r="S198" s="5">
        <f>O198/730</f>
        <v>5.0684931506849315E-2</v>
      </c>
      <c r="T198" t="s">
        <v>16</v>
      </c>
      <c r="U198" t="s">
        <v>16</v>
      </c>
    </row>
    <row r="199" spans="1:21" x14ac:dyDescent="0.3">
      <c r="A199" t="s">
        <v>27</v>
      </c>
      <c r="B199" t="s">
        <v>68</v>
      </c>
      <c r="C199">
        <v>143</v>
      </c>
      <c r="D199" t="s">
        <v>14</v>
      </c>
      <c r="E199" t="s">
        <v>570</v>
      </c>
      <c r="F199" s="3" t="s">
        <v>647</v>
      </c>
      <c r="G199">
        <v>20018</v>
      </c>
      <c r="H199" t="s">
        <v>219</v>
      </c>
      <c r="I199" t="s">
        <v>225</v>
      </c>
      <c r="J199" t="s">
        <v>640</v>
      </c>
      <c r="K199" t="s">
        <v>95</v>
      </c>
      <c r="L199" t="s">
        <v>648</v>
      </c>
      <c r="M199" t="s">
        <v>640</v>
      </c>
      <c r="N199" t="s">
        <v>95</v>
      </c>
      <c r="O199">
        <v>40</v>
      </c>
      <c r="P199" s="7">
        <v>2527</v>
      </c>
      <c r="Q199">
        <v>0.2</v>
      </c>
      <c r="R199">
        <v>1.63</v>
      </c>
      <c r="S199" s="5">
        <f>O199/730</f>
        <v>5.4794520547945202E-2</v>
      </c>
      <c r="T199" t="s">
        <v>16</v>
      </c>
      <c r="U199" t="s">
        <v>16</v>
      </c>
    </row>
    <row r="200" spans="1:21" x14ac:dyDescent="0.3">
      <c r="A200" t="s">
        <v>27</v>
      </c>
      <c r="B200" t="s">
        <v>68</v>
      </c>
      <c r="C200">
        <v>143</v>
      </c>
      <c r="D200" t="s">
        <v>14</v>
      </c>
      <c r="E200" t="s">
        <v>570</v>
      </c>
      <c r="F200" s="3" t="s">
        <v>649</v>
      </c>
      <c r="G200">
        <v>20018</v>
      </c>
      <c r="H200" t="s">
        <v>219</v>
      </c>
      <c r="I200" t="s">
        <v>225</v>
      </c>
      <c r="J200" t="s">
        <v>640</v>
      </c>
      <c r="K200" t="s">
        <v>95</v>
      </c>
      <c r="L200" t="s">
        <v>650</v>
      </c>
      <c r="M200" t="s">
        <v>640</v>
      </c>
      <c r="N200" t="s">
        <v>95</v>
      </c>
      <c r="O200">
        <v>221</v>
      </c>
      <c r="P200" s="7">
        <v>4578</v>
      </c>
      <c r="Q200">
        <v>0.22</v>
      </c>
      <c r="R200">
        <v>1.2</v>
      </c>
      <c r="S200" s="5">
        <f>O200/730</f>
        <v>0.30273972602739724</v>
      </c>
      <c r="T200" t="s">
        <v>16</v>
      </c>
      <c r="U200" t="s">
        <v>16</v>
      </c>
    </row>
    <row r="201" spans="1:21" x14ac:dyDescent="0.3">
      <c r="A201" t="s">
        <v>27</v>
      </c>
      <c r="B201" t="s">
        <v>68</v>
      </c>
      <c r="C201">
        <v>143</v>
      </c>
      <c r="D201" t="s">
        <v>14</v>
      </c>
      <c r="E201" t="s">
        <v>570</v>
      </c>
      <c r="F201" s="3" t="s">
        <v>651</v>
      </c>
      <c r="G201">
        <v>20018</v>
      </c>
      <c r="H201" t="s">
        <v>219</v>
      </c>
      <c r="I201" t="s">
        <v>632</v>
      </c>
      <c r="J201" t="s">
        <v>640</v>
      </c>
      <c r="K201" t="s">
        <v>95</v>
      </c>
      <c r="L201" t="s">
        <v>95</v>
      </c>
      <c r="M201" t="s">
        <v>652</v>
      </c>
      <c r="N201" t="s">
        <v>95</v>
      </c>
      <c r="O201">
        <v>98</v>
      </c>
      <c r="P201" s="7">
        <v>7904</v>
      </c>
      <c r="Q201">
        <v>0.08</v>
      </c>
      <c r="R201">
        <v>1.8</v>
      </c>
      <c r="S201" s="5">
        <f>O201/730</f>
        <v>0.13424657534246576</v>
      </c>
      <c r="T201" t="s">
        <v>16</v>
      </c>
      <c r="U201" t="s">
        <v>16</v>
      </c>
    </row>
    <row r="202" spans="1:21" x14ac:dyDescent="0.3">
      <c r="A202" t="s">
        <v>27</v>
      </c>
      <c r="B202" t="s">
        <v>68</v>
      </c>
      <c r="C202">
        <v>143</v>
      </c>
      <c r="D202" t="s">
        <v>14</v>
      </c>
      <c r="E202" t="s">
        <v>570</v>
      </c>
      <c r="F202" s="3" t="s">
        <v>653</v>
      </c>
      <c r="G202">
        <v>20018</v>
      </c>
      <c r="H202" t="s">
        <v>219</v>
      </c>
      <c r="I202" t="s">
        <v>221</v>
      </c>
      <c r="J202" t="s">
        <v>640</v>
      </c>
      <c r="K202" t="s">
        <v>95</v>
      </c>
      <c r="L202" t="s">
        <v>95</v>
      </c>
      <c r="M202" t="s">
        <v>654</v>
      </c>
      <c r="N202" t="s">
        <v>95</v>
      </c>
      <c r="O202">
        <v>42</v>
      </c>
      <c r="P202" s="7">
        <v>3017</v>
      </c>
      <c r="Q202">
        <v>0.21</v>
      </c>
      <c r="R202">
        <v>1.71</v>
      </c>
      <c r="S202" s="5">
        <f>O202/730</f>
        <v>5.7534246575342465E-2</v>
      </c>
      <c r="T202" t="s">
        <v>16</v>
      </c>
      <c r="U202" t="s">
        <v>16</v>
      </c>
    </row>
    <row r="203" spans="1:21" x14ac:dyDescent="0.3">
      <c r="A203" t="s">
        <v>27</v>
      </c>
      <c r="B203" t="s">
        <v>24</v>
      </c>
      <c r="C203">
        <v>143</v>
      </c>
      <c r="D203" t="s">
        <v>14</v>
      </c>
      <c r="E203" t="s">
        <v>570</v>
      </c>
      <c r="F203" s="3" t="s">
        <v>656</v>
      </c>
      <c r="G203">
        <v>20018</v>
      </c>
      <c r="H203" t="s">
        <v>219</v>
      </c>
      <c r="I203" t="s">
        <v>659</v>
      </c>
      <c r="J203" t="s">
        <v>660</v>
      </c>
      <c r="K203" t="s">
        <v>95</v>
      </c>
      <c r="L203" t="s">
        <v>95</v>
      </c>
      <c r="M203" t="s">
        <v>95</v>
      </c>
      <c r="N203" t="s">
        <v>95</v>
      </c>
      <c r="O203">
        <v>40</v>
      </c>
      <c r="P203" s="7">
        <v>2077</v>
      </c>
      <c r="Q203">
        <v>0.22</v>
      </c>
      <c r="R203">
        <v>1.51</v>
      </c>
      <c r="S203" s="5">
        <f>O203/730</f>
        <v>5.4794520547945202E-2</v>
      </c>
      <c r="T203" t="s">
        <v>16</v>
      </c>
      <c r="U203" t="s">
        <v>16</v>
      </c>
    </row>
    <row r="204" spans="1:21" x14ac:dyDescent="0.3">
      <c r="A204" t="s">
        <v>27</v>
      </c>
      <c r="B204" t="s">
        <v>24</v>
      </c>
      <c r="C204">
        <v>143</v>
      </c>
      <c r="D204" t="s">
        <v>14</v>
      </c>
      <c r="E204" t="s">
        <v>570</v>
      </c>
      <c r="F204" s="3" t="s">
        <v>661</v>
      </c>
      <c r="G204">
        <v>20018</v>
      </c>
      <c r="H204" t="s">
        <v>219</v>
      </c>
      <c r="I204" t="s">
        <v>222</v>
      </c>
      <c r="J204" t="s">
        <v>555</v>
      </c>
      <c r="K204" t="s">
        <v>95</v>
      </c>
      <c r="L204" t="s">
        <v>662</v>
      </c>
      <c r="M204" t="s">
        <v>95</v>
      </c>
      <c r="N204" t="s">
        <v>95</v>
      </c>
      <c r="O204">
        <v>26</v>
      </c>
      <c r="P204" s="7">
        <v>2585</v>
      </c>
      <c r="Q204">
        <v>0.38</v>
      </c>
      <c r="R204">
        <v>1.98</v>
      </c>
      <c r="S204" s="5">
        <f>O204/730</f>
        <v>3.5616438356164383E-2</v>
      </c>
      <c r="T204" t="s">
        <v>16</v>
      </c>
      <c r="U204" t="s">
        <v>16</v>
      </c>
    </row>
    <row r="205" spans="1:21" x14ac:dyDescent="0.3">
      <c r="A205" t="s">
        <v>27</v>
      </c>
      <c r="B205" t="s">
        <v>24</v>
      </c>
      <c r="C205">
        <v>143</v>
      </c>
      <c r="D205" t="s">
        <v>14</v>
      </c>
      <c r="E205" t="s">
        <v>570</v>
      </c>
      <c r="F205" s="3" t="s">
        <v>661</v>
      </c>
      <c r="G205">
        <v>20018</v>
      </c>
      <c r="H205" t="s">
        <v>219</v>
      </c>
      <c r="I205" t="s">
        <v>632</v>
      </c>
      <c r="J205" t="s">
        <v>555</v>
      </c>
      <c r="K205" t="s">
        <v>663</v>
      </c>
      <c r="L205" t="s">
        <v>344</v>
      </c>
      <c r="M205" t="s">
        <v>95</v>
      </c>
      <c r="N205" t="s">
        <v>95</v>
      </c>
      <c r="O205">
        <v>109</v>
      </c>
      <c r="P205" s="7">
        <v>6459</v>
      </c>
      <c r="Q205">
        <v>0.08</v>
      </c>
      <c r="R205">
        <v>1.59</v>
      </c>
      <c r="S205" s="5">
        <f>O205/730</f>
        <v>0.14931506849315068</v>
      </c>
      <c r="T205" t="s">
        <v>16</v>
      </c>
      <c r="U205" t="s">
        <v>16</v>
      </c>
    </row>
    <row r="206" spans="1:21" x14ac:dyDescent="0.3">
      <c r="A206" t="s">
        <v>27</v>
      </c>
      <c r="B206" t="s">
        <v>24</v>
      </c>
      <c r="C206">
        <v>143</v>
      </c>
      <c r="D206" t="s">
        <v>14</v>
      </c>
      <c r="E206" t="s">
        <v>570</v>
      </c>
      <c r="F206" s="3" t="s">
        <v>664</v>
      </c>
      <c r="G206">
        <v>20018</v>
      </c>
      <c r="H206" t="s">
        <v>219</v>
      </c>
      <c r="I206" t="s">
        <v>632</v>
      </c>
      <c r="J206" t="s">
        <v>665</v>
      </c>
      <c r="K206" t="s">
        <v>344</v>
      </c>
      <c r="L206" t="s">
        <v>344</v>
      </c>
      <c r="M206" t="s">
        <v>95</v>
      </c>
      <c r="N206" t="s">
        <v>95</v>
      </c>
      <c r="O206">
        <v>84</v>
      </c>
      <c r="P206" s="7">
        <v>5525</v>
      </c>
      <c r="Q206">
        <v>0.15</v>
      </c>
      <c r="R206">
        <v>1.65</v>
      </c>
      <c r="S206" s="5">
        <f>O206/730</f>
        <v>0.11506849315068493</v>
      </c>
      <c r="T206" t="s">
        <v>16</v>
      </c>
      <c r="U206" t="s">
        <v>16</v>
      </c>
    </row>
    <row r="207" spans="1:21" x14ac:dyDescent="0.3">
      <c r="A207" t="s">
        <v>27</v>
      </c>
      <c r="B207" t="s">
        <v>24</v>
      </c>
      <c r="C207">
        <v>143</v>
      </c>
      <c r="D207" t="s">
        <v>14</v>
      </c>
      <c r="E207" t="s">
        <v>570</v>
      </c>
      <c r="F207" s="3" t="s">
        <v>666</v>
      </c>
      <c r="G207">
        <v>20018</v>
      </c>
      <c r="H207" t="s">
        <v>219</v>
      </c>
      <c r="I207" t="s">
        <v>667</v>
      </c>
      <c r="J207" t="s">
        <v>668</v>
      </c>
      <c r="K207" t="s">
        <v>344</v>
      </c>
      <c r="L207" t="s">
        <v>669</v>
      </c>
      <c r="M207" t="s">
        <v>95</v>
      </c>
      <c r="N207" t="s">
        <v>95</v>
      </c>
      <c r="O207">
        <v>20</v>
      </c>
      <c r="P207" s="7">
        <v>837</v>
      </c>
      <c r="Q207">
        <v>0.4</v>
      </c>
      <c r="R207">
        <v>1.41</v>
      </c>
      <c r="S207" s="5">
        <f>O207/730</f>
        <v>2.7397260273972601E-2</v>
      </c>
      <c r="T207" t="s">
        <v>16</v>
      </c>
      <c r="U207" t="s">
        <v>16</v>
      </c>
    </row>
    <row r="208" spans="1:21" x14ac:dyDescent="0.3">
      <c r="A208" t="s">
        <v>27</v>
      </c>
      <c r="B208" t="s">
        <v>24</v>
      </c>
      <c r="C208">
        <v>143</v>
      </c>
      <c r="D208" t="s">
        <v>14</v>
      </c>
      <c r="E208" t="s">
        <v>570</v>
      </c>
      <c r="F208" s="3" t="s">
        <v>670</v>
      </c>
      <c r="G208">
        <v>20018</v>
      </c>
      <c r="H208" t="s">
        <v>219</v>
      </c>
      <c r="I208" t="s">
        <v>632</v>
      </c>
      <c r="J208" t="s">
        <v>671</v>
      </c>
      <c r="K208" t="s">
        <v>344</v>
      </c>
      <c r="L208" t="s">
        <v>95</v>
      </c>
      <c r="M208" t="s">
        <v>95</v>
      </c>
      <c r="N208" t="s">
        <v>95</v>
      </c>
      <c r="O208">
        <v>84</v>
      </c>
      <c r="P208" s="7">
        <v>3303</v>
      </c>
      <c r="Q208">
        <v>0.14000000000000001</v>
      </c>
      <c r="R208">
        <v>1.39</v>
      </c>
      <c r="S208" s="5">
        <f>O208/730</f>
        <v>0.11506849315068493</v>
      </c>
      <c r="T208" t="s">
        <v>16</v>
      </c>
      <c r="U208" t="s">
        <v>16</v>
      </c>
    </row>
    <row r="209" spans="1:21" x14ac:dyDescent="0.3">
      <c r="A209" t="s">
        <v>27</v>
      </c>
      <c r="B209" t="s">
        <v>24</v>
      </c>
      <c r="C209">
        <v>143</v>
      </c>
      <c r="D209" t="s">
        <v>14</v>
      </c>
      <c r="E209" t="s">
        <v>570</v>
      </c>
      <c r="F209" s="3" t="s">
        <v>672</v>
      </c>
      <c r="G209">
        <v>20018</v>
      </c>
      <c r="H209" t="s">
        <v>219</v>
      </c>
      <c r="I209" t="s">
        <v>632</v>
      </c>
      <c r="J209" t="s">
        <v>640</v>
      </c>
      <c r="K209" t="s">
        <v>344</v>
      </c>
      <c r="L209" t="s">
        <v>95</v>
      </c>
      <c r="M209" t="s">
        <v>95</v>
      </c>
      <c r="N209" t="s">
        <v>673</v>
      </c>
      <c r="O209">
        <v>34</v>
      </c>
      <c r="P209" s="7">
        <v>6468</v>
      </c>
      <c r="Q209">
        <v>0.11</v>
      </c>
      <c r="R209">
        <v>2.9</v>
      </c>
      <c r="S209" s="5">
        <f>O209/730</f>
        <v>4.6575342465753428E-2</v>
      </c>
      <c r="T209" t="s">
        <v>16</v>
      </c>
      <c r="U209" t="s">
        <v>16</v>
      </c>
    </row>
    <row r="210" spans="1:21" x14ac:dyDescent="0.3">
      <c r="A210" t="s">
        <v>27</v>
      </c>
      <c r="B210" t="s">
        <v>24</v>
      </c>
      <c r="C210">
        <v>143</v>
      </c>
      <c r="D210" t="s">
        <v>14</v>
      </c>
      <c r="E210" t="s">
        <v>570</v>
      </c>
      <c r="F210" s="3" t="s">
        <v>674</v>
      </c>
      <c r="G210">
        <v>20018</v>
      </c>
      <c r="H210" t="s">
        <v>219</v>
      </c>
      <c r="I210" t="s">
        <v>632</v>
      </c>
      <c r="J210" t="s">
        <v>640</v>
      </c>
      <c r="K210" t="s">
        <v>264</v>
      </c>
      <c r="L210" t="s">
        <v>95</v>
      </c>
      <c r="M210" t="s">
        <v>95</v>
      </c>
      <c r="N210" t="s">
        <v>95</v>
      </c>
      <c r="O210">
        <v>27</v>
      </c>
      <c r="P210" s="7">
        <v>3598</v>
      </c>
      <c r="Q210">
        <v>0.14000000000000001</v>
      </c>
      <c r="R210">
        <v>2.33</v>
      </c>
      <c r="S210" s="5">
        <f>O210/730</f>
        <v>3.6986301369863014E-2</v>
      </c>
      <c r="T210" t="s">
        <v>16</v>
      </c>
      <c r="U210" t="s">
        <v>16</v>
      </c>
    </row>
    <row r="211" spans="1:21" x14ac:dyDescent="0.3">
      <c r="A211" t="s">
        <v>27</v>
      </c>
      <c r="B211" t="s">
        <v>24</v>
      </c>
      <c r="C211">
        <v>143</v>
      </c>
      <c r="D211" t="s">
        <v>14</v>
      </c>
      <c r="E211" t="s">
        <v>570</v>
      </c>
      <c r="F211" s="3" t="s">
        <v>675</v>
      </c>
      <c r="G211">
        <v>20018</v>
      </c>
      <c r="H211" t="s">
        <v>219</v>
      </c>
      <c r="I211" t="s">
        <v>632</v>
      </c>
      <c r="J211" t="s">
        <v>676</v>
      </c>
      <c r="K211" t="s">
        <v>95</v>
      </c>
      <c r="L211" t="s">
        <v>95</v>
      </c>
      <c r="M211" t="s">
        <v>95</v>
      </c>
      <c r="N211" t="s">
        <v>95</v>
      </c>
      <c r="O211">
        <v>30</v>
      </c>
      <c r="P211" s="7">
        <v>6537</v>
      </c>
      <c r="Q211">
        <v>0.13</v>
      </c>
      <c r="R211">
        <v>3.17</v>
      </c>
      <c r="S211" s="5">
        <f>O211/730</f>
        <v>4.1095890410958902E-2</v>
      </c>
      <c r="T211" t="s">
        <v>16</v>
      </c>
      <c r="U211" t="s">
        <v>16</v>
      </c>
    </row>
    <row r="212" spans="1:21" x14ac:dyDescent="0.3">
      <c r="A212" t="s">
        <v>27</v>
      </c>
      <c r="B212" t="s">
        <v>24</v>
      </c>
      <c r="C212">
        <v>143</v>
      </c>
      <c r="D212" t="s">
        <v>14</v>
      </c>
      <c r="E212" t="s">
        <v>570</v>
      </c>
      <c r="F212" s="3" t="s">
        <v>208</v>
      </c>
      <c r="G212">
        <v>20018</v>
      </c>
      <c r="H212" t="s">
        <v>219</v>
      </c>
      <c r="I212" t="s">
        <v>632</v>
      </c>
      <c r="J212" t="s">
        <v>677</v>
      </c>
      <c r="K212" t="s">
        <v>678</v>
      </c>
      <c r="L212" t="s">
        <v>95</v>
      </c>
      <c r="M212" t="s">
        <v>95</v>
      </c>
      <c r="N212" t="s">
        <v>95</v>
      </c>
      <c r="O212">
        <v>350</v>
      </c>
      <c r="P212" s="7">
        <v>18529</v>
      </c>
      <c r="Q212">
        <v>7.0000000000000007E-2</v>
      </c>
      <c r="R212">
        <v>1.52</v>
      </c>
      <c r="S212" s="5">
        <f>O212/730</f>
        <v>0.47945205479452052</v>
      </c>
      <c r="T212" t="s">
        <v>16</v>
      </c>
      <c r="U212" t="s">
        <v>16</v>
      </c>
    </row>
    <row r="213" spans="1:21" x14ac:dyDescent="0.3">
      <c r="A213" t="s">
        <v>27</v>
      </c>
      <c r="B213" t="s">
        <v>24</v>
      </c>
      <c r="C213">
        <v>143</v>
      </c>
      <c r="D213" t="s">
        <v>14</v>
      </c>
      <c r="E213" t="s">
        <v>570</v>
      </c>
      <c r="F213" s="3" t="s">
        <v>679</v>
      </c>
      <c r="G213">
        <v>20018</v>
      </c>
      <c r="H213" t="s">
        <v>219</v>
      </c>
      <c r="I213" t="s">
        <v>222</v>
      </c>
      <c r="J213" t="s">
        <v>677</v>
      </c>
      <c r="K213" t="s">
        <v>344</v>
      </c>
      <c r="L213" t="s">
        <v>95</v>
      </c>
      <c r="M213" t="s">
        <v>680</v>
      </c>
      <c r="N213" t="s">
        <v>95</v>
      </c>
      <c r="O213">
        <v>90</v>
      </c>
      <c r="P213" s="7">
        <v>2853</v>
      </c>
      <c r="Q213">
        <v>0.15</v>
      </c>
      <c r="R213">
        <v>1.31</v>
      </c>
      <c r="S213" s="5">
        <f>O213/730</f>
        <v>0.12328767123287671</v>
      </c>
      <c r="T213" t="s">
        <v>16</v>
      </c>
      <c r="U213" t="s">
        <v>16</v>
      </c>
    </row>
    <row r="214" spans="1:21" x14ac:dyDescent="0.3">
      <c r="A214" t="s">
        <v>27</v>
      </c>
      <c r="B214" t="s">
        <v>24</v>
      </c>
      <c r="C214">
        <v>143</v>
      </c>
      <c r="D214" t="s">
        <v>14</v>
      </c>
      <c r="E214" t="s">
        <v>570</v>
      </c>
      <c r="F214" s="3" t="s">
        <v>679</v>
      </c>
      <c r="G214">
        <v>20018</v>
      </c>
      <c r="H214" t="s">
        <v>219</v>
      </c>
      <c r="I214" t="s">
        <v>220</v>
      </c>
      <c r="J214" t="s">
        <v>677</v>
      </c>
      <c r="K214" t="s">
        <v>344</v>
      </c>
      <c r="L214" t="s">
        <v>95</v>
      </c>
      <c r="M214" t="s">
        <v>681</v>
      </c>
      <c r="N214" t="s">
        <v>95</v>
      </c>
      <c r="O214">
        <v>145</v>
      </c>
      <c r="P214" s="7">
        <v>5417</v>
      </c>
      <c r="Q214">
        <v>0.08</v>
      </c>
      <c r="R214">
        <v>1.37</v>
      </c>
      <c r="S214" s="5">
        <f>O214/730</f>
        <v>0.19863013698630136</v>
      </c>
      <c r="T214" t="s">
        <v>16</v>
      </c>
      <c r="U214" t="s">
        <v>16</v>
      </c>
    </row>
    <row r="215" spans="1:21" x14ac:dyDescent="0.3">
      <c r="A215" t="s">
        <v>27</v>
      </c>
      <c r="B215" t="s">
        <v>24</v>
      </c>
      <c r="C215">
        <v>143</v>
      </c>
      <c r="D215" t="s">
        <v>14</v>
      </c>
      <c r="E215" t="s">
        <v>570</v>
      </c>
      <c r="F215" s="3" t="s">
        <v>682</v>
      </c>
      <c r="G215">
        <v>20018</v>
      </c>
      <c r="H215" t="s">
        <v>219</v>
      </c>
      <c r="I215" t="s">
        <v>222</v>
      </c>
      <c r="J215" t="s">
        <v>677</v>
      </c>
      <c r="K215" t="s">
        <v>344</v>
      </c>
      <c r="L215" t="s">
        <v>684</v>
      </c>
      <c r="M215" t="s">
        <v>683</v>
      </c>
      <c r="N215" t="s">
        <v>95</v>
      </c>
      <c r="O215">
        <v>58</v>
      </c>
      <c r="P215" s="7">
        <v>6538</v>
      </c>
      <c r="Q215">
        <v>0.17</v>
      </c>
      <c r="R215">
        <v>2.12</v>
      </c>
      <c r="S215" s="5">
        <f>O215/730</f>
        <v>7.9452054794520555E-2</v>
      </c>
      <c r="T215" t="s">
        <v>16</v>
      </c>
      <c r="U215" t="s">
        <v>16</v>
      </c>
    </row>
    <row r="216" spans="1:21" x14ac:dyDescent="0.3">
      <c r="A216" t="s">
        <v>27</v>
      </c>
      <c r="B216" t="s">
        <v>24</v>
      </c>
      <c r="C216">
        <v>143</v>
      </c>
      <c r="D216" t="s">
        <v>14</v>
      </c>
      <c r="E216" t="s">
        <v>570</v>
      </c>
      <c r="F216" s="3" t="s">
        <v>682</v>
      </c>
      <c r="G216">
        <v>20018</v>
      </c>
      <c r="H216" t="s">
        <v>219</v>
      </c>
      <c r="I216" t="s">
        <v>220</v>
      </c>
      <c r="J216" t="s">
        <v>677</v>
      </c>
      <c r="K216" t="s">
        <v>344</v>
      </c>
      <c r="L216" t="s">
        <v>685</v>
      </c>
      <c r="M216" t="s">
        <v>683</v>
      </c>
      <c r="N216" t="s">
        <v>95</v>
      </c>
      <c r="O216">
        <v>41</v>
      </c>
      <c r="P216" s="7">
        <v>6349</v>
      </c>
      <c r="Q216">
        <v>0.09</v>
      </c>
      <c r="R216">
        <v>2.54</v>
      </c>
      <c r="S216" s="5">
        <f>O216/730</f>
        <v>5.6164383561643834E-2</v>
      </c>
      <c r="T216" t="s">
        <v>16</v>
      </c>
      <c r="U216" t="s">
        <v>16</v>
      </c>
    </row>
    <row r="217" spans="1:21" x14ac:dyDescent="0.3">
      <c r="A217" t="s">
        <v>27</v>
      </c>
      <c r="B217" t="s">
        <v>24</v>
      </c>
      <c r="C217">
        <v>143</v>
      </c>
      <c r="D217" t="s">
        <v>14</v>
      </c>
      <c r="E217" t="s">
        <v>570</v>
      </c>
      <c r="F217" s="3" t="s">
        <v>686</v>
      </c>
      <c r="G217">
        <v>20018</v>
      </c>
      <c r="H217" t="s">
        <v>219</v>
      </c>
      <c r="I217" t="s">
        <v>220</v>
      </c>
      <c r="J217" t="s">
        <v>677</v>
      </c>
      <c r="K217" t="s">
        <v>344</v>
      </c>
      <c r="L217" t="s">
        <v>687</v>
      </c>
      <c r="M217" t="s">
        <v>683</v>
      </c>
      <c r="N217" t="s">
        <v>95</v>
      </c>
      <c r="O217">
        <v>119</v>
      </c>
      <c r="P217" s="7">
        <v>7726</v>
      </c>
      <c r="Q217">
        <v>0.09</v>
      </c>
      <c r="R217">
        <v>1.64</v>
      </c>
      <c r="S217" s="5">
        <f>O217/730</f>
        <v>0.16301369863013698</v>
      </c>
      <c r="T217" t="s">
        <v>16</v>
      </c>
      <c r="U217" t="s">
        <v>16</v>
      </c>
    </row>
    <row r="218" spans="1:21" x14ac:dyDescent="0.3">
      <c r="A218" t="s">
        <v>27</v>
      </c>
      <c r="B218" t="s">
        <v>24</v>
      </c>
      <c r="C218">
        <v>143</v>
      </c>
      <c r="D218" t="s">
        <v>14</v>
      </c>
      <c r="E218" t="s">
        <v>570</v>
      </c>
      <c r="F218" s="3" t="s">
        <v>686</v>
      </c>
      <c r="G218">
        <v>20018</v>
      </c>
      <c r="H218" t="s">
        <v>219</v>
      </c>
      <c r="I218" t="s">
        <v>667</v>
      </c>
      <c r="J218" t="s">
        <v>677</v>
      </c>
      <c r="K218" t="s">
        <v>344</v>
      </c>
      <c r="L218" t="s">
        <v>640</v>
      </c>
      <c r="M218" t="s">
        <v>688</v>
      </c>
      <c r="N218" t="s">
        <v>95</v>
      </c>
      <c r="O218">
        <v>37</v>
      </c>
      <c r="P218" s="7">
        <v>1504</v>
      </c>
      <c r="Q218">
        <v>0.27</v>
      </c>
      <c r="R218">
        <v>1.4</v>
      </c>
      <c r="S218" s="5">
        <f>O218/730</f>
        <v>5.0684931506849315E-2</v>
      </c>
      <c r="T218" t="s">
        <v>16</v>
      </c>
      <c r="U218" t="s">
        <v>16</v>
      </c>
    </row>
    <row r="219" spans="1:21" x14ac:dyDescent="0.3">
      <c r="A219" t="s">
        <v>27</v>
      </c>
      <c r="B219" t="s">
        <v>68</v>
      </c>
      <c r="C219">
        <v>143</v>
      </c>
      <c r="D219" t="s">
        <v>14</v>
      </c>
      <c r="E219" t="s">
        <v>570</v>
      </c>
      <c r="F219" s="3" t="s">
        <v>690</v>
      </c>
      <c r="G219">
        <v>20018</v>
      </c>
      <c r="H219" t="s">
        <v>219</v>
      </c>
      <c r="I219" t="s">
        <v>221</v>
      </c>
      <c r="J219" t="s">
        <v>677</v>
      </c>
      <c r="K219" t="s">
        <v>691</v>
      </c>
      <c r="L219" t="s">
        <v>640</v>
      </c>
      <c r="M219" t="s">
        <v>95</v>
      </c>
      <c r="N219" t="s">
        <v>95</v>
      </c>
      <c r="O219">
        <v>40</v>
      </c>
      <c r="P219" s="7">
        <v>1756</v>
      </c>
      <c r="Q219">
        <v>0.2</v>
      </c>
      <c r="R219">
        <v>1.43</v>
      </c>
      <c r="S219" s="5">
        <f>O219/730</f>
        <v>5.4794520547945202E-2</v>
      </c>
      <c r="T219" t="s">
        <v>16</v>
      </c>
      <c r="U219" t="s">
        <v>16</v>
      </c>
    </row>
    <row r="220" spans="1:21" x14ac:dyDescent="0.3">
      <c r="A220" t="s">
        <v>27</v>
      </c>
      <c r="B220" t="s">
        <v>68</v>
      </c>
      <c r="C220">
        <v>143</v>
      </c>
      <c r="D220" t="s">
        <v>14</v>
      </c>
      <c r="E220" t="s">
        <v>570</v>
      </c>
      <c r="F220" s="3" t="s">
        <v>692</v>
      </c>
      <c r="G220">
        <v>20018</v>
      </c>
      <c r="H220" t="s">
        <v>219</v>
      </c>
      <c r="I220" t="s">
        <v>220</v>
      </c>
      <c r="J220" t="s">
        <v>677</v>
      </c>
      <c r="K220" t="s">
        <v>344</v>
      </c>
      <c r="L220" t="s">
        <v>640</v>
      </c>
      <c r="M220" t="s">
        <v>95</v>
      </c>
      <c r="N220" t="s">
        <v>410</v>
      </c>
      <c r="O220">
        <v>37</v>
      </c>
      <c r="P220" s="7">
        <v>9517</v>
      </c>
      <c r="Q220">
        <v>0.16</v>
      </c>
      <c r="R220">
        <v>3.57</v>
      </c>
      <c r="S220" s="5">
        <f>O220/730</f>
        <v>5.0684931506849315E-2</v>
      </c>
      <c r="T220" t="s">
        <v>16</v>
      </c>
      <c r="U220" t="s">
        <v>16</v>
      </c>
    </row>
    <row r="221" spans="1:21" x14ac:dyDescent="0.3">
      <c r="A221" t="s">
        <v>27</v>
      </c>
      <c r="B221" t="s">
        <v>68</v>
      </c>
      <c r="C221">
        <v>143</v>
      </c>
      <c r="D221" t="s">
        <v>14</v>
      </c>
      <c r="E221" t="s">
        <v>570</v>
      </c>
      <c r="F221" s="3" t="s">
        <v>693</v>
      </c>
      <c r="G221">
        <v>20018</v>
      </c>
      <c r="H221" t="s">
        <v>219</v>
      </c>
      <c r="I221" t="s">
        <v>220</v>
      </c>
      <c r="J221" t="s">
        <v>694</v>
      </c>
      <c r="K221" t="s">
        <v>344</v>
      </c>
      <c r="L221" t="s">
        <v>640</v>
      </c>
      <c r="M221" t="s">
        <v>95</v>
      </c>
      <c r="N221" t="s">
        <v>95</v>
      </c>
      <c r="O221">
        <v>228</v>
      </c>
      <c r="P221" s="7">
        <v>3883</v>
      </c>
      <c r="Q221">
        <v>0.14000000000000001</v>
      </c>
      <c r="R221">
        <v>1.17</v>
      </c>
      <c r="S221" s="5">
        <f>O221/730</f>
        <v>0.31232876712328766</v>
      </c>
      <c r="T221" t="s">
        <v>16</v>
      </c>
      <c r="U221" t="s">
        <v>16</v>
      </c>
    </row>
    <row r="222" spans="1:21" x14ac:dyDescent="0.3">
      <c r="A222" t="s">
        <v>27</v>
      </c>
      <c r="B222" t="s">
        <v>68</v>
      </c>
      <c r="C222">
        <v>143</v>
      </c>
      <c r="D222" t="s">
        <v>14</v>
      </c>
      <c r="E222" t="s">
        <v>570</v>
      </c>
      <c r="F222" s="3" t="s">
        <v>695</v>
      </c>
      <c r="G222">
        <v>20018</v>
      </c>
      <c r="H222" t="s">
        <v>219</v>
      </c>
      <c r="I222" t="s">
        <v>667</v>
      </c>
      <c r="J222" t="s">
        <v>95</v>
      </c>
      <c r="K222" t="s">
        <v>344</v>
      </c>
      <c r="L222" t="s">
        <v>696</v>
      </c>
      <c r="M222" t="s">
        <v>95</v>
      </c>
      <c r="N222" t="s">
        <v>95</v>
      </c>
      <c r="O222">
        <v>56</v>
      </c>
      <c r="P222" s="7">
        <v>4856</v>
      </c>
      <c r="Q222">
        <v>0.17</v>
      </c>
      <c r="R222">
        <v>1.86</v>
      </c>
      <c r="S222" s="5">
        <f>O222/730</f>
        <v>7.6712328767123292E-2</v>
      </c>
      <c r="T222" t="s">
        <v>16</v>
      </c>
      <c r="U222" t="s">
        <v>16</v>
      </c>
    </row>
    <row r="223" spans="1:21" x14ac:dyDescent="0.3">
      <c r="A223" t="s">
        <v>27</v>
      </c>
      <c r="B223" t="s">
        <v>68</v>
      </c>
      <c r="C223">
        <v>143</v>
      </c>
      <c r="D223" t="s">
        <v>14</v>
      </c>
      <c r="E223" t="s">
        <v>570</v>
      </c>
      <c r="F223" s="3" t="s">
        <v>697</v>
      </c>
      <c r="G223">
        <v>20018</v>
      </c>
      <c r="H223" t="s">
        <v>219</v>
      </c>
      <c r="I223" t="s">
        <v>667</v>
      </c>
      <c r="J223" t="s">
        <v>95</v>
      </c>
      <c r="K223" t="s">
        <v>344</v>
      </c>
      <c r="L223" t="s">
        <v>640</v>
      </c>
      <c r="M223" t="s">
        <v>95</v>
      </c>
      <c r="N223" t="s">
        <v>698</v>
      </c>
      <c r="O223">
        <v>35</v>
      </c>
      <c r="P223" s="7">
        <v>4155</v>
      </c>
      <c r="Q223">
        <v>0.25</v>
      </c>
      <c r="R223">
        <v>2.1800000000000002</v>
      </c>
      <c r="S223" s="5">
        <f>O223/730</f>
        <v>4.7945205479452052E-2</v>
      </c>
      <c r="T223" t="s">
        <v>16</v>
      </c>
      <c r="U223" t="s">
        <v>16</v>
      </c>
    </row>
    <row r="224" spans="1:21" x14ac:dyDescent="0.3">
      <c r="A224" t="s">
        <v>27</v>
      </c>
      <c r="B224" t="s">
        <v>68</v>
      </c>
      <c r="C224">
        <v>143</v>
      </c>
      <c r="D224" t="s">
        <v>14</v>
      </c>
      <c r="E224" t="s">
        <v>570</v>
      </c>
      <c r="F224" s="3" t="s">
        <v>699</v>
      </c>
      <c r="G224">
        <v>20018</v>
      </c>
      <c r="H224" t="s">
        <v>219</v>
      </c>
      <c r="I224" t="s">
        <v>220</v>
      </c>
      <c r="J224" t="s">
        <v>95</v>
      </c>
      <c r="K224" t="s">
        <v>700</v>
      </c>
      <c r="L224" t="s">
        <v>640</v>
      </c>
      <c r="M224" t="s">
        <v>95</v>
      </c>
      <c r="N224" t="s">
        <v>640</v>
      </c>
      <c r="O224">
        <v>27</v>
      </c>
      <c r="P224" s="7">
        <v>4848</v>
      </c>
      <c r="Q224">
        <v>0.18</v>
      </c>
      <c r="R224">
        <v>2.79</v>
      </c>
      <c r="S224" s="5">
        <f>O224/730</f>
        <v>3.6986301369863014E-2</v>
      </c>
      <c r="T224" t="s">
        <v>16</v>
      </c>
      <c r="U224" t="s">
        <v>16</v>
      </c>
    </row>
    <row r="225" spans="1:21" x14ac:dyDescent="0.3">
      <c r="A225" t="s">
        <v>27</v>
      </c>
      <c r="B225" t="s">
        <v>68</v>
      </c>
      <c r="C225">
        <v>143</v>
      </c>
      <c r="D225" t="s">
        <v>14</v>
      </c>
      <c r="E225" t="s">
        <v>570</v>
      </c>
      <c r="F225" s="3" t="s">
        <v>703</v>
      </c>
      <c r="G225">
        <v>20018</v>
      </c>
      <c r="H225" t="s">
        <v>219</v>
      </c>
      <c r="I225" t="s">
        <v>704</v>
      </c>
      <c r="J225" t="s">
        <v>95</v>
      </c>
      <c r="K225" t="s">
        <v>95</v>
      </c>
      <c r="L225" t="s">
        <v>705</v>
      </c>
      <c r="M225" t="s">
        <v>95</v>
      </c>
      <c r="N225" t="s">
        <v>640</v>
      </c>
      <c r="O225">
        <v>25</v>
      </c>
      <c r="P225" s="7">
        <v>3167</v>
      </c>
      <c r="Q225">
        <v>0.16</v>
      </c>
      <c r="R225">
        <v>2.2599999999999998</v>
      </c>
      <c r="S225" s="5">
        <f>O225/730</f>
        <v>3.4246575342465752E-2</v>
      </c>
      <c r="T225" t="s">
        <v>16</v>
      </c>
      <c r="U225" t="s">
        <v>16</v>
      </c>
    </row>
    <row r="226" spans="1:21" x14ac:dyDescent="0.3">
      <c r="A226" t="s">
        <v>27</v>
      </c>
      <c r="B226" t="s">
        <v>68</v>
      </c>
      <c r="C226">
        <v>143</v>
      </c>
      <c r="D226" t="s">
        <v>14</v>
      </c>
      <c r="E226" t="s">
        <v>570</v>
      </c>
      <c r="F226" s="3" t="s">
        <v>706</v>
      </c>
      <c r="G226">
        <v>20018</v>
      </c>
      <c r="H226" t="s">
        <v>219</v>
      </c>
      <c r="I226" t="s">
        <v>220</v>
      </c>
      <c r="J226" t="s">
        <v>95</v>
      </c>
      <c r="K226" t="s">
        <v>95</v>
      </c>
      <c r="L226" t="s">
        <v>95</v>
      </c>
      <c r="M226" t="s">
        <v>95</v>
      </c>
      <c r="N226" t="s">
        <v>452</v>
      </c>
      <c r="O226">
        <v>70</v>
      </c>
      <c r="P226" s="7">
        <v>3665</v>
      </c>
      <c r="Q226">
        <v>0.15</v>
      </c>
      <c r="R226">
        <v>1.52</v>
      </c>
      <c r="S226" s="5">
        <f>O226/730</f>
        <v>9.5890410958904104E-2</v>
      </c>
      <c r="T226" t="s">
        <v>16</v>
      </c>
      <c r="U226" t="s">
        <v>16</v>
      </c>
    </row>
    <row r="227" spans="1:21" x14ac:dyDescent="0.3">
      <c r="A227" t="s">
        <v>27</v>
      </c>
      <c r="B227" t="s">
        <v>709</v>
      </c>
      <c r="C227">
        <v>143</v>
      </c>
      <c r="D227" t="s">
        <v>14</v>
      </c>
      <c r="E227" t="s">
        <v>570</v>
      </c>
      <c r="F227" s="3" t="s">
        <v>710</v>
      </c>
      <c r="G227">
        <v>20018</v>
      </c>
      <c r="H227" t="s">
        <v>219</v>
      </c>
      <c r="I227" t="s">
        <v>220</v>
      </c>
      <c r="J227" t="s">
        <v>95</v>
      </c>
      <c r="K227" t="s">
        <v>95</v>
      </c>
      <c r="L227" t="s">
        <v>555</v>
      </c>
      <c r="M227" t="s">
        <v>711</v>
      </c>
      <c r="N227" t="s">
        <v>95</v>
      </c>
      <c r="O227">
        <v>56</v>
      </c>
      <c r="P227" s="7">
        <v>7248</v>
      </c>
      <c r="Q227">
        <v>0.08</v>
      </c>
      <c r="R227">
        <v>2.29</v>
      </c>
      <c r="S227" s="5">
        <f>O227/730</f>
        <v>7.6712328767123292E-2</v>
      </c>
      <c r="T227" t="s">
        <v>16</v>
      </c>
      <c r="U227" t="s">
        <v>16</v>
      </c>
    </row>
    <row r="228" spans="1:21" x14ac:dyDescent="0.3">
      <c r="A228" t="s">
        <v>27</v>
      </c>
      <c r="B228" t="s">
        <v>709</v>
      </c>
      <c r="C228">
        <v>143</v>
      </c>
      <c r="D228" t="s">
        <v>14</v>
      </c>
      <c r="E228" t="s">
        <v>570</v>
      </c>
      <c r="F228" s="3" t="s">
        <v>712</v>
      </c>
      <c r="G228">
        <v>20018</v>
      </c>
      <c r="H228" t="s">
        <v>219</v>
      </c>
      <c r="I228" t="s">
        <v>220</v>
      </c>
      <c r="J228" t="s">
        <v>95</v>
      </c>
      <c r="K228" t="s">
        <v>95</v>
      </c>
      <c r="L228" t="s">
        <v>555</v>
      </c>
      <c r="M228" t="s">
        <v>449</v>
      </c>
      <c r="N228" t="s">
        <v>713</v>
      </c>
      <c r="O228">
        <v>50</v>
      </c>
      <c r="P228" s="7">
        <v>4096</v>
      </c>
      <c r="Q228">
        <v>0.08</v>
      </c>
      <c r="R228">
        <v>1.81</v>
      </c>
      <c r="S228" s="5">
        <f>O228/730</f>
        <v>6.8493150684931503E-2</v>
      </c>
      <c r="T228" t="s">
        <v>16</v>
      </c>
      <c r="U228" t="s">
        <v>16</v>
      </c>
    </row>
    <row r="229" spans="1:21" x14ac:dyDescent="0.3">
      <c r="A229" t="s">
        <v>27</v>
      </c>
      <c r="B229" t="s">
        <v>709</v>
      </c>
      <c r="C229">
        <v>143</v>
      </c>
      <c r="D229" t="s">
        <v>14</v>
      </c>
      <c r="E229" t="s">
        <v>570</v>
      </c>
      <c r="F229" s="3" t="s">
        <v>714</v>
      </c>
      <c r="G229">
        <v>20018</v>
      </c>
      <c r="H229" t="s">
        <v>219</v>
      </c>
      <c r="I229" t="s">
        <v>220</v>
      </c>
      <c r="J229" t="s">
        <v>715</v>
      </c>
      <c r="K229" t="s">
        <v>95</v>
      </c>
      <c r="L229" t="s">
        <v>555</v>
      </c>
      <c r="M229" t="s">
        <v>449</v>
      </c>
      <c r="N229" t="s">
        <v>95</v>
      </c>
      <c r="O229">
        <v>60</v>
      </c>
      <c r="P229" s="7">
        <v>1000</v>
      </c>
      <c r="Q229">
        <v>0.1</v>
      </c>
      <c r="R229">
        <v>1.2</v>
      </c>
      <c r="S229" s="5">
        <f>O229/730</f>
        <v>8.2191780821917804E-2</v>
      </c>
      <c r="T229" t="s">
        <v>16</v>
      </c>
      <c r="U229" t="s">
        <v>16</v>
      </c>
    </row>
    <row r="230" spans="1:21" x14ac:dyDescent="0.3">
      <c r="A230" t="s">
        <v>27</v>
      </c>
      <c r="B230" t="s">
        <v>709</v>
      </c>
      <c r="C230">
        <v>143</v>
      </c>
      <c r="D230" t="s">
        <v>14</v>
      </c>
      <c r="E230" t="s">
        <v>570</v>
      </c>
      <c r="F230" s="3" t="s">
        <v>716</v>
      </c>
      <c r="G230">
        <v>20018</v>
      </c>
      <c r="H230" t="s">
        <v>219</v>
      </c>
      <c r="I230" t="s">
        <v>220</v>
      </c>
      <c r="J230" t="s">
        <v>717</v>
      </c>
      <c r="K230" t="s">
        <v>95</v>
      </c>
      <c r="L230" t="s">
        <v>555</v>
      </c>
      <c r="M230" t="s">
        <v>449</v>
      </c>
      <c r="N230" t="s">
        <v>95</v>
      </c>
      <c r="O230">
        <v>76</v>
      </c>
      <c r="P230" s="7">
        <v>6913</v>
      </c>
      <c r="Q230">
        <v>0.14000000000000001</v>
      </c>
      <c r="R230">
        <v>1.9</v>
      </c>
      <c r="S230" s="5">
        <f>O230/730</f>
        <v>0.10410958904109589</v>
      </c>
      <c r="T230" t="s">
        <v>16</v>
      </c>
      <c r="U230" t="s">
        <v>16</v>
      </c>
    </row>
    <row r="231" spans="1:21" x14ac:dyDescent="0.3">
      <c r="A231" t="s">
        <v>27</v>
      </c>
      <c r="B231" t="s">
        <v>709</v>
      </c>
      <c r="C231">
        <v>143</v>
      </c>
      <c r="D231" t="s">
        <v>182</v>
      </c>
      <c r="E231" t="s">
        <v>570</v>
      </c>
      <c r="F231" s="3" t="s">
        <v>718</v>
      </c>
      <c r="G231">
        <v>20018</v>
      </c>
      <c r="H231" t="s">
        <v>219</v>
      </c>
      <c r="I231" t="s">
        <v>719</v>
      </c>
      <c r="J231" t="s">
        <v>95</v>
      </c>
      <c r="K231" t="s">
        <v>95</v>
      </c>
      <c r="L231" t="s">
        <v>720</v>
      </c>
      <c r="M231" t="s">
        <v>449</v>
      </c>
      <c r="N231" t="s">
        <v>95</v>
      </c>
      <c r="O231">
        <v>665</v>
      </c>
      <c r="P231" s="7">
        <v>9565</v>
      </c>
      <c r="Q231">
        <v>0.11</v>
      </c>
      <c r="R231">
        <v>1.1399999999999999</v>
      </c>
      <c r="S231" s="5">
        <f>O231/730</f>
        <v>0.91095890410958902</v>
      </c>
      <c r="T231" t="s">
        <v>16</v>
      </c>
      <c r="U231" t="s">
        <v>16</v>
      </c>
    </row>
    <row r="232" spans="1:21" x14ac:dyDescent="0.3">
      <c r="A232" t="s">
        <v>27</v>
      </c>
      <c r="B232" t="s">
        <v>709</v>
      </c>
      <c r="C232">
        <v>143</v>
      </c>
      <c r="D232" t="s">
        <v>182</v>
      </c>
      <c r="E232" t="s">
        <v>570</v>
      </c>
      <c r="F232" s="3" t="s">
        <v>598</v>
      </c>
      <c r="G232">
        <v>20018</v>
      </c>
      <c r="H232" t="s">
        <v>219</v>
      </c>
      <c r="I232" t="s">
        <v>721</v>
      </c>
      <c r="J232" t="s">
        <v>95</v>
      </c>
      <c r="K232" t="s">
        <v>95</v>
      </c>
      <c r="L232" t="s">
        <v>95</v>
      </c>
      <c r="M232" t="s">
        <v>722</v>
      </c>
      <c r="N232" t="s">
        <v>95</v>
      </c>
      <c r="O232">
        <v>25</v>
      </c>
      <c r="P232" s="7">
        <v>3359</v>
      </c>
      <c r="Q232">
        <v>0.23</v>
      </c>
      <c r="R232">
        <v>2.34</v>
      </c>
      <c r="S232" s="5">
        <f>O232/730</f>
        <v>3.4246575342465752E-2</v>
      </c>
      <c r="T232" t="s">
        <v>16</v>
      </c>
      <c r="U232" t="s">
        <v>16</v>
      </c>
    </row>
    <row r="233" spans="1:21" x14ac:dyDescent="0.3">
      <c r="A233" t="s">
        <v>27</v>
      </c>
      <c r="B233" t="s">
        <v>709</v>
      </c>
      <c r="C233">
        <v>143</v>
      </c>
      <c r="D233" t="s">
        <v>182</v>
      </c>
      <c r="E233" t="s">
        <v>570</v>
      </c>
      <c r="F233" s="3" t="s">
        <v>723</v>
      </c>
      <c r="G233">
        <v>20018</v>
      </c>
      <c r="H233" t="s">
        <v>219</v>
      </c>
      <c r="I233" t="s">
        <v>225</v>
      </c>
      <c r="J233" t="s">
        <v>95</v>
      </c>
      <c r="K233" t="s">
        <v>95</v>
      </c>
      <c r="L233" t="s">
        <v>95</v>
      </c>
      <c r="M233" t="s">
        <v>724</v>
      </c>
      <c r="N233" t="s">
        <v>95</v>
      </c>
      <c r="O233">
        <v>65</v>
      </c>
      <c r="P233" s="7">
        <v>3896</v>
      </c>
      <c r="Q233">
        <v>0.2</v>
      </c>
      <c r="R233">
        <v>1.59</v>
      </c>
      <c r="S233" s="5">
        <f>O233/730</f>
        <v>8.9041095890410954E-2</v>
      </c>
      <c r="T233" t="s">
        <v>16</v>
      </c>
      <c r="U233" t="s">
        <v>16</v>
      </c>
    </row>
    <row r="234" spans="1:21" x14ac:dyDescent="0.3">
      <c r="A234" t="s">
        <v>27</v>
      </c>
      <c r="B234" t="s">
        <v>726</v>
      </c>
      <c r="C234">
        <v>143</v>
      </c>
      <c r="D234" t="s">
        <v>182</v>
      </c>
      <c r="E234" t="s">
        <v>570</v>
      </c>
      <c r="F234" s="3" t="s">
        <v>727</v>
      </c>
      <c r="G234">
        <v>20018</v>
      </c>
      <c r="H234" t="s">
        <v>219</v>
      </c>
      <c r="I234" t="s">
        <v>225</v>
      </c>
      <c r="J234" t="s">
        <v>95</v>
      </c>
      <c r="K234" t="s">
        <v>728</v>
      </c>
      <c r="L234" t="s">
        <v>95</v>
      </c>
      <c r="M234" t="s">
        <v>555</v>
      </c>
      <c r="N234" t="s">
        <v>95</v>
      </c>
      <c r="O234">
        <v>41</v>
      </c>
      <c r="P234" s="7">
        <v>3467</v>
      </c>
      <c r="Q234">
        <v>0.17</v>
      </c>
      <c r="R234">
        <v>1.84</v>
      </c>
      <c r="S234" s="5">
        <f>O234/730</f>
        <v>5.6164383561643834E-2</v>
      </c>
      <c r="T234" t="s">
        <v>16</v>
      </c>
      <c r="U234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8"/>
  <sheetViews>
    <sheetView zoomScale="90" zoomScaleNormal="90" workbookViewId="0">
      <pane ySplit="1" topLeftCell="A2" activePane="bottomLeft" state="frozen"/>
      <selection activeCell="F4" sqref="F4"/>
      <selection pane="bottomLeft" activeCell="F4" sqref="F4"/>
    </sheetView>
  </sheetViews>
  <sheetFormatPr defaultRowHeight="16.5" x14ac:dyDescent="0.3"/>
  <cols>
    <col min="1" max="2" width="4.875" customWidth="1"/>
    <col min="3" max="3" width="3.125" customWidth="1"/>
    <col min="4" max="4" width="7.375" customWidth="1"/>
    <col min="5" max="5" width="7.5" customWidth="1"/>
    <col min="6" max="6" width="9" style="3"/>
    <col min="7" max="7" width="5.125" customWidth="1"/>
    <col min="8" max="8" width="5" customWidth="1"/>
    <col min="9" max="9" width="6.625" customWidth="1"/>
    <col min="11" max="11" width="10.375" customWidth="1"/>
    <col min="12" max="13" width="10.125" customWidth="1"/>
    <col min="14" max="14" width="10.5" customWidth="1"/>
    <col min="15" max="15" width="7" customWidth="1"/>
    <col min="16" max="16" width="9.125" style="7" customWidth="1"/>
    <col min="17" max="17" width="6.625" customWidth="1"/>
    <col min="18" max="18" width="7.125" customWidth="1"/>
    <col min="19" max="19" width="7.5" style="5" customWidth="1"/>
    <col min="20" max="20" width="3.5" customWidth="1"/>
    <col min="21" max="21" width="2.75" customWidth="1"/>
  </cols>
  <sheetData>
    <row r="1" spans="1:21" s="1" customFormat="1" ht="33" x14ac:dyDescent="0.3">
      <c r="A1" s="1" t="s">
        <v>0</v>
      </c>
      <c r="B1" s="1" t="s">
        <v>23</v>
      </c>
      <c r="C1" s="1" t="s">
        <v>25</v>
      </c>
      <c r="D1" s="1" t="s">
        <v>1</v>
      </c>
      <c r="E1" s="1" t="s">
        <v>2</v>
      </c>
      <c r="F1" s="8" t="s">
        <v>3</v>
      </c>
      <c r="G1" s="1" t="s">
        <v>4</v>
      </c>
      <c r="H1" s="1" t="s">
        <v>5</v>
      </c>
      <c r="I1" s="9" t="s">
        <v>6</v>
      </c>
      <c r="J1" s="1" t="s">
        <v>10</v>
      </c>
      <c r="K1" s="1" t="s">
        <v>21</v>
      </c>
      <c r="L1" s="1" t="s">
        <v>22</v>
      </c>
      <c r="M1" s="1" t="s">
        <v>11</v>
      </c>
      <c r="N1" s="1" t="s">
        <v>12</v>
      </c>
      <c r="O1" s="1" t="s">
        <v>7</v>
      </c>
      <c r="P1" s="6" t="s">
        <v>39</v>
      </c>
      <c r="Q1" s="1" t="s">
        <v>8</v>
      </c>
      <c r="R1" s="1" t="s">
        <v>19</v>
      </c>
      <c r="S1" s="4" t="s">
        <v>20</v>
      </c>
      <c r="T1" s="1" t="s">
        <v>9</v>
      </c>
      <c r="U1" s="1" t="s">
        <v>13</v>
      </c>
    </row>
    <row r="2" spans="1:21" x14ac:dyDescent="0.3">
      <c r="A2" t="s">
        <v>27</v>
      </c>
      <c r="B2" t="s">
        <v>536</v>
      </c>
      <c r="C2">
        <v>143</v>
      </c>
      <c r="D2" t="s">
        <v>14</v>
      </c>
      <c r="E2" t="s">
        <v>570</v>
      </c>
      <c r="F2" s="3" t="s">
        <v>607</v>
      </c>
      <c r="G2">
        <v>20018</v>
      </c>
      <c r="H2" t="s">
        <v>219</v>
      </c>
      <c r="I2" t="s">
        <v>221</v>
      </c>
      <c r="J2" t="s">
        <v>477</v>
      </c>
      <c r="K2" t="s">
        <v>95</v>
      </c>
      <c r="L2" t="s">
        <v>95</v>
      </c>
      <c r="M2" t="s">
        <v>611</v>
      </c>
      <c r="N2" t="s">
        <v>95</v>
      </c>
      <c r="O2">
        <v>21</v>
      </c>
      <c r="P2" s="7">
        <v>2485</v>
      </c>
      <c r="Q2">
        <v>0.52</v>
      </c>
      <c r="R2">
        <v>2.1800000000000002</v>
      </c>
      <c r="S2" s="5">
        <f>O2/730</f>
        <v>2.8767123287671233E-2</v>
      </c>
      <c r="T2" t="s">
        <v>16</v>
      </c>
      <c r="U2" t="s">
        <v>16</v>
      </c>
    </row>
    <row r="3" spans="1:21" x14ac:dyDescent="0.3">
      <c r="A3" t="s">
        <v>27</v>
      </c>
      <c r="B3" t="s">
        <v>24</v>
      </c>
      <c r="C3">
        <v>143</v>
      </c>
      <c r="D3" t="s">
        <v>14</v>
      </c>
      <c r="E3" t="s">
        <v>570</v>
      </c>
      <c r="F3" s="3" t="s">
        <v>666</v>
      </c>
      <c r="G3">
        <v>20018</v>
      </c>
      <c r="H3" t="s">
        <v>219</v>
      </c>
      <c r="I3" t="s">
        <v>667</v>
      </c>
      <c r="J3" t="s">
        <v>668</v>
      </c>
      <c r="K3" t="s">
        <v>344</v>
      </c>
      <c r="L3" t="s">
        <v>669</v>
      </c>
      <c r="M3" t="s">
        <v>95</v>
      </c>
      <c r="N3" t="s">
        <v>95</v>
      </c>
      <c r="O3">
        <v>20</v>
      </c>
      <c r="P3" s="7">
        <v>837</v>
      </c>
      <c r="Q3">
        <v>0.4</v>
      </c>
      <c r="R3">
        <v>1.41</v>
      </c>
      <c r="S3" s="5">
        <f>O3/730</f>
        <v>2.7397260273972601E-2</v>
      </c>
      <c r="T3" t="s">
        <v>16</v>
      </c>
      <c r="U3" t="s">
        <v>16</v>
      </c>
    </row>
    <row r="4" spans="1:21" x14ac:dyDescent="0.3">
      <c r="A4" t="s">
        <v>27</v>
      </c>
      <c r="B4" t="s">
        <v>24</v>
      </c>
      <c r="C4">
        <v>143</v>
      </c>
      <c r="D4" t="s">
        <v>14</v>
      </c>
      <c r="E4" t="s">
        <v>570</v>
      </c>
      <c r="F4" s="3" t="s">
        <v>661</v>
      </c>
      <c r="G4">
        <v>20018</v>
      </c>
      <c r="H4" t="s">
        <v>219</v>
      </c>
      <c r="I4" t="s">
        <v>222</v>
      </c>
      <c r="J4" t="s">
        <v>555</v>
      </c>
      <c r="K4" t="s">
        <v>95</v>
      </c>
      <c r="L4" t="s">
        <v>662</v>
      </c>
      <c r="M4" t="s">
        <v>95</v>
      </c>
      <c r="N4" t="s">
        <v>95</v>
      </c>
      <c r="O4">
        <v>26</v>
      </c>
      <c r="P4" s="7">
        <v>2585</v>
      </c>
      <c r="Q4">
        <v>0.38</v>
      </c>
      <c r="R4">
        <v>1.98</v>
      </c>
      <c r="S4" s="5">
        <f>O4/730</f>
        <v>3.5616438356164383E-2</v>
      </c>
      <c r="T4" t="s">
        <v>16</v>
      </c>
      <c r="U4" t="s">
        <v>16</v>
      </c>
    </row>
    <row r="5" spans="1:21" x14ac:dyDescent="0.3">
      <c r="A5" t="s">
        <v>27</v>
      </c>
      <c r="B5" t="s">
        <v>536</v>
      </c>
      <c r="C5">
        <v>143</v>
      </c>
      <c r="D5" t="s">
        <v>14</v>
      </c>
      <c r="E5" t="s">
        <v>45</v>
      </c>
      <c r="F5" s="3" t="s">
        <v>561</v>
      </c>
      <c r="G5">
        <v>20018</v>
      </c>
      <c r="H5" t="s">
        <v>219</v>
      </c>
      <c r="I5" t="s">
        <v>220</v>
      </c>
      <c r="J5" t="s">
        <v>95</v>
      </c>
      <c r="K5" t="s">
        <v>539</v>
      </c>
      <c r="L5" t="s">
        <v>562</v>
      </c>
      <c r="M5" t="s">
        <v>95</v>
      </c>
      <c r="N5" t="s">
        <v>95</v>
      </c>
      <c r="O5">
        <v>12</v>
      </c>
      <c r="P5" s="7">
        <v>5869</v>
      </c>
      <c r="Q5">
        <v>0.33</v>
      </c>
      <c r="R5">
        <v>5.89</v>
      </c>
      <c r="S5" s="5">
        <f>O5/730</f>
        <v>1.643835616438356E-2</v>
      </c>
      <c r="T5" t="s">
        <v>16</v>
      </c>
      <c r="U5" t="s">
        <v>16</v>
      </c>
    </row>
    <row r="6" spans="1:21" x14ac:dyDescent="0.3">
      <c r="A6" t="s">
        <v>27</v>
      </c>
      <c r="B6" t="s">
        <v>536</v>
      </c>
      <c r="C6">
        <v>143</v>
      </c>
      <c r="D6" t="s">
        <v>14</v>
      </c>
      <c r="E6" t="s">
        <v>570</v>
      </c>
      <c r="F6" s="3" t="s">
        <v>598</v>
      </c>
      <c r="G6">
        <v>20018</v>
      </c>
      <c r="H6" t="s">
        <v>219</v>
      </c>
      <c r="I6" t="s">
        <v>221</v>
      </c>
      <c r="J6" t="s">
        <v>95</v>
      </c>
      <c r="K6" t="s">
        <v>95</v>
      </c>
      <c r="L6" t="s">
        <v>600</v>
      </c>
      <c r="M6" t="s">
        <v>574</v>
      </c>
      <c r="N6" t="s">
        <v>477</v>
      </c>
      <c r="O6">
        <v>22</v>
      </c>
      <c r="P6" s="7">
        <v>3398</v>
      </c>
      <c r="Q6">
        <v>0.31</v>
      </c>
      <c r="R6">
        <v>2.54</v>
      </c>
      <c r="S6" s="5">
        <f>O6/730</f>
        <v>3.0136986301369864E-2</v>
      </c>
      <c r="T6" t="s">
        <v>16</v>
      </c>
      <c r="U6" t="s">
        <v>16</v>
      </c>
    </row>
    <row r="7" spans="1:21" x14ac:dyDescent="0.3">
      <c r="A7" t="s">
        <v>27</v>
      </c>
      <c r="B7" t="s">
        <v>68</v>
      </c>
      <c r="C7">
        <v>143</v>
      </c>
      <c r="D7" t="s">
        <v>14</v>
      </c>
      <c r="E7" t="s">
        <v>45</v>
      </c>
      <c r="F7" s="3" t="s">
        <v>492</v>
      </c>
      <c r="G7">
        <v>20018</v>
      </c>
      <c r="H7" t="s">
        <v>219</v>
      </c>
      <c r="I7" t="s">
        <v>220</v>
      </c>
      <c r="J7" t="s">
        <v>95</v>
      </c>
      <c r="K7" t="s">
        <v>95</v>
      </c>
      <c r="L7" t="s">
        <v>95</v>
      </c>
      <c r="M7" t="s">
        <v>95</v>
      </c>
      <c r="N7" t="s">
        <v>493</v>
      </c>
      <c r="O7">
        <v>13</v>
      </c>
      <c r="P7" s="7">
        <v>4488</v>
      </c>
      <c r="Q7">
        <v>0.3</v>
      </c>
      <c r="R7">
        <v>4.45</v>
      </c>
      <c r="S7" s="5">
        <f>O7/730</f>
        <v>1.7808219178082191E-2</v>
      </c>
      <c r="T7" t="s">
        <v>16</v>
      </c>
      <c r="U7" t="s">
        <v>16</v>
      </c>
    </row>
    <row r="8" spans="1:21" x14ac:dyDescent="0.3">
      <c r="A8" t="s">
        <v>27</v>
      </c>
      <c r="B8" t="s">
        <v>536</v>
      </c>
      <c r="C8">
        <v>143</v>
      </c>
      <c r="D8" t="s">
        <v>14</v>
      </c>
      <c r="E8" t="s">
        <v>45</v>
      </c>
      <c r="F8" s="3" t="s">
        <v>554</v>
      </c>
      <c r="G8">
        <v>20018</v>
      </c>
      <c r="H8" t="s">
        <v>219</v>
      </c>
      <c r="I8" t="s">
        <v>220</v>
      </c>
      <c r="J8" t="s">
        <v>95</v>
      </c>
      <c r="K8" t="s">
        <v>539</v>
      </c>
      <c r="L8" t="s">
        <v>477</v>
      </c>
      <c r="M8" t="s">
        <v>555</v>
      </c>
      <c r="N8" t="s">
        <v>556</v>
      </c>
      <c r="O8">
        <v>18</v>
      </c>
      <c r="P8" s="7">
        <v>3198</v>
      </c>
      <c r="Q8">
        <v>0.27</v>
      </c>
      <c r="R8">
        <v>2.77</v>
      </c>
      <c r="S8" s="5">
        <f>O8/730</f>
        <v>2.4657534246575342E-2</v>
      </c>
      <c r="T8" t="s">
        <v>16</v>
      </c>
      <c r="U8" t="s">
        <v>16</v>
      </c>
    </row>
    <row r="9" spans="1:21" x14ac:dyDescent="0.3">
      <c r="A9" t="s">
        <v>27</v>
      </c>
      <c r="B9" t="s">
        <v>24</v>
      </c>
      <c r="C9">
        <v>143</v>
      </c>
      <c r="D9" t="s">
        <v>14</v>
      </c>
      <c r="E9" t="s">
        <v>570</v>
      </c>
      <c r="F9" s="3" t="s">
        <v>686</v>
      </c>
      <c r="G9">
        <v>20018</v>
      </c>
      <c r="H9" t="s">
        <v>219</v>
      </c>
      <c r="I9" t="s">
        <v>667</v>
      </c>
      <c r="J9" t="s">
        <v>677</v>
      </c>
      <c r="K9" t="s">
        <v>344</v>
      </c>
      <c r="L9" t="s">
        <v>640</v>
      </c>
      <c r="M9" t="s">
        <v>688</v>
      </c>
      <c r="N9" t="s">
        <v>95</v>
      </c>
      <c r="O9">
        <v>37</v>
      </c>
      <c r="P9" s="7">
        <v>1504</v>
      </c>
      <c r="Q9">
        <v>0.27</v>
      </c>
      <c r="R9">
        <v>1.4</v>
      </c>
      <c r="S9" s="5">
        <f>O9/730</f>
        <v>5.0684931506849315E-2</v>
      </c>
      <c r="T9" t="s">
        <v>16</v>
      </c>
      <c r="U9" t="s">
        <v>16</v>
      </c>
    </row>
    <row r="10" spans="1:21" x14ac:dyDescent="0.3">
      <c r="A10" t="s">
        <v>27</v>
      </c>
      <c r="B10" t="s">
        <v>536</v>
      </c>
      <c r="C10">
        <v>143</v>
      </c>
      <c r="D10" t="s">
        <v>14</v>
      </c>
      <c r="E10" t="s">
        <v>570</v>
      </c>
      <c r="F10" s="3" t="s">
        <v>601</v>
      </c>
      <c r="G10">
        <v>20018</v>
      </c>
      <c r="H10" t="s">
        <v>219</v>
      </c>
      <c r="I10" t="s">
        <v>222</v>
      </c>
      <c r="J10" t="s">
        <v>603</v>
      </c>
      <c r="K10" t="s">
        <v>95</v>
      </c>
      <c r="L10" t="s">
        <v>95</v>
      </c>
      <c r="M10" t="s">
        <v>477</v>
      </c>
      <c r="N10" t="s">
        <v>477</v>
      </c>
      <c r="O10">
        <v>172</v>
      </c>
      <c r="P10" s="7">
        <v>7297</v>
      </c>
      <c r="Q10">
        <v>0.26</v>
      </c>
      <c r="R10">
        <v>1.42</v>
      </c>
      <c r="S10" s="5">
        <f>O10/730</f>
        <v>0.23561643835616439</v>
      </c>
      <c r="T10" t="s">
        <v>16</v>
      </c>
      <c r="U10" t="s">
        <v>16</v>
      </c>
    </row>
    <row r="11" spans="1:21" x14ac:dyDescent="0.3">
      <c r="A11" t="s">
        <v>27</v>
      </c>
      <c r="B11" t="s">
        <v>68</v>
      </c>
      <c r="C11">
        <v>143</v>
      </c>
      <c r="D11" t="s">
        <v>14</v>
      </c>
      <c r="E11" t="s">
        <v>570</v>
      </c>
      <c r="F11" s="3" t="s">
        <v>697</v>
      </c>
      <c r="G11">
        <v>20018</v>
      </c>
      <c r="H11" t="s">
        <v>219</v>
      </c>
      <c r="I11" t="s">
        <v>667</v>
      </c>
      <c r="J11" t="s">
        <v>95</v>
      </c>
      <c r="K11" t="s">
        <v>344</v>
      </c>
      <c r="L11" t="s">
        <v>640</v>
      </c>
      <c r="M11" t="s">
        <v>95</v>
      </c>
      <c r="N11" t="s">
        <v>698</v>
      </c>
      <c r="O11">
        <v>35</v>
      </c>
      <c r="P11" s="7">
        <v>4155</v>
      </c>
      <c r="Q11">
        <v>0.25</v>
      </c>
      <c r="R11">
        <v>2.1800000000000002</v>
      </c>
      <c r="S11" s="5">
        <f>O11/730</f>
        <v>4.7945205479452052E-2</v>
      </c>
      <c r="T11" t="s">
        <v>16</v>
      </c>
      <c r="U11" t="s">
        <v>16</v>
      </c>
    </row>
    <row r="12" spans="1:21" x14ac:dyDescent="0.3">
      <c r="A12" t="s">
        <v>27</v>
      </c>
      <c r="B12" t="s">
        <v>68</v>
      </c>
      <c r="C12">
        <v>143</v>
      </c>
      <c r="D12" t="s">
        <v>14</v>
      </c>
      <c r="E12" t="s">
        <v>45</v>
      </c>
      <c r="F12" s="3" t="s">
        <v>400</v>
      </c>
      <c r="G12">
        <v>20018</v>
      </c>
      <c r="H12" t="s">
        <v>219</v>
      </c>
      <c r="I12" t="s">
        <v>222</v>
      </c>
      <c r="J12" t="s">
        <v>95</v>
      </c>
      <c r="K12" t="s">
        <v>95</v>
      </c>
      <c r="L12" t="s">
        <v>95</v>
      </c>
      <c r="M12" t="s">
        <v>401</v>
      </c>
      <c r="N12" t="s">
        <v>387</v>
      </c>
      <c r="O12">
        <v>53</v>
      </c>
      <c r="P12" s="7">
        <v>5685</v>
      </c>
      <c r="Q12">
        <v>0.24</v>
      </c>
      <c r="R12">
        <v>2.0699999999999998</v>
      </c>
      <c r="S12" s="5">
        <f>O12/730</f>
        <v>7.260273972602739E-2</v>
      </c>
      <c r="T12" t="s">
        <v>16</v>
      </c>
      <c r="U12" t="s">
        <v>16</v>
      </c>
    </row>
    <row r="13" spans="1:21" x14ac:dyDescent="0.3">
      <c r="A13" t="s">
        <v>27</v>
      </c>
      <c r="B13" t="s">
        <v>47</v>
      </c>
      <c r="C13">
        <v>143</v>
      </c>
      <c r="D13" t="s">
        <v>14</v>
      </c>
      <c r="E13" t="s">
        <v>45</v>
      </c>
      <c r="F13" s="3" t="s">
        <v>326</v>
      </c>
      <c r="G13">
        <v>20018</v>
      </c>
      <c r="H13" t="s">
        <v>219</v>
      </c>
      <c r="I13" t="s">
        <v>222</v>
      </c>
      <c r="J13" t="s">
        <v>53</v>
      </c>
      <c r="K13" t="s">
        <v>95</v>
      </c>
      <c r="L13" t="s">
        <v>53</v>
      </c>
      <c r="M13" t="s">
        <v>319</v>
      </c>
      <c r="N13" t="s">
        <v>328</v>
      </c>
      <c r="O13">
        <v>13</v>
      </c>
      <c r="P13" s="7">
        <v>3800</v>
      </c>
      <c r="Q13">
        <v>0.23</v>
      </c>
      <c r="R13">
        <v>3.92</v>
      </c>
      <c r="S13" s="5">
        <f>O13/730</f>
        <v>1.7808219178082191E-2</v>
      </c>
      <c r="T13" t="s">
        <v>16</v>
      </c>
      <c r="U13" t="s">
        <v>16</v>
      </c>
    </row>
    <row r="14" spans="1:21" x14ac:dyDescent="0.3">
      <c r="A14" t="s">
        <v>27</v>
      </c>
      <c r="B14" t="s">
        <v>68</v>
      </c>
      <c r="C14">
        <v>143</v>
      </c>
      <c r="D14" t="s">
        <v>14</v>
      </c>
      <c r="E14" t="s">
        <v>45</v>
      </c>
      <c r="F14" s="3" t="s">
        <v>145</v>
      </c>
      <c r="G14">
        <v>20018</v>
      </c>
      <c r="H14" t="s">
        <v>219</v>
      </c>
      <c r="I14" t="s">
        <v>507</v>
      </c>
      <c r="J14" t="s">
        <v>95</v>
      </c>
      <c r="K14" t="s">
        <v>477</v>
      </c>
      <c r="L14" t="s">
        <v>508</v>
      </c>
      <c r="M14" t="s">
        <v>95</v>
      </c>
      <c r="N14" t="s">
        <v>95</v>
      </c>
      <c r="O14">
        <v>21</v>
      </c>
      <c r="P14" s="7">
        <v>9769</v>
      </c>
      <c r="Q14">
        <v>0.23</v>
      </c>
      <c r="R14">
        <v>5.65</v>
      </c>
      <c r="S14" s="5">
        <f>O14/730</f>
        <v>2.8767123287671233E-2</v>
      </c>
      <c r="T14" t="s">
        <v>16</v>
      </c>
      <c r="U14" t="s">
        <v>16</v>
      </c>
    </row>
    <row r="15" spans="1:21" x14ac:dyDescent="0.3">
      <c r="A15" t="s">
        <v>27</v>
      </c>
      <c r="B15" t="s">
        <v>709</v>
      </c>
      <c r="C15">
        <v>143</v>
      </c>
      <c r="D15" t="s">
        <v>182</v>
      </c>
      <c r="E15" t="s">
        <v>570</v>
      </c>
      <c r="F15" s="3" t="s">
        <v>598</v>
      </c>
      <c r="G15">
        <v>20018</v>
      </c>
      <c r="H15" t="s">
        <v>219</v>
      </c>
      <c r="I15" t="s">
        <v>721</v>
      </c>
      <c r="J15" t="s">
        <v>95</v>
      </c>
      <c r="K15" t="s">
        <v>95</v>
      </c>
      <c r="L15" t="s">
        <v>95</v>
      </c>
      <c r="M15" t="s">
        <v>722</v>
      </c>
      <c r="N15" t="s">
        <v>95</v>
      </c>
      <c r="O15">
        <v>25</v>
      </c>
      <c r="P15" s="7">
        <v>3359</v>
      </c>
      <c r="Q15">
        <v>0.23</v>
      </c>
      <c r="R15">
        <v>2.34</v>
      </c>
      <c r="S15" s="5">
        <f>O15/730</f>
        <v>3.4246575342465752E-2</v>
      </c>
      <c r="T15" t="s">
        <v>16</v>
      </c>
      <c r="U15" t="s">
        <v>16</v>
      </c>
    </row>
    <row r="16" spans="1:21" x14ac:dyDescent="0.3">
      <c r="A16" t="s">
        <v>27</v>
      </c>
      <c r="B16" t="s">
        <v>24</v>
      </c>
      <c r="C16">
        <v>143</v>
      </c>
      <c r="D16" t="s">
        <v>14</v>
      </c>
      <c r="E16" t="s">
        <v>45</v>
      </c>
      <c r="F16" s="3" t="s">
        <v>46</v>
      </c>
      <c r="G16">
        <v>20018</v>
      </c>
      <c r="H16" t="s">
        <v>219</v>
      </c>
      <c r="I16" t="s">
        <v>221</v>
      </c>
      <c r="J16" t="s">
        <v>95</v>
      </c>
      <c r="K16" t="s">
        <v>231</v>
      </c>
      <c r="L16" t="s">
        <v>16</v>
      </c>
      <c r="M16" t="s">
        <v>53</v>
      </c>
      <c r="N16" t="s">
        <v>95</v>
      </c>
      <c r="O16">
        <v>61</v>
      </c>
      <c r="P16" s="7">
        <v>5062</v>
      </c>
      <c r="Q16">
        <v>0.22</v>
      </c>
      <c r="R16">
        <v>1.82</v>
      </c>
      <c r="S16" s="5">
        <f>O16/730</f>
        <v>8.3561643835616442E-2</v>
      </c>
      <c r="T16" t="s">
        <v>16</v>
      </c>
      <c r="U16" t="s">
        <v>16</v>
      </c>
    </row>
    <row r="17" spans="1:21" x14ac:dyDescent="0.3">
      <c r="A17" t="s">
        <v>27</v>
      </c>
      <c r="B17" t="s">
        <v>68</v>
      </c>
      <c r="C17">
        <v>143</v>
      </c>
      <c r="D17" t="s">
        <v>14</v>
      </c>
      <c r="E17" t="s">
        <v>45</v>
      </c>
      <c r="F17" s="3" t="s">
        <v>369</v>
      </c>
      <c r="G17">
        <v>20018</v>
      </c>
      <c r="H17" t="s">
        <v>219</v>
      </c>
      <c r="I17" t="s">
        <v>222</v>
      </c>
      <c r="J17" t="s">
        <v>95</v>
      </c>
      <c r="K17" t="s">
        <v>95</v>
      </c>
      <c r="L17" t="s">
        <v>95</v>
      </c>
      <c r="M17" t="s">
        <v>370</v>
      </c>
      <c r="N17" t="s">
        <v>95</v>
      </c>
      <c r="O17">
        <v>36</v>
      </c>
      <c r="P17" s="7">
        <v>5414</v>
      </c>
      <c r="Q17">
        <v>0.22</v>
      </c>
      <c r="R17">
        <v>2.5</v>
      </c>
      <c r="S17" s="5">
        <f>O17/730</f>
        <v>4.9315068493150684E-2</v>
      </c>
      <c r="T17" t="s">
        <v>16</v>
      </c>
      <c r="U17" t="s">
        <v>16</v>
      </c>
    </row>
    <row r="18" spans="1:21" x14ac:dyDescent="0.3">
      <c r="A18" t="s">
        <v>27</v>
      </c>
      <c r="B18" t="s">
        <v>68</v>
      </c>
      <c r="C18">
        <v>143</v>
      </c>
      <c r="D18" t="s">
        <v>14</v>
      </c>
      <c r="E18" t="s">
        <v>45</v>
      </c>
      <c r="F18" s="3" t="s">
        <v>406</v>
      </c>
      <c r="G18">
        <v>20018</v>
      </c>
      <c r="H18" t="s">
        <v>219</v>
      </c>
      <c r="I18" t="s">
        <v>222</v>
      </c>
      <c r="J18" t="s">
        <v>95</v>
      </c>
      <c r="K18" t="s">
        <v>95</v>
      </c>
      <c r="L18" t="s">
        <v>407</v>
      </c>
      <c r="M18" t="s">
        <v>95</v>
      </c>
      <c r="N18" t="s">
        <v>95</v>
      </c>
      <c r="O18">
        <v>27</v>
      </c>
      <c r="P18" s="7">
        <v>3917</v>
      </c>
      <c r="Q18">
        <v>0.22</v>
      </c>
      <c r="R18">
        <v>2.4500000000000002</v>
      </c>
      <c r="S18" s="5">
        <f>O18/730</f>
        <v>3.6986301369863014E-2</v>
      </c>
      <c r="T18" t="s">
        <v>16</v>
      </c>
      <c r="U18" t="s">
        <v>16</v>
      </c>
    </row>
    <row r="19" spans="1:21" x14ac:dyDescent="0.3">
      <c r="A19" t="s">
        <v>27</v>
      </c>
      <c r="B19" t="s">
        <v>68</v>
      </c>
      <c r="C19">
        <v>143</v>
      </c>
      <c r="D19" t="s">
        <v>14</v>
      </c>
      <c r="E19" t="s">
        <v>570</v>
      </c>
      <c r="F19" s="3" t="s">
        <v>649</v>
      </c>
      <c r="G19">
        <v>20018</v>
      </c>
      <c r="H19" t="s">
        <v>219</v>
      </c>
      <c r="I19" t="s">
        <v>225</v>
      </c>
      <c r="J19" t="s">
        <v>640</v>
      </c>
      <c r="K19" t="s">
        <v>95</v>
      </c>
      <c r="L19" t="s">
        <v>650</v>
      </c>
      <c r="M19" t="s">
        <v>640</v>
      </c>
      <c r="N19" t="s">
        <v>95</v>
      </c>
      <c r="O19">
        <v>221</v>
      </c>
      <c r="P19" s="7">
        <v>4578</v>
      </c>
      <c r="Q19">
        <v>0.22</v>
      </c>
      <c r="R19">
        <v>1.2</v>
      </c>
      <c r="S19" s="5">
        <f>O19/730</f>
        <v>0.30273972602739724</v>
      </c>
      <c r="T19" t="s">
        <v>16</v>
      </c>
      <c r="U19" t="s">
        <v>16</v>
      </c>
    </row>
    <row r="20" spans="1:21" x14ac:dyDescent="0.3">
      <c r="A20" t="s">
        <v>27</v>
      </c>
      <c r="B20" t="s">
        <v>24</v>
      </c>
      <c r="C20">
        <v>143</v>
      </c>
      <c r="D20" t="s">
        <v>14</v>
      </c>
      <c r="E20" t="s">
        <v>570</v>
      </c>
      <c r="F20" s="3" t="s">
        <v>656</v>
      </c>
      <c r="G20">
        <v>20018</v>
      </c>
      <c r="H20" t="s">
        <v>219</v>
      </c>
      <c r="I20" t="s">
        <v>659</v>
      </c>
      <c r="J20" t="s">
        <v>660</v>
      </c>
      <c r="K20" t="s">
        <v>95</v>
      </c>
      <c r="L20" t="s">
        <v>95</v>
      </c>
      <c r="M20" t="s">
        <v>95</v>
      </c>
      <c r="N20" t="s">
        <v>95</v>
      </c>
      <c r="O20">
        <v>40</v>
      </c>
      <c r="P20" s="7">
        <v>2077</v>
      </c>
      <c r="Q20">
        <v>0.22</v>
      </c>
      <c r="R20">
        <v>1.51</v>
      </c>
      <c r="S20" s="5">
        <f>O20/730</f>
        <v>5.4794520547945202E-2</v>
      </c>
      <c r="T20" t="s">
        <v>16</v>
      </c>
      <c r="U20" t="s">
        <v>16</v>
      </c>
    </row>
    <row r="21" spans="1:21" x14ac:dyDescent="0.3">
      <c r="A21" t="s">
        <v>27</v>
      </c>
      <c r="B21" t="s">
        <v>24</v>
      </c>
      <c r="C21">
        <v>143</v>
      </c>
      <c r="D21" t="s">
        <v>14</v>
      </c>
      <c r="E21" t="s">
        <v>45</v>
      </c>
      <c r="F21" s="3" t="s">
        <v>50</v>
      </c>
      <c r="G21">
        <v>20018</v>
      </c>
      <c r="H21" t="s">
        <v>219</v>
      </c>
      <c r="I21" t="s">
        <v>221</v>
      </c>
      <c r="J21" t="s">
        <v>95</v>
      </c>
      <c r="K21" t="s">
        <v>53</v>
      </c>
      <c r="L21" t="s">
        <v>95</v>
      </c>
      <c r="M21" t="s">
        <v>95</v>
      </c>
      <c r="N21" t="s">
        <v>260</v>
      </c>
      <c r="O21">
        <v>14</v>
      </c>
      <c r="P21" s="7">
        <v>3539</v>
      </c>
      <c r="Q21">
        <v>0.21</v>
      </c>
      <c r="R21">
        <v>3.52</v>
      </c>
      <c r="S21" s="5">
        <f>O21/730</f>
        <v>1.9178082191780823E-2</v>
      </c>
      <c r="T21" t="s">
        <v>16</v>
      </c>
      <c r="U21" t="s">
        <v>16</v>
      </c>
    </row>
    <row r="22" spans="1:21" x14ac:dyDescent="0.3">
      <c r="A22" t="s">
        <v>27</v>
      </c>
      <c r="B22" t="s">
        <v>24</v>
      </c>
      <c r="C22">
        <v>143</v>
      </c>
      <c r="D22" t="s">
        <v>14</v>
      </c>
      <c r="E22" t="s">
        <v>45</v>
      </c>
      <c r="F22" s="3" t="s">
        <v>190</v>
      </c>
      <c r="G22">
        <v>20018</v>
      </c>
      <c r="H22" t="s">
        <v>219</v>
      </c>
      <c r="I22" t="s">
        <v>221</v>
      </c>
      <c r="J22" t="s">
        <v>285</v>
      </c>
      <c r="K22" t="s">
        <v>95</v>
      </c>
      <c r="L22" t="s">
        <v>53</v>
      </c>
      <c r="M22" t="s">
        <v>53</v>
      </c>
      <c r="N22" t="s">
        <v>95</v>
      </c>
      <c r="O22">
        <v>14</v>
      </c>
      <c r="P22" s="7">
        <v>2318</v>
      </c>
      <c r="Q22">
        <v>0.21</v>
      </c>
      <c r="R22">
        <v>2.65</v>
      </c>
      <c r="S22" s="5">
        <f>O22/730</f>
        <v>1.9178082191780823E-2</v>
      </c>
      <c r="T22" t="s">
        <v>16</v>
      </c>
      <c r="U22" t="s">
        <v>16</v>
      </c>
    </row>
    <row r="23" spans="1:21" x14ac:dyDescent="0.3">
      <c r="A23" t="s">
        <v>27</v>
      </c>
      <c r="B23" t="s">
        <v>68</v>
      </c>
      <c r="C23">
        <v>143</v>
      </c>
      <c r="D23" t="s">
        <v>14</v>
      </c>
      <c r="E23" t="s">
        <v>45</v>
      </c>
      <c r="F23" s="3" t="s">
        <v>103</v>
      </c>
      <c r="G23">
        <v>20018</v>
      </c>
      <c r="H23" t="s">
        <v>219</v>
      </c>
      <c r="I23" t="s">
        <v>221</v>
      </c>
      <c r="J23" t="s">
        <v>95</v>
      </c>
      <c r="K23" t="s">
        <v>95</v>
      </c>
      <c r="L23" t="s">
        <v>95</v>
      </c>
      <c r="M23" t="s">
        <v>445</v>
      </c>
      <c r="N23" t="s">
        <v>267</v>
      </c>
      <c r="O23">
        <v>19</v>
      </c>
      <c r="P23" s="7">
        <v>2907</v>
      </c>
      <c r="Q23">
        <v>0.21</v>
      </c>
      <c r="R23">
        <v>2.52</v>
      </c>
      <c r="S23" s="5">
        <f>O23/730</f>
        <v>2.6027397260273973E-2</v>
      </c>
      <c r="T23" t="s">
        <v>16</v>
      </c>
      <c r="U23" t="s">
        <v>16</v>
      </c>
    </row>
    <row r="24" spans="1:21" x14ac:dyDescent="0.3">
      <c r="A24" t="s">
        <v>27</v>
      </c>
      <c r="B24" t="s">
        <v>68</v>
      </c>
      <c r="C24">
        <v>143</v>
      </c>
      <c r="D24" t="s">
        <v>14</v>
      </c>
      <c r="E24" t="s">
        <v>570</v>
      </c>
      <c r="F24" s="3" t="s">
        <v>653</v>
      </c>
      <c r="G24">
        <v>20018</v>
      </c>
      <c r="H24" t="s">
        <v>219</v>
      </c>
      <c r="I24" t="s">
        <v>221</v>
      </c>
      <c r="J24" t="s">
        <v>640</v>
      </c>
      <c r="K24" t="s">
        <v>95</v>
      </c>
      <c r="L24" t="s">
        <v>95</v>
      </c>
      <c r="M24" t="s">
        <v>654</v>
      </c>
      <c r="N24" t="s">
        <v>95</v>
      </c>
      <c r="O24">
        <v>42</v>
      </c>
      <c r="P24" s="7">
        <v>3017</v>
      </c>
      <c r="Q24">
        <v>0.21</v>
      </c>
      <c r="R24">
        <v>1.71</v>
      </c>
      <c r="S24" s="5">
        <f>O24/730</f>
        <v>5.7534246575342465E-2</v>
      </c>
      <c r="T24" t="s">
        <v>16</v>
      </c>
      <c r="U24" t="s">
        <v>16</v>
      </c>
    </row>
    <row r="25" spans="1:21" x14ac:dyDescent="0.3">
      <c r="A25" t="s">
        <v>27</v>
      </c>
      <c r="B25" t="s">
        <v>68</v>
      </c>
      <c r="C25">
        <v>143</v>
      </c>
      <c r="D25" t="s">
        <v>14</v>
      </c>
      <c r="E25" t="s">
        <v>45</v>
      </c>
      <c r="F25" s="3" t="s">
        <v>336</v>
      </c>
      <c r="G25">
        <v>20018</v>
      </c>
      <c r="H25" t="s">
        <v>219</v>
      </c>
      <c r="I25" t="s">
        <v>225</v>
      </c>
      <c r="J25" t="s">
        <v>95</v>
      </c>
      <c r="K25" t="s">
        <v>95</v>
      </c>
      <c r="L25" t="s">
        <v>337</v>
      </c>
      <c r="M25" t="s">
        <v>53</v>
      </c>
      <c r="N25" t="s">
        <v>53</v>
      </c>
      <c r="O25">
        <v>15</v>
      </c>
      <c r="P25" s="7">
        <v>4759</v>
      </c>
      <c r="Q25">
        <v>0.2</v>
      </c>
      <c r="R25">
        <v>4.17</v>
      </c>
      <c r="S25" s="5">
        <f>O25/730</f>
        <v>2.0547945205479451E-2</v>
      </c>
      <c r="T25" t="s">
        <v>16</v>
      </c>
      <c r="U25" t="s">
        <v>16</v>
      </c>
    </row>
    <row r="26" spans="1:21" x14ac:dyDescent="0.3">
      <c r="A26" t="s">
        <v>27</v>
      </c>
      <c r="B26" t="s">
        <v>47</v>
      </c>
      <c r="C26">
        <v>143</v>
      </c>
      <c r="D26" t="s">
        <v>14</v>
      </c>
      <c r="E26" t="s">
        <v>45</v>
      </c>
      <c r="F26" s="3" t="s">
        <v>124</v>
      </c>
      <c r="G26">
        <v>20018</v>
      </c>
      <c r="H26" t="s">
        <v>219</v>
      </c>
      <c r="I26" t="s">
        <v>220</v>
      </c>
      <c r="J26" t="s">
        <v>390</v>
      </c>
      <c r="K26" t="s">
        <v>95</v>
      </c>
      <c r="L26" t="s">
        <v>477</v>
      </c>
      <c r="M26" t="s">
        <v>95</v>
      </c>
      <c r="N26" t="s">
        <v>95</v>
      </c>
      <c r="O26">
        <v>30</v>
      </c>
      <c r="P26" s="7">
        <v>1929</v>
      </c>
      <c r="Q26">
        <v>0.2</v>
      </c>
      <c r="R26">
        <v>1.64</v>
      </c>
      <c r="S26" s="5">
        <f>O26/730</f>
        <v>4.1095890410958902E-2</v>
      </c>
      <c r="T26" t="s">
        <v>16</v>
      </c>
      <c r="U26" t="s">
        <v>16</v>
      </c>
    </row>
    <row r="27" spans="1:21" x14ac:dyDescent="0.3">
      <c r="A27" t="s">
        <v>27</v>
      </c>
      <c r="B27" t="s">
        <v>536</v>
      </c>
      <c r="C27">
        <v>143</v>
      </c>
      <c r="D27" t="s">
        <v>14</v>
      </c>
      <c r="E27" t="s">
        <v>570</v>
      </c>
      <c r="F27" s="3" t="s">
        <v>615</v>
      </c>
      <c r="G27">
        <v>20018</v>
      </c>
      <c r="H27" t="s">
        <v>219</v>
      </c>
      <c r="I27" t="s">
        <v>221</v>
      </c>
      <c r="J27" t="s">
        <v>477</v>
      </c>
      <c r="K27" t="s">
        <v>344</v>
      </c>
      <c r="L27" t="s">
        <v>619</v>
      </c>
      <c r="M27" t="s">
        <v>95</v>
      </c>
      <c r="N27" t="s">
        <v>95</v>
      </c>
      <c r="O27">
        <v>35</v>
      </c>
      <c r="P27" s="7">
        <v>3509</v>
      </c>
      <c r="Q27">
        <v>0.2</v>
      </c>
      <c r="R27">
        <v>2</v>
      </c>
      <c r="S27" s="5">
        <f>O27/730</f>
        <v>4.7945205479452052E-2</v>
      </c>
      <c r="T27" t="s">
        <v>16</v>
      </c>
      <c r="U27" t="s">
        <v>16</v>
      </c>
    </row>
    <row r="28" spans="1:21" x14ac:dyDescent="0.3">
      <c r="A28" t="s">
        <v>27</v>
      </c>
      <c r="B28" t="s">
        <v>536</v>
      </c>
      <c r="C28">
        <v>143</v>
      </c>
      <c r="D28" t="s">
        <v>14</v>
      </c>
      <c r="E28" t="s">
        <v>570</v>
      </c>
      <c r="F28" s="3" t="s">
        <v>622</v>
      </c>
      <c r="G28">
        <v>20018</v>
      </c>
      <c r="H28" t="s">
        <v>219</v>
      </c>
      <c r="I28" t="s">
        <v>221</v>
      </c>
      <c r="J28" t="s">
        <v>387</v>
      </c>
      <c r="K28" t="s">
        <v>449</v>
      </c>
      <c r="L28" t="s">
        <v>95</v>
      </c>
      <c r="M28" t="s">
        <v>95</v>
      </c>
      <c r="N28" t="s">
        <v>625</v>
      </c>
      <c r="O28">
        <v>20</v>
      </c>
      <c r="P28" s="7">
        <v>1600</v>
      </c>
      <c r="Q28">
        <v>0.2</v>
      </c>
      <c r="R28">
        <v>1.1000000000000001</v>
      </c>
      <c r="S28" s="5">
        <f>O28/730</f>
        <v>2.7397260273972601E-2</v>
      </c>
      <c r="T28" t="s">
        <v>16</v>
      </c>
      <c r="U28" t="s">
        <v>16</v>
      </c>
    </row>
    <row r="29" spans="1:21" x14ac:dyDescent="0.3">
      <c r="A29" t="s">
        <v>27</v>
      </c>
      <c r="B29" t="s">
        <v>68</v>
      </c>
      <c r="C29">
        <v>143</v>
      </c>
      <c r="D29" t="s">
        <v>14</v>
      </c>
      <c r="E29" t="s">
        <v>570</v>
      </c>
      <c r="F29" s="3" t="s">
        <v>647</v>
      </c>
      <c r="G29">
        <v>20018</v>
      </c>
      <c r="H29" t="s">
        <v>219</v>
      </c>
      <c r="I29" t="s">
        <v>225</v>
      </c>
      <c r="J29" t="s">
        <v>640</v>
      </c>
      <c r="K29" t="s">
        <v>95</v>
      </c>
      <c r="L29" t="s">
        <v>648</v>
      </c>
      <c r="M29" t="s">
        <v>640</v>
      </c>
      <c r="N29" t="s">
        <v>95</v>
      </c>
      <c r="O29">
        <v>40</v>
      </c>
      <c r="P29" s="7">
        <v>2527</v>
      </c>
      <c r="Q29">
        <v>0.2</v>
      </c>
      <c r="R29">
        <v>1.63</v>
      </c>
      <c r="S29" s="5">
        <f>O29/730</f>
        <v>5.4794520547945202E-2</v>
      </c>
      <c r="T29" t="s">
        <v>16</v>
      </c>
      <c r="U29" t="s">
        <v>16</v>
      </c>
    </row>
    <row r="30" spans="1:21" x14ac:dyDescent="0.3">
      <c r="A30" t="s">
        <v>27</v>
      </c>
      <c r="B30" t="s">
        <v>68</v>
      </c>
      <c r="C30">
        <v>143</v>
      </c>
      <c r="D30" t="s">
        <v>14</v>
      </c>
      <c r="E30" t="s">
        <v>570</v>
      </c>
      <c r="F30" s="3" t="s">
        <v>690</v>
      </c>
      <c r="G30">
        <v>20018</v>
      </c>
      <c r="H30" t="s">
        <v>219</v>
      </c>
      <c r="I30" t="s">
        <v>221</v>
      </c>
      <c r="J30" t="s">
        <v>677</v>
      </c>
      <c r="K30" t="s">
        <v>691</v>
      </c>
      <c r="L30" t="s">
        <v>640</v>
      </c>
      <c r="M30" t="s">
        <v>95</v>
      </c>
      <c r="N30" t="s">
        <v>95</v>
      </c>
      <c r="O30">
        <v>40</v>
      </c>
      <c r="P30" s="7">
        <v>1756</v>
      </c>
      <c r="Q30">
        <v>0.2</v>
      </c>
      <c r="R30">
        <v>1.43</v>
      </c>
      <c r="S30" s="5">
        <f>O30/730</f>
        <v>5.4794520547945202E-2</v>
      </c>
      <c r="T30" t="s">
        <v>16</v>
      </c>
      <c r="U30" t="s">
        <v>16</v>
      </c>
    </row>
    <row r="31" spans="1:21" x14ac:dyDescent="0.3">
      <c r="A31" t="s">
        <v>27</v>
      </c>
      <c r="B31" t="s">
        <v>709</v>
      </c>
      <c r="C31">
        <v>143</v>
      </c>
      <c r="D31" t="s">
        <v>182</v>
      </c>
      <c r="E31" t="s">
        <v>570</v>
      </c>
      <c r="F31" s="3" t="s">
        <v>723</v>
      </c>
      <c r="G31">
        <v>20018</v>
      </c>
      <c r="H31" t="s">
        <v>219</v>
      </c>
      <c r="I31" t="s">
        <v>225</v>
      </c>
      <c r="J31" t="s">
        <v>95</v>
      </c>
      <c r="K31" t="s">
        <v>95</v>
      </c>
      <c r="L31" t="s">
        <v>95</v>
      </c>
      <c r="M31" t="s">
        <v>724</v>
      </c>
      <c r="N31" t="s">
        <v>95</v>
      </c>
      <c r="O31">
        <v>65</v>
      </c>
      <c r="P31" s="7">
        <v>3896</v>
      </c>
      <c r="Q31">
        <v>0.2</v>
      </c>
      <c r="R31">
        <v>1.59</v>
      </c>
      <c r="S31" s="5">
        <f>O31/730</f>
        <v>8.9041095890410954E-2</v>
      </c>
      <c r="T31" t="s">
        <v>16</v>
      </c>
      <c r="U31" t="s">
        <v>16</v>
      </c>
    </row>
    <row r="32" spans="1:21" x14ac:dyDescent="0.3">
      <c r="A32" t="s">
        <v>27</v>
      </c>
      <c r="B32" t="s">
        <v>47</v>
      </c>
      <c r="C32">
        <v>143</v>
      </c>
      <c r="D32" t="s">
        <v>14</v>
      </c>
      <c r="E32" t="s">
        <v>45</v>
      </c>
      <c r="F32" s="3" t="s">
        <v>256</v>
      </c>
      <c r="G32">
        <v>20018</v>
      </c>
      <c r="H32" t="s">
        <v>219</v>
      </c>
      <c r="I32" t="s">
        <v>225</v>
      </c>
      <c r="J32" t="s">
        <v>254</v>
      </c>
      <c r="K32" t="s">
        <v>95</v>
      </c>
      <c r="L32" t="s">
        <v>95</v>
      </c>
      <c r="M32" t="s">
        <v>95</v>
      </c>
      <c r="N32" t="s">
        <v>53</v>
      </c>
      <c r="O32">
        <v>198</v>
      </c>
      <c r="P32" s="7">
        <v>5637</v>
      </c>
      <c r="Q32">
        <v>0.19</v>
      </c>
      <c r="R32">
        <v>1.28</v>
      </c>
      <c r="S32" s="5">
        <f>O32/730</f>
        <v>0.27123287671232876</v>
      </c>
      <c r="T32" t="s">
        <v>16</v>
      </c>
      <c r="U32" t="s">
        <v>16</v>
      </c>
    </row>
    <row r="33" spans="1:21" x14ac:dyDescent="0.3">
      <c r="A33" t="s">
        <v>27</v>
      </c>
      <c r="B33" t="s">
        <v>297</v>
      </c>
      <c r="C33">
        <v>143</v>
      </c>
      <c r="D33" t="s">
        <v>14</v>
      </c>
      <c r="E33" t="s">
        <v>45</v>
      </c>
      <c r="F33" s="3" t="s">
        <v>293</v>
      </c>
      <c r="G33">
        <v>20018</v>
      </c>
      <c r="H33" t="s">
        <v>219</v>
      </c>
      <c r="I33" t="s">
        <v>220</v>
      </c>
      <c r="J33" t="s">
        <v>286</v>
      </c>
      <c r="K33" t="s">
        <v>53</v>
      </c>
      <c r="L33" t="s">
        <v>53</v>
      </c>
      <c r="M33" t="s">
        <v>53</v>
      </c>
      <c r="N33" t="s">
        <v>53</v>
      </c>
      <c r="O33">
        <v>26</v>
      </c>
      <c r="P33" s="7">
        <v>4878</v>
      </c>
      <c r="Q33">
        <v>0.19</v>
      </c>
      <c r="R33">
        <v>2.87</v>
      </c>
      <c r="S33" s="5">
        <f>O33/730</f>
        <v>3.5616438356164383E-2</v>
      </c>
      <c r="T33" t="s">
        <v>16</v>
      </c>
      <c r="U33" t="s">
        <v>16</v>
      </c>
    </row>
    <row r="34" spans="1:21" x14ac:dyDescent="0.3">
      <c r="A34" t="s">
        <v>27</v>
      </c>
      <c r="B34" t="s">
        <v>68</v>
      </c>
      <c r="C34">
        <v>143</v>
      </c>
      <c r="D34" t="s">
        <v>14</v>
      </c>
      <c r="E34" t="s">
        <v>45</v>
      </c>
      <c r="F34" s="3" t="s">
        <v>379</v>
      </c>
      <c r="G34">
        <v>20018</v>
      </c>
      <c r="H34" t="s">
        <v>219</v>
      </c>
      <c r="I34" t="s">
        <v>225</v>
      </c>
      <c r="J34" t="s">
        <v>380</v>
      </c>
      <c r="K34" t="s">
        <v>95</v>
      </c>
      <c r="L34" t="s">
        <v>95</v>
      </c>
      <c r="M34" t="s">
        <v>95</v>
      </c>
      <c r="N34" t="s">
        <v>381</v>
      </c>
      <c r="O34">
        <v>42</v>
      </c>
      <c r="P34" s="7">
        <v>2907</v>
      </c>
      <c r="Q34">
        <v>0.19</v>
      </c>
      <c r="R34">
        <v>1.69</v>
      </c>
      <c r="S34" s="5">
        <f>O34/730</f>
        <v>5.7534246575342465E-2</v>
      </c>
      <c r="T34" t="s">
        <v>16</v>
      </c>
      <c r="U34" t="s">
        <v>16</v>
      </c>
    </row>
    <row r="35" spans="1:21" x14ac:dyDescent="0.3">
      <c r="A35" t="s">
        <v>27</v>
      </c>
      <c r="B35" t="s">
        <v>47</v>
      </c>
      <c r="C35">
        <v>143</v>
      </c>
      <c r="D35" t="s">
        <v>14</v>
      </c>
      <c r="E35" t="s">
        <v>570</v>
      </c>
      <c r="F35" s="3" t="s">
        <v>638</v>
      </c>
      <c r="G35">
        <v>20018</v>
      </c>
      <c r="H35" t="s">
        <v>219</v>
      </c>
      <c r="I35" t="s">
        <v>225</v>
      </c>
      <c r="J35" t="s">
        <v>95</v>
      </c>
      <c r="K35" t="s">
        <v>95</v>
      </c>
      <c r="L35" t="s">
        <v>95</v>
      </c>
      <c r="M35" t="s">
        <v>639</v>
      </c>
      <c r="N35" t="s">
        <v>95</v>
      </c>
      <c r="O35">
        <v>41</v>
      </c>
      <c r="P35" s="7">
        <v>2887</v>
      </c>
      <c r="Q35">
        <v>0.19</v>
      </c>
      <c r="R35">
        <v>1.7</v>
      </c>
      <c r="S35" s="5">
        <f>O35/730</f>
        <v>5.6164383561643834E-2</v>
      </c>
      <c r="T35" t="s">
        <v>16</v>
      </c>
      <c r="U35" t="s">
        <v>16</v>
      </c>
    </row>
    <row r="36" spans="1:21" x14ac:dyDescent="0.3">
      <c r="A36" t="s">
        <v>27</v>
      </c>
      <c r="B36" t="s">
        <v>68</v>
      </c>
      <c r="C36">
        <v>143</v>
      </c>
      <c r="D36" t="s">
        <v>14</v>
      </c>
      <c r="E36" t="s">
        <v>45</v>
      </c>
      <c r="F36" s="3" t="s">
        <v>256</v>
      </c>
      <c r="G36">
        <v>20018</v>
      </c>
      <c r="H36" t="s">
        <v>219</v>
      </c>
      <c r="I36" t="s">
        <v>221</v>
      </c>
      <c r="J36" t="s">
        <v>95</v>
      </c>
      <c r="K36" t="s">
        <v>95</v>
      </c>
      <c r="L36" t="s">
        <v>95</v>
      </c>
      <c r="M36" t="s">
        <v>95</v>
      </c>
      <c r="N36" t="s">
        <v>261</v>
      </c>
      <c r="O36">
        <v>43</v>
      </c>
      <c r="P36" s="7">
        <v>2475</v>
      </c>
      <c r="Q36">
        <v>0.18</v>
      </c>
      <c r="R36">
        <v>1.57</v>
      </c>
      <c r="S36" s="5">
        <f>O36/730</f>
        <v>5.8904109589041097E-2</v>
      </c>
      <c r="T36" t="s">
        <v>16</v>
      </c>
      <c r="U36" t="s">
        <v>16</v>
      </c>
    </row>
    <row r="37" spans="1:21" x14ac:dyDescent="0.3">
      <c r="A37" t="s">
        <v>27</v>
      </c>
      <c r="B37" t="s">
        <v>24</v>
      </c>
      <c r="C37">
        <v>143</v>
      </c>
      <c r="D37" t="s">
        <v>14</v>
      </c>
      <c r="E37" t="s">
        <v>45</v>
      </c>
      <c r="F37" s="3" t="s">
        <v>50</v>
      </c>
      <c r="G37">
        <v>20018</v>
      </c>
      <c r="H37" t="s">
        <v>219</v>
      </c>
      <c r="I37" t="s">
        <v>225</v>
      </c>
      <c r="J37" t="s">
        <v>270</v>
      </c>
      <c r="K37" t="s">
        <v>95</v>
      </c>
      <c r="L37" t="s">
        <v>95</v>
      </c>
      <c r="M37" t="s">
        <v>95</v>
      </c>
      <c r="N37" t="s">
        <v>95</v>
      </c>
      <c r="O37">
        <v>327</v>
      </c>
      <c r="P37" s="7">
        <v>17376</v>
      </c>
      <c r="Q37">
        <v>0.18</v>
      </c>
      <c r="R37">
        <v>1.53</v>
      </c>
      <c r="S37" s="5">
        <f>O37/730</f>
        <v>0.44794520547945205</v>
      </c>
      <c r="T37" t="s">
        <v>16</v>
      </c>
      <c r="U37" t="s">
        <v>16</v>
      </c>
    </row>
    <row r="38" spans="1:21" x14ac:dyDescent="0.3">
      <c r="A38" t="s">
        <v>27</v>
      </c>
      <c r="B38" t="s">
        <v>24</v>
      </c>
      <c r="C38">
        <v>143</v>
      </c>
      <c r="D38" t="s">
        <v>14</v>
      </c>
      <c r="E38" t="s">
        <v>45</v>
      </c>
      <c r="F38" s="3" t="s">
        <v>52</v>
      </c>
      <c r="G38">
        <v>20018</v>
      </c>
      <c r="H38" t="s">
        <v>219</v>
      </c>
      <c r="I38" t="s">
        <v>225</v>
      </c>
      <c r="J38" t="s">
        <v>95</v>
      </c>
      <c r="K38" t="s">
        <v>276</v>
      </c>
      <c r="L38" t="s">
        <v>95</v>
      </c>
      <c r="M38" t="s">
        <v>95</v>
      </c>
      <c r="N38" t="s">
        <v>53</v>
      </c>
      <c r="O38">
        <v>65</v>
      </c>
      <c r="P38" s="7">
        <v>4182</v>
      </c>
      <c r="Q38">
        <v>0.18</v>
      </c>
      <c r="R38">
        <v>1.64</v>
      </c>
      <c r="S38" s="5">
        <f>O38/730</f>
        <v>8.9041095890410954E-2</v>
      </c>
      <c r="T38" t="s">
        <v>16</v>
      </c>
      <c r="U38" t="s">
        <v>16</v>
      </c>
    </row>
    <row r="39" spans="1:21" x14ac:dyDescent="0.3">
      <c r="A39" t="s">
        <v>27</v>
      </c>
      <c r="B39" t="s">
        <v>313</v>
      </c>
      <c r="C39">
        <v>143</v>
      </c>
      <c r="D39" t="s">
        <v>14</v>
      </c>
      <c r="E39" t="s">
        <v>45</v>
      </c>
      <c r="F39" s="3" t="s">
        <v>61</v>
      </c>
      <c r="G39">
        <v>20018</v>
      </c>
      <c r="H39" t="s">
        <v>219</v>
      </c>
      <c r="I39" t="s">
        <v>222</v>
      </c>
      <c r="J39" t="s">
        <v>315</v>
      </c>
      <c r="K39" t="s">
        <v>53</v>
      </c>
      <c r="L39" t="s">
        <v>53</v>
      </c>
      <c r="M39" t="s">
        <v>53</v>
      </c>
      <c r="N39" t="s">
        <v>53</v>
      </c>
      <c r="O39">
        <v>54</v>
      </c>
      <c r="P39" s="7">
        <v>4525</v>
      </c>
      <c r="Q39">
        <v>0.18</v>
      </c>
      <c r="R39">
        <v>1.83</v>
      </c>
      <c r="S39" s="5">
        <f>O39/730</f>
        <v>7.3972602739726029E-2</v>
      </c>
      <c r="T39" t="s">
        <v>16</v>
      </c>
      <c r="U39" t="s">
        <v>16</v>
      </c>
    </row>
    <row r="40" spans="1:21" x14ac:dyDescent="0.3">
      <c r="A40" t="s">
        <v>27</v>
      </c>
      <c r="B40" t="s">
        <v>68</v>
      </c>
      <c r="C40">
        <v>143</v>
      </c>
      <c r="D40" t="s">
        <v>14</v>
      </c>
      <c r="E40" t="s">
        <v>45</v>
      </c>
      <c r="F40" s="3" t="s">
        <v>371</v>
      </c>
      <c r="G40">
        <v>20018</v>
      </c>
      <c r="H40" t="s">
        <v>219</v>
      </c>
      <c r="I40" t="s">
        <v>222</v>
      </c>
      <c r="J40" t="s">
        <v>366</v>
      </c>
      <c r="K40" t="s">
        <v>95</v>
      </c>
      <c r="L40" t="s">
        <v>95</v>
      </c>
      <c r="M40" t="s">
        <v>95</v>
      </c>
      <c r="N40" t="s">
        <v>95</v>
      </c>
      <c r="O40">
        <v>32</v>
      </c>
      <c r="P40" s="7">
        <v>3079</v>
      </c>
      <c r="Q40">
        <v>0.18</v>
      </c>
      <c r="R40">
        <v>1.96</v>
      </c>
      <c r="S40" s="5">
        <f>O40/730</f>
        <v>4.3835616438356165E-2</v>
      </c>
      <c r="T40" t="s">
        <v>16</v>
      </c>
      <c r="U40" t="s">
        <v>16</v>
      </c>
    </row>
    <row r="41" spans="1:21" x14ac:dyDescent="0.3">
      <c r="A41" t="s">
        <v>27</v>
      </c>
      <c r="B41" t="s">
        <v>68</v>
      </c>
      <c r="C41">
        <v>143</v>
      </c>
      <c r="D41" t="s">
        <v>14</v>
      </c>
      <c r="E41" t="s">
        <v>45</v>
      </c>
      <c r="F41" s="3" t="s">
        <v>408</v>
      </c>
      <c r="G41">
        <v>20018</v>
      </c>
      <c r="H41" t="s">
        <v>219</v>
      </c>
      <c r="I41" t="s">
        <v>225</v>
      </c>
      <c r="J41" t="s">
        <v>409</v>
      </c>
      <c r="K41" t="s">
        <v>95</v>
      </c>
      <c r="L41" t="s">
        <v>95</v>
      </c>
      <c r="M41" t="s">
        <v>95</v>
      </c>
      <c r="N41" t="s">
        <v>95</v>
      </c>
      <c r="O41">
        <v>22</v>
      </c>
      <c r="P41" s="7">
        <v>4779</v>
      </c>
      <c r="Q41">
        <v>0.18</v>
      </c>
      <c r="R41">
        <v>3.17</v>
      </c>
      <c r="S41" s="5">
        <f>O41/730</f>
        <v>3.0136986301369864E-2</v>
      </c>
      <c r="T41" t="s">
        <v>16</v>
      </c>
      <c r="U41" t="s">
        <v>16</v>
      </c>
    </row>
    <row r="42" spans="1:21" x14ac:dyDescent="0.3">
      <c r="A42" t="s">
        <v>27</v>
      </c>
      <c r="B42" t="s">
        <v>68</v>
      </c>
      <c r="C42">
        <v>143</v>
      </c>
      <c r="D42" t="s">
        <v>14</v>
      </c>
      <c r="E42" t="s">
        <v>45</v>
      </c>
      <c r="F42" s="3" t="s">
        <v>439</v>
      </c>
      <c r="G42">
        <v>20018</v>
      </c>
      <c r="H42" t="s">
        <v>219</v>
      </c>
      <c r="I42" t="s">
        <v>220</v>
      </c>
      <c r="J42" t="s">
        <v>95</v>
      </c>
      <c r="K42" t="s">
        <v>95</v>
      </c>
      <c r="L42" t="s">
        <v>440</v>
      </c>
      <c r="M42" t="s">
        <v>95</v>
      </c>
      <c r="N42" t="s">
        <v>392</v>
      </c>
      <c r="O42">
        <v>27</v>
      </c>
      <c r="P42" s="7">
        <v>7298</v>
      </c>
      <c r="Q42">
        <v>0.18</v>
      </c>
      <c r="R42">
        <v>3.7</v>
      </c>
      <c r="S42" s="5">
        <f>O42/730</f>
        <v>3.6986301369863014E-2</v>
      </c>
      <c r="T42" t="s">
        <v>16</v>
      </c>
      <c r="U42" t="s">
        <v>16</v>
      </c>
    </row>
    <row r="43" spans="1:21" x14ac:dyDescent="0.3">
      <c r="A43" t="s">
        <v>27</v>
      </c>
      <c r="B43" t="s">
        <v>536</v>
      </c>
      <c r="C43">
        <v>143</v>
      </c>
      <c r="D43" t="s">
        <v>14</v>
      </c>
      <c r="E43" t="s">
        <v>570</v>
      </c>
      <c r="F43" s="3" t="s">
        <v>601</v>
      </c>
      <c r="G43">
        <v>20018</v>
      </c>
      <c r="H43" t="s">
        <v>219</v>
      </c>
      <c r="I43" t="s">
        <v>605</v>
      </c>
      <c r="J43" t="s">
        <v>477</v>
      </c>
      <c r="K43" t="s">
        <v>95</v>
      </c>
      <c r="L43" t="s">
        <v>95</v>
      </c>
      <c r="M43" t="s">
        <v>95</v>
      </c>
      <c r="N43" t="s">
        <v>606</v>
      </c>
      <c r="O43">
        <v>65</v>
      </c>
      <c r="P43" s="7">
        <v>5284</v>
      </c>
      <c r="Q43">
        <v>0.18</v>
      </c>
      <c r="R43">
        <v>1.81</v>
      </c>
      <c r="S43" s="5">
        <f>O43/730</f>
        <v>8.9041095890410954E-2</v>
      </c>
      <c r="T43" t="s">
        <v>16</v>
      </c>
      <c r="U43" t="s">
        <v>16</v>
      </c>
    </row>
    <row r="44" spans="1:21" x14ac:dyDescent="0.3">
      <c r="A44" t="s">
        <v>27</v>
      </c>
      <c r="B44" t="s">
        <v>536</v>
      </c>
      <c r="C44">
        <v>143</v>
      </c>
      <c r="D44" t="s">
        <v>14</v>
      </c>
      <c r="E44" t="s">
        <v>570</v>
      </c>
      <c r="F44" s="3" t="s">
        <v>626</v>
      </c>
      <c r="G44">
        <v>20018</v>
      </c>
      <c r="H44" t="s">
        <v>219</v>
      </c>
      <c r="I44" t="s">
        <v>605</v>
      </c>
      <c r="J44" t="s">
        <v>629</v>
      </c>
      <c r="K44" t="s">
        <v>449</v>
      </c>
      <c r="L44" t="s">
        <v>95</v>
      </c>
      <c r="M44" t="s">
        <v>95</v>
      </c>
      <c r="N44" t="s">
        <v>627</v>
      </c>
      <c r="O44">
        <v>22</v>
      </c>
      <c r="P44" s="7">
        <v>1890</v>
      </c>
      <c r="Q44">
        <v>0.18</v>
      </c>
      <c r="R44">
        <v>1.85</v>
      </c>
      <c r="S44" s="5">
        <f>O44/730</f>
        <v>3.0136986301369864E-2</v>
      </c>
      <c r="T44" t="s">
        <v>16</v>
      </c>
      <c r="U44" t="s">
        <v>16</v>
      </c>
    </row>
    <row r="45" spans="1:21" x14ac:dyDescent="0.3">
      <c r="A45" t="s">
        <v>27</v>
      </c>
      <c r="B45" t="s">
        <v>68</v>
      </c>
      <c r="C45">
        <v>143</v>
      </c>
      <c r="D45" t="s">
        <v>14</v>
      </c>
      <c r="E45" t="s">
        <v>570</v>
      </c>
      <c r="F45" s="3" t="s">
        <v>198</v>
      </c>
      <c r="G45">
        <v>20018</v>
      </c>
      <c r="H45" t="s">
        <v>219</v>
      </c>
      <c r="I45" t="s">
        <v>630</v>
      </c>
      <c r="J45" t="s">
        <v>640</v>
      </c>
      <c r="K45" t="s">
        <v>95</v>
      </c>
      <c r="L45" t="s">
        <v>643</v>
      </c>
      <c r="M45" t="s">
        <v>640</v>
      </c>
      <c r="N45" t="s">
        <v>95</v>
      </c>
      <c r="O45">
        <v>60</v>
      </c>
      <c r="P45" s="7">
        <v>3414</v>
      </c>
      <c r="Q45">
        <v>0.18</v>
      </c>
      <c r="R45">
        <v>1.56</v>
      </c>
      <c r="S45" s="5">
        <f>O45/730</f>
        <v>8.2191780821917804E-2</v>
      </c>
      <c r="T45" t="s">
        <v>16</v>
      </c>
      <c r="U45" t="s">
        <v>16</v>
      </c>
    </row>
    <row r="46" spans="1:21" x14ac:dyDescent="0.3">
      <c r="A46" t="s">
        <v>27</v>
      </c>
      <c r="B46" t="s">
        <v>68</v>
      </c>
      <c r="C46">
        <v>143</v>
      </c>
      <c r="D46" t="s">
        <v>14</v>
      </c>
      <c r="E46" t="s">
        <v>570</v>
      </c>
      <c r="F46" s="3" t="s">
        <v>699</v>
      </c>
      <c r="G46">
        <v>20018</v>
      </c>
      <c r="H46" t="s">
        <v>219</v>
      </c>
      <c r="I46" t="s">
        <v>220</v>
      </c>
      <c r="J46" t="s">
        <v>95</v>
      </c>
      <c r="K46" t="s">
        <v>700</v>
      </c>
      <c r="L46" t="s">
        <v>640</v>
      </c>
      <c r="M46" t="s">
        <v>95</v>
      </c>
      <c r="N46" t="s">
        <v>640</v>
      </c>
      <c r="O46">
        <v>27</v>
      </c>
      <c r="P46" s="7">
        <v>4848</v>
      </c>
      <c r="Q46">
        <v>0.18</v>
      </c>
      <c r="R46">
        <v>2.79</v>
      </c>
      <c r="S46" s="5">
        <f>O46/730</f>
        <v>3.6986301369863014E-2</v>
      </c>
      <c r="T46" t="s">
        <v>16</v>
      </c>
      <c r="U46" t="s">
        <v>16</v>
      </c>
    </row>
    <row r="47" spans="1:21" x14ac:dyDescent="0.3">
      <c r="A47" t="s">
        <v>27</v>
      </c>
      <c r="B47" t="s">
        <v>313</v>
      </c>
      <c r="C47">
        <v>143</v>
      </c>
      <c r="D47" t="s">
        <v>14</v>
      </c>
      <c r="E47" t="s">
        <v>45</v>
      </c>
      <c r="F47" s="3" t="s">
        <v>61</v>
      </c>
      <c r="G47">
        <v>20018</v>
      </c>
      <c r="H47" t="s">
        <v>219</v>
      </c>
      <c r="I47" t="s">
        <v>225</v>
      </c>
      <c r="J47" t="s">
        <v>314</v>
      </c>
      <c r="K47" t="s">
        <v>53</v>
      </c>
      <c r="L47" t="s">
        <v>53</v>
      </c>
      <c r="M47" t="s">
        <v>53</v>
      </c>
      <c r="N47" t="s">
        <v>53</v>
      </c>
      <c r="O47">
        <v>156</v>
      </c>
      <c r="P47" s="7">
        <v>12271</v>
      </c>
      <c r="Q47">
        <v>0.17</v>
      </c>
      <c r="R47">
        <v>1.78</v>
      </c>
      <c r="S47" s="5">
        <f>O47/730</f>
        <v>0.21369863013698631</v>
      </c>
      <c r="T47" t="s">
        <v>16</v>
      </c>
      <c r="U47" t="s">
        <v>16</v>
      </c>
    </row>
    <row r="48" spans="1:21" x14ac:dyDescent="0.3">
      <c r="A48" t="s">
        <v>27</v>
      </c>
      <c r="B48" t="s">
        <v>24</v>
      </c>
      <c r="C48">
        <v>143</v>
      </c>
      <c r="D48" t="s">
        <v>14</v>
      </c>
      <c r="E48" t="s">
        <v>45</v>
      </c>
      <c r="F48" s="3" t="s">
        <v>322</v>
      </c>
      <c r="G48">
        <v>20018</v>
      </c>
      <c r="H48" t="s">
        <v>219</v>
      </c>
      <c r="I48" t="s">
        <v>323</v>
      </c>
      <c r="J48" t="s">
        <v>95</v>
      </c>
      <c r="K48" t="s">
        <v>95</v>
      </c>
      <c r="L48" t="s">
        <v>53</v>
      </c>
      <c r="M48" t="s">
        <v>53</v>
      </c>
      <c r="N48" t="s">
        <v>324</v>
      </c>
      <c r="O48">
        <v>40</v>
      </c>
      <c r="P48" s="7">
        <v>5878</v>
      </c>
      <c r="Q48">
        <v>0.17</v>
      </c>
      <c r="R48">
        <v>2.46</v>
      </c>
      <c r="S48" s="5">
        <f>O48/730</f>
        <v>5.4794520547945202E-2</v>
      </c>
      <c r="T48" t="s">
        <v>16</v>
      </c>
      <c r="U48" t="s">
        <v>16</v>
      </c>
    </row>
    <row r="49" spans="1:21" x14ac:dyDescent="0.3">
      <c r="A49" t="s">
        <v>27</v>
      </c>
      <c r="B49" t="s">
        <v>68</v>
      </c>
      <c r="C49">
        <v>143</v>
      </c>
      <c r="D49" t="s">
        <v>14</v>
      </c>
      <c r="E49" t="s">
        <v>45</v>
      </c>
      <c r="F49" s="3" t="s">
        <v>65</v>
      </c>
      <c r="G49">
        <v>20018</v>
      </c>
      <c r="H49" t="s">
        <v>219</v>
      </c>
      <c r="I49" t="s">
        <v>225</v>
      </c>
      <c r="J49" t="s">
        <v>95</v>
      </c>
      <c r="K49" t="s">
        <v>365</v>
      </c>
      <c r="L49" t="s">
        <v>95</v>
      </c>
      <c r="M49" t="s">
        <v>344</v>
      </c>
      <c r="N49" t="s">
        <v>95</v>
      </c>
      <c r="O49">
        <v>98</v>
      </c>
      <c r="P49" s="7">
        <v>6431</v>
      </c>
      <c r="Q49">
        <v>0.17</v>
      </c>
      <c r="R49">
        <v>1.65</v>
      </c>
      <c r="S49" s="5">
        <f>O49/730</f>
        <v>0.13424657534246576</v>
      </c>
      <c r="T49" t="s">
        <v>16</v>
      </c>
      <c r="U49" t="s">
        <v>16</v>
      </c>
    </row>
    <row r="50" spans="1:21" x14ac:dyDescent="0.3">
      <c r="A50" t="s">
        <v>27</v>
      </c>
      <c r="B50" t="s">
        <v>68</v>
      </c>
      <c r="C50">
        <v>143</v>
      </c>
      <c r="D50" t="s">
        <v>14</v>
      </c>
      <c r="E50" t="s">
        <v>45</v>
      </c>
      <c r="F50" s="3" t="s">
        <v>65</v>
      </c>
      <c r="G50">
        <v>20018</v>
      </c>
      <c r="H50" t="s">
        <v>219</v>
      </c>
      <c r="I50" t="s">
        <v>367</v>
      </c>
      <c r="J50" t="s">
        <v>95</v>
      </c>
      <c r="K50" t="s">
        <v>368</v>
      </c>
      <c r="L50" t="s">
        <v>95</v>
      </c>
      <c r="M50" t="s">
        <v>344</v>
      </c>
      <c r="N50" t="s">
        <v>95</v>
      </c>
      <c r="O50">
        <v>23</v>
      </c>
      <c r="P50" s="7">
        <v>8118</v>
      </c>
      <c r="Q50">
        <v>0.17</v>
      </c>
      <c r="R50">
        <v>4.5199999999999996</v>
      </c>
      <c r="S50" s="5">
        <f>O50/730</f>
        <v>3.1506849315068496E-2</v>
      </c>
      <c r="T50" t="s">
        <v>16</v>
      </c>
      <c r="U50" t="s">
        <v>16</v>
      </c>
    </row>
    <row r="51" spans="1:21" x14ac:dyDescent="0.3">
      <c r="A51" t="s">
        <v>27</v>
      </c>
      <c r="B51" t="s">
        <v>68</v>
      </c>
      <c r="C51">
        <v>143</v>
      </c>
      <c r="D51" t="s">
        <v>14</v>
      </c>
      <c r="E51" t="s">
        <v>45</v>
      </c>
      <c r="F51" s="3" t="s">
        <v>379</v>
      </c>
      <c r="G51">
        <v>20018</v>
      </c>
      <c r="H51" t="s">
        <v>219</v>
      </c>
      <c r="I51" t="s">
        <v>222</v>
      </c>
      <c r="J51" t="s">
        <v>95</v>
      </c>
      <c r="K51" t="s">
        <v>95</v>
      </c>
      <c r="L51" t="s">
        <v>382</v>
      </c>
      <c r="M51" t="s">
        <v>95</v>
      </c>
      <c r="N51" t="s">
        <v>381</v>
      </c>
      <c r="O51">
        <v>35</v>
      </c>
      <c r="P51" s="7">
        <v>6819</v>
      </c>
      <c r="Q51">
        <v>0.17</v>
      </c>
      <c r="R51">
        <v>2.94</v>
      </c>
      <c r="S51" s="5">
        <f>O51/730</f>
        <v>4.7945205479452052E-2</v>
      </c>
      <c r="T51" t="s">
        <v>16</v>
      </c>
      <c r="U51" t="s">
        <v>16</v>
      </c>
    </row>
    <row r="52" spans="1:21" x14ac:dyDescent="0.3">
      <c r="A52" t="s">
        <v>27</v>
      </c>
      <c r="B52" t="s">
        <v>47</v>
      </c>
      <c r="C52">
        <v>143</v>
      </c>
      <c r="D52" t="s">
        <v>14</v>
      </c>
      <c r="E52" t="s">
        <v>45</v>
      </c>
      <c r="F52" s="3" t="s">
        <v>391</v>
      </c>
      <c r="G52">
        <v>20018</v>
      </c>
      <c r="H52" t="s">
        <v>219</v>
      </c>
      <c r="I52" t="s">
        <v>225</v>
      </c>
      <c r="J52" t="s">
        <v>392</v>
      </c>
      <c r="K52" t="s">
        <v>95</v>
      </c>
      <c r="L52" t="s">
        <v>393</v>
      </c>
      <c r="M52" t="s">
        <v>95</v>
      </c>
      <c r="N52" t="s">
        <v>387</v>
      </c>
      <c r="O52">
        <v>47</v>
      </c>
      <c r="P52" s="7">
        <v>4986</v>
      </c>
      <c r="Q52">
        <v>0.17</v>
      </c>
      <c r="R52">
        <v>2.06</v>
      </c>
      <c r="S52" s="5">
        <f>O52/730</f>
        <v>6.4383561643835616E-2</v>
      </c>
      <c r="T52" t="s">
        <v>16</v>
      </c>
      <c r="U52" t="s">
        <v>16</v>
      </c>
    </row>
    <row r="53" spans="1:21" x14ac:dyDescent="0.3">
      <c r="A53" t="s">
        <v>27</v>
      </c>
      <c r="B53" t="s">
        <v>68</v>
      </c>
      <c r="C53">
        <v>143</v>
      </c>
      <c r="D53" t="s">
        <v>14</v>
      </c>
      <c r="E53" t="s">
        <v>45</v>
      </c>
      <c r="F53" s="3" t="s">
        <v>451</v>
      </c>
      <c r="G53">
        <v>20018</v>
      </c>
      <c r="H53" t="s">
        <v>219</v>
      </c>
      <c r="I53" t="s">
        <v>222</v>
      </c>
      <c r="J53" t="s">
        <v>95</v>
      </c>
      <c r="K53" t="s">
        <v>449</v>
      </c>
      <c r="L53" t="s">
        <v>95</v>
      </c>
      <c r="M53" t="s">
        <v>445</v>
      </c>
      <c r="N53" t="s">
        <v>452</v>
      </c>
      <c r="O53">
        <v>28</v>
      </c>
      <c r="P53" s="7">
        <v>4358</v>
      </c>
      <c r="Q53">
        <v>0.17</v>
      </c>
      <c r="R53">
        <v>2.5499999999999998</v>
      </c>
      <c r="S53" s="5">
        <f>O53/730</f>
        <v>3.8356164383561646E-2</v>
      </c>
      <c r="T53" t="s">
        <v>16</v>
      </c>
      <c r="U53" t="s">
        <v>16</v>
      </c>
    </row>
    <row r="54" spans="1:21" x14ac:dyDescent="0.3">
      <c r="A54" t="s">
        <v>27</v>
      </c>
      <c r="B54" t="s">
        <v>459</v>
      </c>
      <c r="C54">
        <v>143</v>
      </c>
      <c r="D54" t="s">
        <v>14</v>
      </c>
      <c r="E54" t="s">
        <v>45</v>
      </c>
      <c r="F54" s="3" t="s">
        <v>116</v>
      </c>
      <c r="G54">
        <v>20018</v>
      </c>
      <c r="H54" t="s">
        <v>219</v>
      </c>
      <c r="I54" t="s">
        <v>220</v>
      </c>
      <c r="J54" t="s">
        <v>95</v>
      </c>
      <c r="K54" t="s">
        <v>95</v>
      </c>
      <c r="L54" t="s">
        <v>95</v>
      </c>
      <c r="M54" t="s">
        <v>463</v>
      </c>
      <c r="N54" t="s">
        <v>95</v>
      </c>
      <c r="O54">
        <v>39</v>
      </c>
      <c r="P54" s="7">
        <v>2338</v>
      </c>
      <c r="Q54">
        <v>0.17</v>
      </c>
      <c r="R54">
        <v>1.59</v>
      </c>
      <c r="S54" s="5">
        <f>O54/730</f>
        <v>5.3424657534246578E-2</v>
      </c>
      <c r="T54" t="s">
        <v>16</v>
      </c>
      <c r="U54" t="s">
        <v>16</v>
      </c>
    </row>
    <row r="55" spans="1:21" x14ac:dyDescent="0.3">
      <c r="A55" t="s">
        <v>27</v>
      </c>
      <c r="B55" t="s">
        <v>459</v>
      </c>
      <c r="C55">
        <v>143</v>
      </c>
      <c r="D55" t="s">
        <v>14</v>
      </c>
      <c r="E55" t="s">
        <v>45</v>
      </c>
      <c r="F55" s="3" t="s">
        <v>464</v>
      </c>
      <c r="G55">
        <v>20018</v>
      </c>
      <c r="H55" t="s">
        <v>219</v>
      </c>
      <c r="I55" t="s">
        <v>220</v>
      </c>
      <c r="J55" t="s">
        <v>95</v>
      </c>
      <c r="K55" t="s">
        <v>95</v>
      </c>
      <c r="L55" t="s">
        <v>95</v>
      </c>
      <c r="M55" t="s">
        <v>465</v>
      </c>
      <c r="N55" t="s">
        <v>95</v>
      </c>
      <c r="O55">
        <v>97</v>
      </c>
      <c r="P55" s="7">
        <v>4584</v>
      </c>
      <c r="Q55">
        <v>0.17</v>
      </c>
      <c r="R55">
        <v>1.47</v>
      </c>
      <c r="S55" s="5">
        <f>O55/730</f>
        <v>0.13287671232876713</v>
      </c>
      <c r="T55" t="s">
        <v>16</v>
      </c>
      <c r="U55" t="s">
        <v>16</v>
      </c>
    </row>
    <row r="56" spans="1:21" x14ac:dyDescent="0.3">
      <c r="A56" t="s">
        <v>27</v>
      </c>
      <c r="B56" t="s">
        <v>68</v>
      </c>
      <c r="C56">
        <v>143</v>
      </c>
      <c r="D56" t="s">
        <v>14</v>
      </c>
      <c r="E56" t="s">
        <v>45</v>
      </c>
      <c r="F56" s="3" t="s">
        <v>474</v>
      </c>
      <c r="G56">
        <v>20018</v>
      </c>
      <c r="H56" t="s">
        <v>219</v>
      </c>
      <c r="I56" t="s">
        <v>476</v>
      </c>
      <c r="J56" t="s">
        <v>95</v>
      </c>
      <c r="K56" t="s">
        <v>95</v>
      </c>
      <c r="L56" t="s">
        <v>477</v>
      </c>
      <c r="M56" t="s">
        <v>95</v>
      </c>
      <c r="N56" t="s">
        <v>478</v>
      </c>
      <c r="O56">
        <v>23</v>
      </c>
      <c r="P56" s="7">
        <v>2067</v>
      </c>
      <c r="Q56">
        <v>0.17</v>
      </c>
      <c r="R56">
        <v>1.89</v>
      </c>
      <c r="S56" s="5">
        <f>O56/730</f>
        <v>3.1506849315068496E-2</v>
      </c>
      <c r="T56" t="s">
        <v>16</v>
      </c>
      <c r="U56" t="s">
        <v>16</v>
      </c>
    </row>
    <row r="57" spans="1:21" x14ac:dyDescent="0.3">
      <c r="A57" t="s">
        <v>27</v>
      </c>
      <c r="B57" t="s">
        <v>536</v>
      </c>
      <c r="C57">
        <v>143</v>
      </c>
      <c r="D57" t="s">
        <v>182</v>
      </c>
      <c r="E57" t="s">
        <v>45</v>
      </c>
      <c r="F57" s="3" t="s">
        <v>593</v>
      </c>
      <c r="G57">
        <v>20018</v>
      </c>
      <c r="H57" t="s">
        <v>219</v>
      </c>
      <c r="I57" t="s">
        <v>591</v>
      </c>
      <c r="J57" t="s">
        <v>95</v>
      </c>
      <c r="K57" t="s">
        <v>594</v>
      </c>
      <c r="L57" t="s">
        <v>579</v>
      </c>
      <c r="M57" t="s">
        <v>95</v>
      </c>
      <c r="N57" t="s">
        <v>595</v>
      </c>
      <c r="O57">
        <v>28</v>
      </c>
      <c r="P57" s="7">
        <v>7578</v>
      </c>
      <c r="Q57">
        <v>0.17</v>
      </c>
      <c r="R57">
        <v>3.7</v>
      </c>
      <c r="S57" s="5">
        <f>O57/730</f>
        <v>3.8356164383561646E-2</v>
      </c>
      <c r="T57" t="s">
        <v>16</v>
      </c>
      <c r="U57" t="s">
        <v>16</v>
      </c>
    </row>
    <row r="58" spans="1:21" x14ac:dyDescent="0.3">
      <c r="A58" t="s">
        <v>27</v>
      </c>
      <c r="B58" t="s">
        <v>536</v>
      </c>
      <c r="C58">
        <v>143</v>
      </c>
      <c r="D58" t="s">
        <v>182</v>
      </c>
      <c r="E58" t="s">
        <v>45</v>
      </c>
      <c r="F58" s="3" t="s">
        <v>57</v>
      </c>
      <c r="G58">
        <v>20018</v>
      </c>
      <c r="H58" t="s">
        <v>219</v>
      </c>
      <c r="I58" t="s">
        <v>507</v>
      </c>
      <c r="J58" t="s">
        <v>95</v>
      </c>
      <c r="K58" t="s">
        <v>594</v>
      </c>
      <c r="L58" t="s">
        <v>579</v>
      </c>
      <c r="M58" t="s">
        <v>95</v>
      </c>
      <c r="N58" t="s">
        <v>597</v>
      </c>
      <c r="O58">
        <v>39</v>
      </c>
      <c r="P58" s="7">
        <v>4165</v>
      </c>
      <c r="Q58">
        <v>0.17</v>
      </c>
      <c r="R58">
        <v>2.06</v>
      </c>
      <c r="S58" s="5">
        <f>O58/730</f>
        <v>5.3424657534246578E-2</v>
      </c>
      <c r="T58" t="s">
        <v>16</v>
      </c>
      <c r="U58" t="s">
        <v>16</v>
      </c>
    </row>
    <row r="59" spans="1:21" x14ac:dyDescent="0.3">
      <c r="A59" t="s">
        <v>27</v>
      </c>
      <c r="B59" t="s">
        <v>655</v>
      </c>
      <c r="C59">
        <v>143</v>
      </c>
      <c r="D59" t="s">
        <v>14</v>
      </c>
      <c r="E59" t="s">
        <v>570</v>
      </c>
      <c r="F59" s="3" t="s">
        <v>656</v>
      </c>
      <c r="G59">
        <v>20018</v>
      </c>
      <c r="H59" t="s">
        <v>219</v>
      </c>
      <c r="I59" t="s">
        <v>657</v>
      </c>
      <c r="J59" t="s">
        <v>640</v>
      </c>
      <c r="K59" t="s">
        <v>658</v>
      </c>
      <c r="L59" t="s">
        <v>95</v>
      </c>
      <c r="M59" t="s">
        <v>95</v>
      </c>
      <c r="N59" t="s">
        <v>95</v>
      </c>
      <c r="O59">
        <v>63</v>
      </c>
      <c r="P59" s="7">
        <v>2005</v>
      </c>
      <c r="Q59">
        <v>0.17</v>
      </c>
      <c r="R59">
        <v>1.31</v>
      </c>
      <c r="S59" s="5">
        <f>O59/730</f>
        <v>8.6301369863013705E-2</v>
      </c>
      <c r="T59" t="s">
        <v>16</v>
      </c>
      <c r="U59" t="s">
        <v>16</v>
      </c>
    </row>
    <row r="60" spans="1:21" x14ac:dyDescent="0.3">
      <c r="A60" t="s">
        <v>27</v>
      </c>
      <c r="B60" t="s">
        <v>24</v>
      </c>
      <c r="C60">
        <v>143</v>
      </c>
      <c r="D60" t="s">
        <v>14</v>
      </c>
      <c r="E60" t="s">
        <v>570</v>
      </c>
      <c r="F60" s="3" t="s">
        <v>682</v>
      </c>
      <c r="G60">
        <v>20018</v>
      </c>
      <c r="H60" t="s">
        <v>219</v>
      </c>
      <c r="I60" t="s">
        <v>222</v>
      </c>
      <c r="J60" t="s">
        <v>677</v>
      </c>
      <c r="K60" t="s">
        <v>344</v>
      </c>
      <c r="L60" t="s">
        <v>684</v>
      </c>
      <c r="M60" t="s">
        <v>683</v>
      </c>
      <c r="N60" t="s">
        <v>95</v>
      </c>
      <c r="O60">
        <v>58</v>
      </c>
      <c r="P60" s="7">
        <v>6538</v>
      </c>
      <c r="Q60">
        <v>0.17</v>
      </c>
      <c r="R60">
        <v>2.12</v>
      </c>
      <c r="S60" s="5">
        <f>O60/730</f>
        <v>7.9452054794520555E-2</v>
      </c>
      <c r="T60" t="s">
        <v>16</v>
      </c>
      <c r="U60" t="s">
        <v>16</v>
      </c>
    </row>
    <row r="61" spans="1:21" x14ac:dyDescent="0.3">
      <c r="A61" t="s">
        <v>27</v>
      </c>
      <c r="B61" t="s">
        <v>68</v>
      </c>
      <c r="C61">
        <v>143</v>
      </c>
      <c r="D61" t="s">
        <v>14</v>
      </c>
      <c r="E61" t="s">
        <v>570</v>
      </c>
      <c r="F61" s="3" t="s">
        <v>695</v>
      </c>
      <c r="G61">
        <v>20018</v>
      </c>
      <c r="H61" t="s">
        <v>219</v>
      </c>
      <c r="I61" t="s">
        <v>667</v>
      </c>
      <c r="J61" t="s">
        <v>95</v>
      </c>
      <c r="K61" t="s">
        <v>344</v>
      </c>
      <c r="L61" t="s">
        <v>696</v>
      </c>
      <c r="M61" t="s">
        <v>95</v>
      </c>
      <c r="N61" t="s">
        <v>95</v>
      </c>
      <c r="O61">
        <v>56</v>
      </c>
      <c r="P61" s="7">
        <v>4856</v>
      </c>
      <c r="Q61">
        <v>0.17</v>
      </c>
      <c r="R61">
        <v>1.86</v>
      </c>
      <c r="S61" s="5">
        <f>O61/730</f>
        <v>7.6712328767123292E-2</v>
      </c>
      <c r="T61" t="s">
        <v>16</v>
      </c>
      <c r="U61" t="s">
        <v>16</v>
      </c>
    </row>
    <row r="62" spans="1:21" x14ac:dyDescent="0.3">
      <c r="A62" t="s">
        <v>27</v>
      </c>
      <c r="B62" t="s">
        <v>47</v>
      </c>
      <c r="C62">
        <v>143</v>
      </c>
      <c r="D62" t="s">
        <v>182</v>
      </c>
      <c r="E62" t="s">
        <v>570</v>
      </c>
      <c r="F62" s="3" t="s">
        <v>615</v>
      </c>
      <c r="G62">
        <v>20018</v>
      </c>
      <c r="H62" t="s">
        <v>219</v>
      </c>
      <c r="I62" t="s">
        <v>225</v>
      </c>
      <c r="J62" t="s">
        <v>95</v>
      </c>
      <c r="K62" t="s">
        <v>95</v>
      </c>
      <c r="L62" t="s">
        <v>95</v>
      </c>
      <c r="M62" t="s">
        <v>725</v>
      </c>
      <c r="N62" t="s">
        <v>95</v>
      </c>
      <c r="O62">
        <v>64</v>
      </c>
      <c r="P62" s="7">
        <v>2645</v>
      </c>
      <c r="Q62">
        <v>0.17</v>
      </c>
      <c r="R62">
        <v>1.41</v>
      </c>
      <c r="S62" s="5">
        <f>O62/730</f>
        <v>8.7671232876712329E-2</v>
      </c>
      <c r="T62" t="s">
        <v>16</v>
      </c>
      <c r="U62" t="s">
        <v>16</v>
      </c>
    </row>
    <row r="63" spans="1:21" x14ac:dyDescent="0.3">
      <c r="A63" t="s">
        <v>27</v>
      </c>
      <c r="B63" t="s">
        <v>726</v>
      </c>
      <c r="C63">
        <v>143</v>
      </c>
      <c r="D63" t="s">
        <v>182</v>
      </c>
      <c r="E63" t="s">
        <v>570</v>
      </c>
      <c r="F63" s="3" t="s">
        <v>727</v>
      </c>
      <c r="G63">
        <v>20018</v>
      </c>
      <c r="H63" t="s">
        <v>219</v>
      </c>
      <c r="I63" t="s">
        <v>225</v>
      </c>
      <c r="J63" t="s">
        <v>95</v>
      </c>
      <c r="K63" t="s">
        <v>728</v>
      </c>
      <c r="L63" t="s">
        <v>95</v>
      </c>
      <c r="M63" t="s">
        <v>555</v>
      </c>
      <c r="N63" t="s">
        <v>95</v>
      </c>
      <c r="O63">
        <v>41</v>
      </c>
      <c r="P63" s="7">
        <v>3467</v>
      </c>
      <c r="Q63">
        <v>0.17</v>
      </c>
      <c r="R63">
        <v>1.84</v>
      </c>
      <c r="S63" s="5">
        <f>O63/730</f>
        <v>5.6164383561643834E-2</v>
      </c>
      <c r="T63" t="s">
        <v>16</v>
      </c>
      <c r="U63" t="s">
        <v>16</v>
      </c>
    </row>
    <row r="64" spans="1:21" x14ac:dyDescent="0.3">
      <c r="A64" t="s">
        <v>27</v>
      </c>
      <c r="B64" t="s">
        <v>47</v>
      </c>
      <c r="C64">
        <v>143</v>
      </c>
      <c r="D64" t="s">
        <v>14</v>
      </c>
      <c r="E64" t="s">
        <v>45</v>
      </c>
      <c r="F64" s="3" t="s">
        <v>183</v>
      </c>
      <c r="G64">
        <v>20018</v>
      </c>
      <c r="H64" t="s">
        <v>219</v>
      </c>
      <c r="I64" t="s">
        <v>221</v>
      </c>
      <c r="J64" t="s">
        <v>95</v>
      </c>
      <c r="K64" t="s">
        <v>235</v>
      </c>
      <c r="L64" t="s">
        <v>16</v>
      </c>
      <c r="M64" t="s">
        <v>95</v>
      </c>
      <c r="N64" t="s">
        <v>95</v>
      </c>
      <c r="O64">
        <v>12</v>
      </c>
      <c r="P64" s="7">
        <v>1889</v>
      </c>
      <c r="Q64">
        <v>0.16</v>
      </c>
      <c r="R64">
        <v>2.57</v>
      </c>
      <c r="S64" s="5">
        <f>O64/730</f>
        <v>1.643835616438356E-2</v>
      </c>
      <c r="T64" t="s">
        <v>16</v>
      </c>
      <c r="U64" t="s">
        <v>16</v>
      </c>
    </row>
    <row r="65" spans="1:21" x14ac:dyDescent="0.3">
      <c r="A65" t="s">
        <v>27</v>
      </c>
      <c r="B65" t="s">
        <v>24</v>
      </c>
      <c r="C65">
        <v>143</v>
      </c>
      <c r="D65" t="s">
        <v>14</v>
      </c>
      <c r="E65" t="s">
        <v>45</v>
      </c>
      <c r="F65" s="3" t="s">
        <v>50</v>
      </c>
      <c r="G65">
        <v>20018</v>
      </c>
      <c r="H65" t="s">
        <v>219</v>
      </c>
      <c r="I65" t="s">
        <v>222</v>
      </c>
      <c r="J65" t="s">
        <v>95</v>
      </c>
      <c r="K65" t="s">
        <v>95</v>
      </c>
      <c r="L65" t="s">
        <v>95</v>
      </c>
      <c r="M65" t="s">
        <v>95</v>
      </c>
      <c r="N65" t="s">
        <v>271</v>
      </c>
      <c r="O65">
        <v>395</v>
      </c>
      <c r="P65" s="7">
        <v>11994</v>
      </c>
      <c r="Q65">
        <v>0.16</v>
      </c>
      <c r="R65">
        <v>3.18</v>
      </c>
      <c r="S65" s="5">
        <f>O65/730</f>
        <v>0.54109589041095896</v>
      </c>
      <c r="T65" t="s">
        <v>16</v>
      </c>
      <c r="U65" t="s">
        <v>16</v>
      </c>
    </row>
    <row r="66" spans="1:21" x14ac:dyDescent="0.3">
      <c r="A66" t="s">
        <v>27</v>
      </c>
      <c r="B66" t="s">
        <v>297</v>
      </c>
      <c r="C66">
        <v>143</v>
      </c>
      <c r="D66" t="s">
        <v>14</v>
      </c>
      <c r="E66" t="s">
        <v>45</v>
      </c>
      <c r="F66" s="3" t="s">
        <v>293</v>
      </c>
      <c r="G66">
        <v>20018</v>
      </c>
      <c r="H66" t="s">
        <v>219</v>
      </c>
      <c r="I66" t="s">
        <v>299</v>
      </c>
      <c r="J66" t="s">
        <v>53</v>
      </c>
      <c r="K66" t="s">
        <v>53</v>
      </c>
      <c r="L66" t="s">
        <v>53</v>
      </c>
      <c r="M66" t="s">
        <v>53</v>
      </c>
      <c r="N66" t="s">
        <v>300</v>
      </c>
      <c r="O66">
        <v>18</v>
      </c>
      <c r="P66" s="7">
        <v>839</v>
      </c>
      <c r="Q66">
        <v>0.16</v>
      </c>
      <c r="R66">
        <v>1.46</v>
      </c>
      <c r="S66" s="5">
        <f>O66/730</f>
        <v>2.4657534246575342E-2</v>
      </c>
      <c r="T66" t="s">
        <v>16</v>
      </c>
      <c r="U66" t="s">
        <v>16</v>
      </c>
    </row>
    <row r="67" spans="1:21" x14ac:dyDescent="0.3">
      <c r="A67" t="s">
        <v>27</v>
      </c>
      <c r="B67" t="s">
        <v>68</v>
      </c>
      <c r="C67">
        <v>143</v>
      </c>
      <c r="D67" t="s">
        <v>14</v>
      </c>
      <c r="E67" t="s">
        <v>45</v>
      </c>
      <c r="F67" s="3" t="s">
        <v>379</v>
      </c>
      <c r="G67">
        <v>20018</v>
      </c>
      <c r="H67" t="s">
        <v>219</v>
      </c>
      <c r="I67" t="s">
        <v>220</v>
      </c>
      <c r="J67" t="s">
        <v>383</v>
      </c>
      <c r="K67" t="s">
        <v>95</v>
      </c>
      <c r="L67" t="s">
        <v>95</v>
      </c>
      <c r="M67" t="s">
        <v>95</v>
      </c>
      <c r="N67" t="s">
        <v>381</v>
      </c>
      <c r="O67">
        <v>24</v>
      </c>
      <c r="P67" s="7">
        <v>3750</v>
      </c>
      <c r="Q67">
        <v>0.16</v>
      </c>
      <c r="R67">
        <v>2.56</v>
      </c>
      <c r="S67" s="5">
        <f>O67/730</f>
        <v>3.287671232876712E-2</v>
      </c>
      <c r="T67" t="s">
        <v>16</v>
      </c>
      <c r="U67" t="s">
        <v>16</v>
      </c>
    </row>
    <row r="68" spans="1:21" x14ac:dyDescent="0.3">
      <c r="A68" t="s">
        <v>27</v>
      </c>
      <c r="B68" t="s">
        <v>68</v>
      </c>
      <c r="C68">
        <v>143</v>
      </c>
      <c r="D68" t="s">
        <v>14</v>
      </c>
      <c r="E68" t="s">
        <v>45</v>
      </c>
      <c r="F68" s="3" t="s">
        <v>485</v>
      </c>
      <c r="G68">
        <v>20018</v>
      </c>
      <c r="H68" t="s">
        <v>219</v>
      </c>
      <c r="I68" t="s">
        <v>220</v>
      </c>
      <c r="J68" t="s">
        <v>486</v>
      </c>
      <c r="K68" t="s">
        <v>95</v>
      </c>
      <c r="L68" t="s">
        <v>477</v>
      </c>
      <c r="M68" t="s">
        <v>477</v>
      </c>
      <c r="N68" t="s">
        <v>95</v>
      </c>
      <c r="O68">
        <v>25</v>
      </c>
      <c r="P68" s="7">
        <v>7508</v>
      </c>
      <c r="Q68">
        <v>0.16</v>
      </c>
      <c r="R68">
        <v>4</v>
      </c>
      <c r="S68" s="5">
        <f>O68/730</f>
        <v>3.4246575342465752E-2</v>
      </c>
      <c r="T68" t="s">
        <v>16</v>
      </c>
      <c r="U68" t="s">
        <v>16</v>
      </c>
    </row>
    <row r="69" spans="1:21" x14ac:dyDescent="0.3">
      <c r="A69" t="s">
        <v>27</v>
      </c>
      <c r="B69" t="s">
        <v>68</v>
      </c>
      <c r="C69">
        <v>143</v>
      </c>
      <c r="D69" t="s">
        <v>14</v>
      </c>
      <c r="E69" t="s">
        <v>45</v>
      </c>
      <c r="F69" s="3" t="s">
        <v>504</v>
      </c>
      <c r="G69">
        <v>20018</v>
      </c>
      <c r="H69" t="s">
        <v>219</v>
      </c>
      <c r="I69" t="s">
        <v>376</v>
      </c>
      <c r="J69" t="s">
        <v>95</v>
      </c>
      <c r="K69" t="s">
        <v>477</v>
      </c>
      <c r="L69" t="s">
        <v>95</v>
      </c>
      <c r="M69" t="s">
        <v>95</v>
      </c>
      <c r="N69" t="s">
        <v>505</v>
      </c>
      <c r="O69">
        <v>48</v>
      </c>
      <c r="P69" s="7">
        <v>6155</v>
      </c>
      <c r="Q69">
        <v>0.16</v>
      </c>
      <c r="R69">
        <v>2.2799999999999998</v>
      </c>
      <c r="S69" s="5">
        <f>O69/730</f>
        <v>6.575342465753424E-2</v>
      </c>
      <c r="T69" t="s">
        <v>16</v>
      </c>
      <c r="U69" t="s">
        <v>16</v>
      </c>
    </row>
    <row r="70" spans="1:21" x14ac:dyDescent="0.3">
      <c r="A70" t="s">
        <v>27</v>
      </c>
      <c r="B70" t="s">
        <v>536</v>
      </c>
      <c r="C70">
        <v>143</v>
      </c>
      <c r="D70" t="s">
        <v>14</v>
      </c>
      <c r="E70" t="s">
        <v>45</v>
      </c>
      <c r="F70" s="3" t="s">
        <v>563</v>
      </c>
      <c r="G70">
        <v>20018</v>
      </c>
      <c r="H70" t="s">
        <v>219</v>
      </c>
      <c r="I70" t="s">
        <v>220</v>
      </c>
      <c r="J70" t="s">
        <v>95</v>
      </c>
      <c r="K70" t="s">
        <v>539</v>
      </c>
      <c r="L70" t="s">
        <v>564</v>
      </c>
      <c r="M70" t="s">
        <v>95</v>
      </c>
      <c r="N70" t="s">
        <v>565</v>
      </c>
      <c r="O70">
        <v>25</v>
      </c>
      <c r="P70" s="7">
        <v>5797</v>
      </c>
      <c r="Q70">
        <v>0.16</v>
      </c>
      <c r="R70">
        <v>3.31</v>
      </c>
      <c r="S70" s="5">
        <f>O70/730</f>
        <v>3.4246575342465752E-2</v>
      </c>
      <c r="T70" t="s">
        <v>16</v>
      </c>
      <c r="U70" t="s">
        <v>16</v>
      </c>
    </row>
    <row r="71" spans="1:21" x14ac:dyDescent="0.3">
      <c r="A71" t="s">
        <v>27</v>
      </c>
      <c r="B71" t="s">
        <v>536</v>
      </c>
      <c r="C71">
        <v>143</v>
      </c>
      <c r="D71" t="s">
        <v>182</v>
      </c>
      <c r="E71" t="s">
        <v>45</v>
      </c>
      <c r="F71" s="3" t="s">
        <v>585</v>
      </c>
      <c r="G71">
        <v>20018</v>
      </c>
      <c r="H71" t="s">
        <v>219</v>
      </c>
      <c r="I71" t="s">
        <v>588</v>
      </c>
      <c r="J71" t="s">
        <v>589</v>
      </c>
      <c r="K71" t="s">
        <v>95</v>
      </c>
      <c r="L71" t="s">
        <v>579</v>
      </c>
      <c r="M71" t="s">
        <v>95</v>
      </c>
      <c r="N71" t="s">
        <v>95</v>
      </c>
      <c r="O71">
        <v>36</v>
      </c>
      <c r="P71" s="7">
        <v>7639</v>
      </c>
      <c r="Q71">
        <v>0.16</v>
      </c>
      <c r="R71">
        <v>3.12</v>
      </c>
      <c r="S71" s="5">
        <f>O71/730</f>
        <v>4.9315068493150684E-2</v>
      </c>
      <c r="T71" t="s">
        <v>16</v>
      </c>
      <c r="U71" t="s">
        <v>16</v>
      </c>
    </row>
    <row r="72" spans="1:21" x14ac:dyDescent="0.3">
      <c r="A72" t="s">
        <v>27</v>
      </c>
      <c r="B72" t="s">
        <v>536</v>
      </c>
      <c r="C72">
        <v>143</v>
      </c>
      <c r="D72" t="s">
        <v>14</v>
      </c>
      <c r="E72" t="s">
        <v>570</v>
      </c>
      <c r="F72" s="3" t="s">
        <v>598</v>
      </c>
      <c r="G72">
        <v>20018</v>
      </c>
      <c r="H72" t="s">
        <v>219</v>
      </c>
      <c r="I72" t="s">
        <v>225</v>
      </c>
      <c r="J72" t="s">
        <v>95</v>
      </c>
      <c r="K72" t="s">
        <v>95</v>
      </c>
      <c r="L72" t="s">
        <v>572</v>
      </c>
      <c r="M72" t="s">
        <v>574</v>
      </c>
      <c r="N72" t="s">
        <v>599</v>
      </c>
      <c r="O72">
        <v>37</v>
      </c>
      <c r="P72" s="7">
        <v>4166</v>
      </c>
      <c r="Q72">
        <v>0.16</v>
      </c>
      <c r="R72">
        <v>2.12</v>
      </c>
      <c r="S72" s="5">
        <f>O72/730</f>
        <v>5.0684931506849315E-2</v>
      </c>
      <c r="T72" t="s">
        <v>16</v>
      </c>
      <c r="U72" t="s">
        <v>16</v>
      </c>
    </row>
    <row r="73" spans="1:21" x14ac:dyDescent="0.3">
      <c r="A73" t="s">
        <v>27</v>
      </c>
      <c r="B73" t="s">
        <v>68</v>
      </c>
      <c r="C73">
        <v>143</v>
      </c>
      <c r="D73" t="s">
        <v>14</v>
      </c>
      <c r="E73" t="s">
        <v>570</v>
      </c>
      <c r="F73" s="3" t="s">
        <v>198</v>
      </c>
      <c r="G73">
        <v>20018</v>
      </c>
      <c r="H73" t="s">
        <v>219</v>
      </c>
      <c r="I73" t="s">
        <v>644</v>
      </c>
      <c r="J73" t="s">
        <v>640</v>
      </c>
      <c r="K73" t="s">
        <v>645</v>
      </c>
      <c r="L73" t="s">
        <v>95</v>
      </c>
      <c r="M73" t="s">
        <v>640</v>
      </c>
      <c r="N73" t="s">
        <v>95</v>
      </c>
      <c r="O73">
        <v>242</v>
      </c>
      <c r="P73" s="7">
        <v>8553</v>
      </c>
      <c r="Q73">
        <v>0.16</v>
      </c>
      <c r="R73">
        <v>1.35</v>
      </c>
      <c r="S73" s="5">
        <f>O73/730</f>
        <v>0.33150684931506852</v>
      </c>
      <c r="T73" t="s">
        <v>16</v>
      </c>
      <c r="U73" t="s">
        <v>16</v>
      </c>
    </row>
    <row r="74" spans="1:21" x14ac:dyDescent="0.3">
      <c r="A74" t="s">
        <v>27</v>
      </c>
      <c r="B74" t="s">
        <v>68</v>
      </c>
      <c r="C74">
        <v>143</v>
      </c>
      <c r="D74" t="s">
        <v>14</v>
      </c>
      <c r="E74" t="s">
        <v>570</v>
      </c>
      <c r="F74" s="3" t="s">
        <v>692</v>
      </c>
      <c r="G74">
        <v>20018</v>
      </c>
      <c r="H74" t="s">
        <v>219</v>
      </c>
      <c r="I74" t="s">
        <v>220</v>
      </c>
      <c r="J74" t="s">
        <v>677</v>
      </c>
      <c r="K74" t="s">
        <v>344</v>
      </c>
      <c r="L74" t="s">
        <v>640</v>
      </c>
      <c r="M74" t="s">
        <v>95</v>
      </c>
      <c r="N74" t="s">
        <v>410</v>
      </c>
      <c r="O74">
        <v>37</v>
      </c>
      <c r="P74" s="7">
        <v>9517</v>
      </c>
      <c r="Q74">
        <v>0.16</v>
      </c>
      <c r="R74">
        <v>3.57</v>
      </c>
      <c r="S74" s="5">
        <f>O74/730</f>
        <v>5.0684931506849315E-2</v>
      </c>
      <c r="T74" t="s">
        <v>16</v>
      </c>
      <c r="U74" t="s">
        <v>16</v>
      </c>
    </row>
    <row r="75" spans="1:21" x14ac:dyDescent="0.3">
      <c r="A75" t="s">
        <v>27</v>
      </c>
      <c r="B75" t="s">
        <v>68</v>
      </c>
      <c r="C75">
        <v>143</v>
      </c>
      <c r="D75" t="s">
        <v>14</v>
      </c>
      <c r="E75" t="s">
        <v>570</v>
      </c>
      <c r="F75" s="3" t="s">
        <v>703</v>
      </c>
      <c r="G75">
        <v>20018</v>
      </c>
      <c r="H75" t="s">
        <v>219</v>
      </c>
      <c r="I75" t="s">
        <v>704</v>
      </c>
      <c r="J75" t="s">
        <v>95</v>
      </c>
      <c r="K75" t="s">
        <v>95</v>
      </c>
      <c r="L75" t="s">
        <v>705</v>
      </c>
      <c r="M75" t="s">
        <v>95</v>
      </c>
      <c r="N75" t="s">
        <v>640</v>
      </c>
      <c r="O75">
        <v>25</v>
      </c>
      <c r="P75" s="7">
        <v>3167</v>
      </c>
      <c r="Q75">
        <v>0.16</v>
      </c>
      <c r="R75">
        <v>2.2599999999999998</v>
      </c>
      <c r="S75" s="5">
        <f>O75/730</f>
        <v>3.4246575342465752E-2</v>
      </c>
      <c r="T75" t="s">
        <v>16</v>
      </c>
      <c r="U75" t="s">
        <v>16</v>
      </c>
    </row>
    <row r="76" spans="1:21" x14ac:dyDescent="0.3">
      <c r="A76" t="s">
        <v>27</v>
      </c>
      <c r="B76" t="s">
        <v>24</v>
      </c>
      <c r="C76">
        <v>143</v>
      </c>
      <c r="D76" t="s">
        <v>14</v>
      </c>
      <c r="E76" t="s">
        <v>45</v>
      </c>
      <c r="F76" s="3" t="s">
        <v>251</v>
      </c>
      <c r="G76">
        <v>20018</v>
      </c>
      <c r="H76" t="s">
        <v>219</v>
      </c>
      <c r="I76" t="s">
        <v>225</v>
      </c>
      <c r="J76" t="s">
        <v>253</v>
      </c>
      <c r="K76" t="s">
        <v>53</v>
      </c>
      <c r="L76" t="s">
        <v>95</v>
      </c>
      <c r="M76" t="s">
        <v>95</v>
      </c>
      <c r="N76" t="s">
        <v>53</v>
      </c>
      <c r="O76">
        <v>122</v>
      </c>
      <c r="P76" s="7">
        <v>5732</v>
      </c>
      <c r="Q76">
        <v>0.15</v>
      </c>
      <c r="R76">
        <v>1.46</v>
      </c>
      <c r="S76" s="5">
        <f>O76/730</f>
        <v>0.16712328767123288</v>
      </c>
      <c r="T76" t="s">
        <v>16</v>
      </c>
      <c r="U76" t="s">
        <v>16</v>
      </c>
    </row>
    <row r="77" spans="1:21" x14ac:dyDescent="0.3">
      <c r="A77" t="s">
        <v>27</v>
      </c>
      <c r="B77" t="s">
        <v>47</v>
      </c>
      <c r="C77">
        <v>143</v>
      </c>
      <c r="D77" t="s">
        <v>14</v>
      </c>
      <c r="E77" t="s">
        <v>45</v>
      </c>
      <c r="F77" s="3" t="s">
        <v>306</v>
      </c>
      <c r="G77">
        <v>20018</v>
      </c>
      <c r="H77" t="s">
        <v>219</v>
      </c>
      <c r="I77" t="s">
        <v>220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>
        <v>58</v>
      </c>
      <c r="P77" s="7">
        <v>5156</v>
      </c>
      <c r="Q77">
        <v>0.15</v>
      </c>
      <c r="R77">
        <v>1.88</v>
      </c>
      <c r="S77" s="5">
        <f>O77/730</f>
        <v>7.9452054794520555E-2</v>
      </c>
      <c r="T77" t="s">
        <v>16</v>
      </c>
      <c r="U77" t="s">
        <v>16</v>
      </c>
    </row>
    <row r="78" spans="1:21" x14ac:dyDescent="0.3">
      <c r="A78" t="s">
        <v>27</v>
      </c>
      <c r="B78" t="s">
        <v>24</v>
      </c>
      <c r="C78">
        <v>143</v>
      </c>
      <c r="D78" t="s">
        <v>14</v>
      </c>
      <c r="E78" t="s">
        <v>45</v>
      </c>
      <c r="F78" s="3" t="s">
        <v>322</v>
      </c>
      <c r="G78">
        <v>20018</v>
      </c>
      <c r="H78" t="s">
        <v>219</v>
      </c>
      <c r="I78" t="s">
        <v>220</v>
      </c>
      <c r="J78" t="s">
        <v>325</v>
      </c>
      <c r="K78" t="s">
        <v>95</v>
      </c>
      <c r="L78" t="s">
        <v>53</v>
      </c>
      <c r="M78" t="s">
        <v>53</v>
      </c>
      <c r="N78" t="s">
        <v>53</v>
      </c>
      <c r="O78">
        <v>53</v>
      </c>
      <c r="P78" s="7">
        <v>3528</v>
      </c>
      <c r="Q78">
        <v>0.15</v>
      </c>
      <c r="R78">
        <v>1.66</v>
      </c>
      <c r="S78" s="5">
        <f>O78/730</f>
        <v>7.260273972602739E-2</v>
      </c>
      <c r="T78" t="s">
        <v>16</v>
      </c>
      <c r="U78" t="s">
        <v>16</v>
      </c>
    </row>
    <row r="79" spans="1:21" x14ac:dyDescent="0.3">
      <c r="A79" t="s">
        <v>27</v>
      </c>
      <c r="B79" t="s">
        <v>47</v>
      </c>
      <c r="C79">
        <v>143</v>
      </c>
      <c r="D79" t="s">
        <v>14</v>
      </c>
      <c r="E79" t="s">
        <v>45</v>
      </c>
      <c r="F79" s="3" t="s">
        <v>326</v>
      </c>
      <c r="G79">
        <v>20018</v>
      </c>
      <c r="H79" t="s">
        <v>219</v>
      </c>
      <c r="I79" t="s">
        <v>220</v>
      </c>
      <c r="J79" t="s">
        <v>329</v>
      </c>
      <c r="K79" t="s">
        <v>95</v>
      </c>
      <c r="L79" t="s">
        <v>53</v>
      </c>
      <c r="M79" t="s">
        <v>319</v>
      </c>
      <c r="N79" t="s">
        <v>53</v>
      </c>
      <c r="O79">
        <v>38</v>
      </c>
      <c r="P79" s="7">
        <v>3628</v>
      </c>
      <c r="Q79">
        <v>0.15</v>
      </c>
      <c r="R79">
        <v>1.95</v>
      </c>
      <c r="S79" s="5">
        <f>O79/730</f>
        <v>5.2054794520547946E-2</v>
      </c>
      <c r="T79" t="s">
        <v>16</v>
      </c>
      <c r="U79" t="s">
        <v>16</v>
      </c>
    </row>
    <row r="80" spans="1:21" x14ac:dyDescent="0.3">
      <c r="A80" t="s">
        <v>27</v>
      </c>
      <c r="B80" t="s">
        <v>68</v>
      </c>
      <c r="C80">
        <v>143</v>
      </c>
      <c r="D80" t="s">
        <v>14</v>
      </c>
      <c r="E80" t="s">
        <v>45</v>
      </c>
      <c r="F80" s="3" t="s">
        <v>343</v>
      </c>
      <c r="G80">
        <v>20018</v>
      </c>
      <c r="H80" t="s">
        <v>219</v>
      </c>
      <c r="I80" t="s">
        <v>222</v>
      </c>
      <c r="J80" t="s">
        <v>95</v>
      </c>
      <c r="K80" t="s">
        <v>344</v>
      </c>
      <c r="L80" t="s">
        <v>53</v>
      </c>
      <c r="M80" t="s">
        <v>53</v>
      </c>
      <c r="N80" t="s">
        <v>275</v>
      </c>
      <c r="O80">
        <v>13</v>
      </c>
      <c r="P80" s="7">
        <v>5088</v>
      </c>
      <c r="Q80">
        <v>0.15</v>
      </c>
      <c r="R80">
        <v>4.91</v>
      </c>
      <c r="S80" s="5">
        <f>O80/730</f>
        <v>1.7808219178082191E-2</v>
      </c>
      <c r="T80" t="s">
        <v>16</v>
      </c>
      <c r="U80" t="s">
        <v>16</v>
      </c>
    </row>
    <row r="81" spans="1:21" x14ac:dyDescent="0.3">
      <c r="A81" t="s">
        <v>27</v>
      </c>
      <c r="B81" t="s">
        <v>68</v>
      </c>
      <c r="C81">
        <v>143</v>
      </c>
      <c r="D81" t="s">
        <v>14</v>
      </c>
      <c r="E81" t="s">
        <v>45</v>
      </c>
      <c r="F81" s="3" t="s">
        <v>396</v>
      </c>
      <c r="G81">
        <v>20018</v>
      </c>
      <c r="H81" t="s">
        <v>219</v>
      </c>
      <c r="I81" t="s">
        <v>225</v>
      </c>
      <c r="J81" t="s">
        <v>95</v>
      </c>
      <c r="K81" t="s">
        <v>397</v>
      </c>
      <c r="L81" t="s">
        <v>95</v>
      </c>
      <c r="M81" t="s">
        <v>95</v>
      </c>
      <c r="N81" t="s">
        <v>387</v>
      </c>
      <c r="O81">
        <v>53</v>
      </c>
      <c r="P81" s="7">
        <v>4457</v>
      </c>
      <c r="Q81">
        <v>0.15</v>
      </c>
      <c r="R81">
        <v>1.84</v>
      </c>
      <c r="S81" s="5">
        <f>O81/730</f>
        <v>7.260273972602739E-2</v>
      </c>
      <c r="T81" t="s">
        <v>16</v>
      </c>
      <c r="U81" t="s">
        <v>16</v>
      </c>
    </row>
    <row r="82" spans="1:21" x14ac:dyDescent="0.3">
      <c r="A82" t="s">
        <v>27</v>
      </c>
      <c r="B82" t="s">
        <v>68</v>
      </c>
      <c r="C82">
        <v>143</v>
      </c>
      <c r="D82" t="s">
        <v>14</v>
      </c>
      <c r="E82" t="s">
        <v>45</v>
      </c>
      <c r="F82" s="3" t="s">
        <v>446</v>
      </c>
      <c r="G82">
        <v>20018</v>
      </c>
      <c r="H82" t="s">
        <v>219</v>
      </c>
      <c r="I82" t="s">
        <v>222</v>
      </c>
      <c r="J82" t="s">
        <v>95</v>
      </c>
      <c r="K82" t="s">
        <v>447</v>
      </c>
      <c r="L82" t="s">
        <v>95</v>
      </c>
      <c r="M82" t="s">
        <v>445</v>
      </c>
      <c r="N82" t="s">
        <v>95</v>
      </c>
      <c r="O82">
        <v>44</v>
      </c>
      <c r="P82" s="7">
        <v>4207</v>
      </c>
      <c r="Q82">
        <v>0.15</v>
      </c>
      <c r="R82">
        <v>1.95</v>
      </c>
      <c r="S82" s="5">
        <f>O82/730</f>
        <v>6.0273972602739728E-2</v>
      </c>
      <c r="T82" t="s">
        <v>16</v>
      </c>
      <c r="U82" t="s">
        <v>16</v>
      </c>
    </row>
    <row r="83" spans="1:21" x14ac:dyDescent="0.3">
      <c r="A83" t="s">
        <v>27</v>
      </c>
      <c r="B83" t="s">
        <v>469</v>
      </c>
      <c r="C83">
        <v>143</v>
      </c>
      <c r="D83" t="s">
        <v>14</v>
      </c>
      <c r="E83" t="s">
        <v>45</v>
      </c>
      <c r="F83" s="3" t="s">
        <v>533</v>
      </c>
      <c r="G83">
        <v>20018</v>
      </c>
      <c r="H83" t="s">
        <v>219</v>
      </c>
      <c r="I83" t="s">
        <v>220</v>
      </c>
      <c r="J83" t="s">
        <v>534</v>
      </c>
      <c r="K83" t="s">
        <v>95</v>
      </c>
      <c r="L83" t="s">
        <v>477</v>
      </c>
      <c r="M83" t="s">
        <v>344</v>
      </c>
      <c r="N83" t="s">
        <v>535</v>
      </c>
      <c r="O83">
        <v>33</v>
      </c>
      <c r="P83" s="7">
        <v>9828</v>
      </c>
      <c r="Q83">
        <v>0.15</v>
      </c>
      <c r="R83">
        <v>3.97</v>
      </c>
      <c r="S83" s="5">
        <f>O83/730</f>
        <v>4.5205479452054796E-2</v>
      </c>
      <c r="T83" t="s">
        <v>16</v>
      </c>
      <c r="U83" t="s">
        <v>16</v>
      </c>
    </row>
    <row r="84" spans="1:21" x14ac:dyDescent="0.3">
      <c r="A84" t="s">
        <v>27</v>
      </c>
      <c r="B84" t="s">
        <v>536</v>
      </c>
      <c r="C84">
        <v>143</v>
      </c>
      <c r="D84" t="s">
        <v>14</v>
      </c>
      <c r="E84" t="s">
        <v>45</v>
      </c>
      <c r="F84" s="3" t="s">
        <v>545</v>
      </c>
      <c r="G84">
        <v>20018</v>
      </c>
      <c r="H84" t="s">
        <v>219</v>
      </c>
      <c r="I84" t="s">
        <v>220</v>
      </c>
      <c r="J84" t="s">
        <v>95</v>
      </c>
      <c r="K84" t="s">
        <v>539</v>
      </c>
      <c r="L84" t="s">
        <v>477</v>
      </c>
      <c r="M84" t="s">
        <v>95</v>
      </c>
      <c r="N84" t="s">
        <v>229</v>
      </c>
      <c r="O84">
        <v>33</v>
      </c>
      <c r="P84" s="7">
        <v>2228</v>
      </c>
      <c r="Q84">
        <v>0.15</v>
      </c>
      <c r="R84">
        <v>1.67</v>
      </c>
      <c r="S84" s="5">
        <f>O84/730</f>
        <v>4.5205479452054796E-2</v>
      </c>
      <c r="T84" t="s">
        <v>16</v>
      </c>
      <c r="U84" t="s">
        <v>16</v>
      </c>
    </row>
    <row r="85" spans="1:21" x14ac:dyDescent="0.3">
      <c r="A85" t="s">
        <v>27</v>
      </c>
      <c r="B85" t="s">
        <v>536</v>
      </c>
      <c r="C85">
        <v>143</v>
      </c>
      <c r="D85" t="s">
        <v>182</v>
      </c>
      <c r="E85" t="s">
        <v>45</v>
      </c>
      <c r="F85" s="3" t="s">
        <v>183</v>
      </c>
      <c r="G85">
        <v>20018</v>
      </c>
      <c r="H85" t="s">
        <v>219</v>
      </c>
      <c r="I85" t="s">
        <v>222</v>
      </c>
      <c r="J85" t="s">
        <v>95</v>
      </c>
      <c r="K85" t="s">
        <v>580</v>
      </c>
      <c r="L85" t="s">
        <v>579</v>
      </c>
      <c r="M85" t="s">
        <v>477</v>
      </c>
      <c r="N85" t="s">
        <v>95</v>
      </c>
      <c r="O85">
        <v>38</v>
      </c>
      <c r="P85" s="7">
        <v>5246</v>
      </c>
      <c r="Q85">
        <v>0.15</v>
      </c>
      <c r="R85">
        <v>2.38</v>
      </c>
      <c r="S85" s="5">
        <f>O85/730</f>
        <v>5.2054794520547946E-2</v>
      </c>
      <c r="T85" t="s">
        <v>16</v>
      </c>
      <c r="U85" t="s">
        <v>16</v>
      </c>
    </row>
    <row r="86" spans="1:21" x14ac:dyDescent="0.3">
      <c r="A86" t="s">
        <v>27</v>
      </c>
      <c r="B86" t="s">
        <v>24</v>
      </c>
      <c r="C86">
        <v>143</v>
      </c>
      <c r="D86" t="s">
        <v>14</v>
      </c>
      <c r="E86" t="s">
        <v>570</v>
      </c>
      <c r="F86" s="3" t="s">
        <v>664</v>
      </c>
      <c r="G86">
        <v>20018</v>
      </c>
      <c r="H86" t="s">
        <v>219</v>
      </c>
      <c r="I86" t="s">
        <v>632</v>
      </c>
      <c r="J86" t="s">
        <v>665</v>
      </c>
      <c r="K86" t="s">
        <v>344</v>
      </c>
      <c r="L86" t="s">
        <v>344</v>
      </c>
      <c r="M86" t="s">
        <v>95</v>
      </c>
      <c r="N86" t="s">
        <v>95</v>
      </c>
      <c r="O86">
        <v>84</v>
      </c>
      <c r="P86" s="7">
        <v>5525</v>
      </c>
      <c r="Q86">
        <v>0.15</v>
      </c>
      <c r="R86">
        <v>1.65</v>
      </c>
      <c r="S86" s="5">
        <f>O86/730</f>
        <v>0.11506849315068493</v>
      </c>
      <c r="T86" t="s">
        <v>16</v>
      </c>
      <c r="U86" t="s">
        <v>16</v>
      </c>
    </row>
    <row r="87" spans="1:21" x14ac:dyDescent="0.3">
      <c r="A87" t="s">
        <v>27</v>
      </c>
      <c r="B87" t="s">
        <v>24</v>
      </c>
      <c r="C87">
        <v>143</v>
      </c>
      <c r="D87" t="s">
        <v>14</v>
      </c>
      <c r="E87" t="s">
        <v>570</v>
      </c>
      <c r="F87" s="3" t="s">
        <v>679</v>
      </c>
      <c r="G87">
        <v>20018</v>
      </c>
      <c r="H87" t="s">
        <v>219</v>
      </c>
      <c r="I87" t="s">
        <v>222</v>
      </c>
      <c r="J87" t="s">
        <v>677</v>
      </c>
      <c r="K87" t="s">
        <v>344</v>
      </c>
      <c r="L87" t="s">
        <v>95</v>
      </c>
      <c r="M87" t="s">
        <v>680</v>
      </c>
      <c r="N87" t="s">
        <v>95</v>
      </c>
      <c r="O87">
        <v>90</v>
      </c>
      <c r="P87" s="7">
        <v>2853</v>
      </c>
      <c r="Q87">
        <v>0.15</v>
      </c>
      <c r="R87">
        <v>1.31</v>
      </c>
      <c r="S87" s="5">
        <f>O87/730</f>
        <v>0.12328767123287671</v>
      </c>
      <c r="T87" t="s">
        <v>16</v>
      </c>
      <c r="U87" t="s">
        <v>16</v>
      </c>
    </row>
    <row r="88" spans="1:21" x14ac:dyDescent="0.3">
      <c r="A88" t="s">
        <v>27</v>
      </c>
      <c r="B88" t="s">
        <v>68</v>
      </c>
      <c r="C88">
        <v>143</v>
      </c>
      <c r="D88" t="s">
        <v>14</v>
      </c>
      <c r="E88" t="s">
        <v>570</v>
      </c>
      <c r="F88" s="3" t="s">
        <v>706</v>
      </c>
      <c r="G88">
        <v>20018</v>
      </c>
      <c r="H88" t="s">
        <v>219</v>
      </c>
      <c r="I88" t="s">
        <v>220</v>
      </c>
      <c r="J88" t="s">
        <v>95</v>
      </c>
      <c r="K88" t="s">
        <v>95</v>
      </c>
      <c r="L88" t="s">
        <v>95</v>
      </c>
      <c r="M88" t="s">
        <v>95</v>
      </c>
      <c r="N88" t="s">
        <v>452</v>
      </c>
      <c r="O88">
        <v>70</v>
      </c>
      <c r="P88" s="7">
        <v>3665</v>
      </c>
      <c r="Q88">
        <v>0.15</v>
      </c>
      <c r="R88">
        <v>1.52</v>
      </c>
      <c r="S88" s="5">
        <f>O88/730</f>
        <v>9.5890410958904104E-2</v>
      </c>
      <c r="T88" t="s">
        <v>16</v>
      </c>
      <c r="U88" t="s">
        <v>16</v>
      </c>
    </row>
  </sheetData>
  <sortState ref="A2:U290">
    <sortCondition descending="1" ref="Q2"/>
  </sortState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zoomScale="90" zoomScaleNormal="90" workbookViewId="0">
      <pane ySplit="1" topLeftCell="A26" activePane="bottomLeft" state="frozen"/>
      <selection activeCell="F4" sqref="F4"/>
      <selection pane="bottomLeft" activeCell="F4" sqref="F4"/>
    </sheetView>
  </sheetViews>
  <sheetFormatPr defaultRowHeight="16.5" x14ac:dyDescent="0.3"/>
  <cols>
    <col min="1" max="2" width="4.875" customWidth="1"/>
    <col min="3" max="3" width="3.125" customWidth="1"/>
    <col min="4" max="4" width="7.375" customWidth="1"/>
    <col min="5" max="5" width="7.5" customWidth="1"/>
    <col min="6" max="6" width="9" style="3"/>
    <col min="7" max="7" width="5.125" customWidth="1"/>
    <col min="8" max="8" width="5" customWidth="1"/>
    <col min="9" max="9" width="6.625" customWidth="1"/>
    <col min="11" max="11" width="10.375" customWidth="1"/>
    <col min="12" max="13" width="10.125" customWidth="1"/>
    <col min="14" max="14" width="10.5" customWidth="1"/>
    <col min="15" max="15" width="7" customWidth="1"/>
    <col min="16" max="16" width="9.125" style="7" customWidth="1"/>
    <col min="17" max="17" width="6.625" customWidth="1"/>
    <col min="18" max="18" width="7.125" customWidth="1"/>
    <col min="19" max="19" width="7.5" style="5" customWidth="1"/>
    <col min="20" max="20" width="3.5" customWidth="1"/>
    <col min="21" max="21" width="2.75" customWidth="1"/>
  </cols>
  <sheetData>
    <row r="1" spans="1:21" s="1" customFormat="1" ht="33" x14ac:dyDescent="0.3">
      <c r="A1" s="1" t="s">
        <v>0</v>
      </c>
      <c r="B1" s="1" t="s">
        <v>23</v>
      </c>
      <c r="C1" s="1" t="s">
        <v>25</v>
      </c>
      <c r="D1" s="1" t="s">
        <v>1</v>
      </c>
      <c r="E1" s="1" t="s">
        <v>2</v>
      </c>
      <c r="F1" s="8" t="s">
        <v>3</v>
      </c>
      <c r="G1" s="1" t="s">
        <v>4</v>
      </c>
      <c r="H1" s="1" t="s">
        <v>5</v>
      </c>
      <c r="I1" s="9" t="s">
        <v>6</v>
      </c>
      <c r="J1" s="1" t="s">
        <v>10</v>
      </c>
      <c r="K1" s="1" t="s">
        <v>21</v>
      </c>
      <c r="L1" s="1" t="s">
        <v>22</v>
      </c>
      <c r="M1" s="1" t="s">
        <v>11</v>
      </c>
      <c r="N1" s="1" t="s">
        <v>12</v>
      </c>
      <c r="O1" s="1" t="s">
        <v>7</v>
      </c>
      <c r="P1" s="6" t="s">
        <v>39</v>
      </c>
      <c r="Q1" s="1" t="s">
        <v>8</v>
      </c>
      <c r="R1" s="1" t="s">
        <v>19</v>
      </c>
      <c r="S1" s="4" t="s">
        <v>20</v>
      </c>
      <c r="T1" s="1" t="s">
        <v>9</v>
      </c>
      <c r="U1" s="1" t="s">
        <v>13</v>
      </c>
    </row>
    <row r="2" spans="1:21" x14ac:dyDescent="0.3">
      <c r="A2" t="s">
        <v>27</v>
      </c>
      <c r="B2" t="s">
        <v>536</v>
      </c>
      <c r="C2">
        <v>143</v>
      </c>
      <c r="D2" t="s">
        <v>182</v>
      </c>
      <c r="E2" t="s">
        <v>45</v>
      </c>
      <c r="F2" s="3" t="s">
        <v>576</v>
      </c>
      <c r="G2">
        <v>20018</v>
      </c>
      <c r="H2" t="s">
        <v>219</v>
      </c>
      <c r="I2" t="s">
        <v>225</v>
      </c>
      <c r="J2" t="s">
        <v>95</v>
      </c>
      <c r="K2" t="s">
        <v>539</v>
      </c>
      <c r="L2" t="s">
        <v>577</v>
      </c>
      <c r="M2" t="s">
        <v>477</v>
      </c>
      <c r="N2" t="s">
        <v>95</v>
      </c>
      <c r="O2">
        <v>390</v>
      </c>
      <c r="P2" s="7">
        <v>16432</v>
      </c>
      <c r="Q2">
        <v>0.08</v>
      </c>
      <c r="R2">
        <v>1.42</v>
      </c>
      <c r="S2" s="5">
        <f>O2/730</f>
        <v>0.53424657534246578</v>
      </c>
      <c r="T2" t="s">
        <v>16</v>
      </c>
      <c r="U2" t="s">
        <v>16</v>
      </c>
    </row>
    <row r="3" spans="1:21" x14ac:dyDescent="0.3">
      <c r="A3" t="s">
        <v>27</v>
      </c>
      <c r="B3" t="s">
        <v>24</v>
      </c>
      <c r="C3">
        <v>143</v>
      </c>
      <c r="D3" t="s">
        <v>14</v>
      </c>
      <c r="E3" t="s">
        <v>45</v>
      </c>
      <c r="F3" s="3" t="s">
        <v>46</v>
      </c>
      <c r="G3">
        <v>20018</v>
      </c>
      <c r="H3" t="s">
        <v>219</v>
      </c>
      <c r="I3" t="s">
        <v>220</v>
      </c>
      <c r="J3" t="s">
        <v>224</v>
      </c>
      <c r="K3" t="s">
        <v>16</v>
      </c>
      <c r="L3" t="s">
        <v>16</v>
      </c>
      <c r="M3" t="s">
        <v>53</v>
      </c>
      <c r="N3" t="s">
        <v>228</v>
      </c>
      <c r="O3">
        <v>258</v>
      </c>
      <c r="P3" s="7">
        <v>15135</v>
      </c>
      <c r="Q3">
        <v>0.06</v>
      </c>
      <c r="R3">
        <v>1.58</v>
      </c>
      <c r="S3" s="5">
        <f>O3/730</f>
        <v>0.35342465753424657</v>
      </c>
      <c r="T3" t="s">
        <v>16</v>
      </c>
      <c r="U3" t="s">
        <v>16</v>
      </c>
    </row>
    <row r="4" spans="1:21" x14ac:dyDescent="0.3">
      <c r="A4" t="s">
        <v>27</v>
      </c>
      <c r="B4" t="s">
        <v>47</v>
      </c>
      <c r="C4">
        <v>143</v>
      </c>
      <c r="D4" t="s">
        <v>14</v>
      </c>
      <c r="E4" t="s">
        <v>45</v>
      </c>
      <c r="F4" s="3" t="s">
        <v>46</v>
      </c>
      <c r="G4">
        <v>20018</v>
      </c>
      <c r="H4" t="s">
        <v>219</v>
      </c>
      <c r="I4" t="s">
        <v>225</v>
      </c>
      <c r="J4" t="s">
        <v>224</v>
      </c>
      <c r="K4" t="s">
        <v>16</v>
      </c>
      <c r="L4" t="s">
        <v>16</v>
      </c>
      <c r="M4" t="s">
        <v>226</v>
      </c>
      <c r="N4" t="s">
        <v>16</v>
      </c>
      <c r="O4">
        <v>271</v>
      </c>
      <c r="P4" s="7">
        <v>11460</v>
      </c>
      <c r="Q4">
        <v>7.0000000000000007E-2</v>
      </c>
      <c r="R4">
        <v>1.42</v>
      </c>
      <c r="S4" s="5">
        <f>O4/730</f>
        <v>0.37123287671232874</v>
      </c>
      <c r="T4" t="s">
        <v>16</v>
      </c>
      <c r="U4" t="s">
        <v>16</v>
      </c>
    </row>
    <row r="5" spans="1:21" x14ac:dyDescent="0.3">
      <c r="A5" t="s">
        <v>27</v>
      </c>
      <c r="B5" t="s">
        <v>47</v>
      </c>
      <c r="C5">
        <v>143</v>
      </c>
      <c r="D5" t="s">
        <v>14</v>
      </c>
      <c r="E5" t="s">
        <v>45</v>
      </c>
      <c r="F5" s="3" t="s">
        <v>183</v>
      </c>
      <c r="G5">
        <v>20018</v>
      </c>
      <c r="H5" t="s">
        <v>219</v>
      </c>
      <c r="I5" t="s">
        <v>220</v>
      </c>
      <c r="J5" t="s">
        <v>224</v>
      </c>
      <c r="K5" t="s">
        <v>53</v>
      </c>
      <c r="L5" t="s">
        <v>16</v>
      </c>
      <c r="M5" t="s">
        <v>233</v>
      </c>
      <c r="N5" t="s">
        <v>230</v>
      </c>
      <c r="O5">
        <v>257</v>
      </c>
      <c r="P5" s="7">
        <v>11836</v>
      </c>
      <c r="Q5">
        <v>0.09</v>
      </c>
      <c r="R5">
        <v>1.46</v>
      </c>
      <c r="S5" s="5">
        <f>O5/730</f>
        <v>0.35205479452054794</v>
      </c>
      <c r="T5" t="s">
        <v>16</v>
      </c>
      <c r="U5" t="s">
        <v>16</v>
      </c>
    </row>
    <row r="6" spans="1:21" x14ac:dyDescent="0.3">
      <c r="A6" t="s">
        <v>27</v>
      </c>
      <c r="B6" t="s">
        <v>24</v>
      </c>
      <c r="C6">
        <v>143</v>
      </c>
      <c r="D6" t="s">
        <v>14</v>
      </c>
      <c r="E6" t="s">
        <v>45</v>
      </c>
      <c r="F6" s="3" t="s">
        <v>237</v>
      </c>
      <c r="G6">
        <v>20018</v>
      </c>
      <c r="H6" t="s">
        <v>219</v>
      </c>
      <c r="I6" t="s">
        <v>220</v>
      </c>
      <c r="J6" t="s">
        <v>224</v>
      </c>
      <c r="K6" t="s">
        <v>238</v>
      </c>
      <c r="L6" t="s">
        <v>16</v>
      </c>
      <c r="M6" t="s">
        <v>241</v>
      </c>
      <c r="N6" t="s">
        <v>53</v>
      </c>
      <c r="O6">
        <v>451</v>
      </c>
      <c r="P6" s="7">
        <v>13647</v>
      </c>
      <c r="Q6">
        <v>7.0000000000000007E-2</v>
      </c>
      <c r="R6">
        <v>1.3</v>
      </c>
      <c r="S6" s="5">
        <f>O6/730</f>
        <v>0.61780821917808215</v>
      </c>
      <c r="T6" t="s">
        <v>16</v>
      </c>
      <c r="U6" t="s">
        <v>16</v>
      </c>
    </row>
    <row r="7" spans="1:21" x14ac:dyDescent="0.3">
      <c r="A7" t="s">
        <v>27</v>
      </c>
      <c r="B7" t="s">
        <v>236</v>
      </c>
      <c r="C7">
        <v>143</v>
      </c>
      <c r="D7" t="s">
        <v>14</v>
      </c>
      <c r="E7" t="s">
        <v>45</v>
      </c>
      <c r="F7" s="3" t="s">
        <v>237</v>
      </c>
      <c r="G7">
        <v>20018</v>
      </c>
      <c r="H7" t="s">
        <v>219</v>
      </c>
      <c r="I7" t="s">
        <v>225</v>
      </c>
      <c r="J7" t="s">
        <v>224</v>
      </c>
      <c r="K7" t="s">
        <v>238</v>
      </c>
      <c r="L7" t="s">
        <v>16</v>
      </c>
      <c r="M7" t="s">
        <v>234</v>
      </c>
      <c r="N7" t="s">
        <v>239</v>
      </c>
      <c r="O7">
        <v>510</v>
      </c>
      <c r="P7" s="7">
        <v>10335</v>
      </c>
      <c r="Q7">
        <v>0.1</v>
      </c>
      <c r="R7">
        <v>1.2</v>
      </c>
      <c r="S7" s="5">
        <f>O7/730</f>
        <v>0.69863013698630139</v>
      </c>
      <c r="T7" t="s">
        <v>16</v>
      </c>
      <c r="U7" t="s">
        <v>16</v>
      </c>
    </row>
    <row r="8" spans="1:21" x14ac:dyDescent="0.3">
      <c r="A8" t="s">
        <v>27</v>
      </c>
      <c r="B8" t="s">
        <v>24</v>
      </c>
      <c r="C8">
        <v>143</v>
      </c>
      <c r="D8" t="s">
        <v>14</v>
      </c>
      <c r="E8" t="s">
        <v>45</v>
      </c>
      <c r="F8" s="3" t="s">
        <v>188</v>
      </c>
      <c r="G8">
        <v>20018</v>
      </c>
      <c r="H8" t="s">
        <v>219</v>
      </c>
      <c r="I8" t="s">
        <v>222</v>
      </c>
      <c r="J8" t="s">
        <v>224</v>
      </c>
      <c r="K8" t="s">
        <v>238</v>
      </c>
      <c r="L8" t="s">
        <v>243</v>
      </c>
      <c r="M8" t="s">
        <v>242</v>
      </c>
      <c r="N8" t="s">
        <v>53</v>
      </c>
      <c r="O8">
        <v>148</v>
      </c>
      <c r="P8" s="7">
        <v>11505</v>
      </c>
      <c r="Q8">
        <v>0.08</v>
      </c>
      <c r="R8">
        <v>1.77</v>
      </c>
      <c r="S8" s="5">
        <f>O8/730</f>
        <v>0.20273972602739726</v>
      </c>
      <c r="T8" t="s">
        <v>16</v>
      </c>
      <c r="U8" t="s">
        <v>16</v>
      </c>
    </row>
    <row r="9" spans="1:21" x14ac:dyDescent="0.3">
      <c r="A9" t="s">
        <v>27</v>
      </c>
      <c r="B9" t="s">
        <v>258</v>
      </c>
      <c r="C9">
        <v>143</v>
      </c>
      <c r="D9" t="s">
        <v>14</v>
      </c>
      <c r="E9" t="s">
        <v>45</v>
      </c>
      <c r="F9" s="3" t="s">
        <v>256</v>
      </c>
      <c r="G9">
        <v>20018</v>
      </c>
      <c r="H9" t="s">
        <v>219</v>
      </c>
      <c r="I9" t="s">
        <v>259</v>
      </c>
      <c r="J9" t="s">
        <v>224</v>
      </c>
      <c r="K9" t="s">
        <v>257</v>
      </c>
      <c r="L9" t="s">
        <v>244</v>
      </c>
      <c r="M9" t="s">
        <v>252</v>
      </c>
      <c r="N9" t="s">
        <v>260</v>
      </c>
      <c r="O9">
        <v>477</v>
      </c>
      <c r="P9" s="7">
        <v>11099</v>
      </c>
      <c r="Q9">
        <v>0.1</v>
      </c>
      <c r="R9">
        <v>1.23</v>
      </c>
      <c r="S9" s="5">
        <f>O9/730</f>
        <v>0.65342465753424661</v>
      </c>
      <c r="T9" t="s">
        <v>16</v>
      </c>
      <c r="U9" t="s">
        <v>16</v>
      </c>
    </row>
    <row r="10" spans="1:21" x14ac:dyDescent="0.3">
      <c r="A10" t="s">
        <v>27</v>
      </c>
      <c r="B10" t="s">
        <v>24</v>
      </c>
      <c r="C10">
        <v>143</v>
      </c>
      <c r="D10" t="s">
        <v>14</v>
      </c>
      <c r="E10" t="s">
        <v>45</v>
      </c>
      <c r="F10" s="3" t="s">
        <v>50</v>
      </c>
      <c r="G10">
        <v>20018</v>
      </c>
      <c r="H10" t="s">
        <v>219</v>
      </c>
      <c r="I10" t="s">
        <v>225</v>
      </c>
      <c r="J10" t="s">
        <v>270</v>
      </c>
      <c r="K10" t="s">
        <v>257</v>
      </c>
      <c r="L10" t="s">
        <v>244</v>
      </c>
      <c r="M10" t="s">
        <v>266</v>
      </c>
      <c r="N10" t="s">
        <v>268</v>
      </c>
      <c r="O10">
        <v>327</v>
      </c>
      <c r="P10" s="7">
        <v>17376</v>
      </c>
      <c r="Q10">
        <v>0.18</v>
      </c>
      <c r="R10">
        <v>1.53</v>
      </c>
      <c r="S10" s="5">
        <f>O10/730</f>
        <v>0.44794520547945205</v>
      </c>
      <c r="T10" t="s">
        <v>16</v>
      </c>
      <c r="U10" t="s">
        <v>16</v>
      </c>
    </row>
    <row r="11" spans="1:21" x14ac:dyDescent="0.3">
      <c r="A11" t="s">
        <v>27</v>
      </c>
      <c r="B11" t="s">
        <v>24</v>
      </c>
      <c r="C11">
        <v>143</v>
      </c>
      <c r="D11" t="s">
        <v>14</v>
      </c>
      <c r="E11" t="s">
        <v>45</v>
      </c>
      <c r="F11" s="3" t="s">
        <v>50</v>
      </c>
      <c r="G11">
        <v>20018</v>
      </c>
      <c r="H11" t="s">
        <v>219</v>
      </c>
      <c r="I11" t="s">
        <v>222</v>
      </c>
      <c r="J11" t="s">
        <v>224</v>
      </c>
      <c r="K11" t="s">
        <v>257</v>
      </c>
      <c r="L11" t="s">
        <v>244</v>
      </c>
      <c r="M11" t="s">
        <v>266</v>
      </c>
      <c r="N11" t="s">
        <v>271</v>
      </c>
      <c r="O11">
        <v>395</v>
      </c>
      <c r="P11" s="7">
        <v>11994</v>
      </c>
      <c r="Q11">
        <v>0.16</v>
      </c>
      <c r="R11">
        <v>3.18</v>
      </c>
      <c r="S11" s="5">
        <f>O11/730</f>
        <v>0.54109589041095896</v>
      </c>
      <c r="T11" t="s">
        <v>16</v>
      </c>
      <c r="U11" t="s">
        <v>16</v>
      </c>
    </row>
    <row r="12" spans="1:21" x14ac:dyDescent="0.3">
      <c r="A12" t="s">
        <v>27</v>
      </c>
      <c r="B12" t="s">
        <v>536</v>
      </c>
      <c r="C12">
        <v>143</v>
      </c>
      <c r="D12" t="s">
        <v>182</v>
      </c>
      <c r="E12" t="s">
        <v>45</v>
      </c>
      <c r="F12" s="3" t="s">
        <v>585</v>
      </c>
      <c r="G12">
        <v>20018</v>
      </c>
      <c r="H12" t="s">
        <v>219</v>
      </c>
      <c r="I12" t="s">
        <v>225</v>
      </c>
      <c r="J12" t="s">
        <v>586</v>
      </c>
      <c r="K12" t="s">
        <v>95</v>
      </c>
      <c r="L12" t="s">
        <v>579</v>
      </c>
      <c r="M12" t="s">
        <v>95</v>
      </c>
      <c r="N12" t="s">
        <v>587</v>
      </c>
      <c r="O12">
        <v>503</v>
      </c>
      <c r="P12" s="7">
        <v>11091</v>
      </c>
      <c r="Q12">
        <v>0.04</v>
      </c>
      <c r="R12">
        <v>1.22</v>
      </c>
      <c r="S12" s="5">
        <f>O12/730</f>
        <v>0.68904109589041096</v>
      </c>
      <c r="T12" t="s">
        <v>16</v>
      </c>
      <c r="U12" t="s">
        <v>16</v>
      </c>
    </row>
    <row r="13" spans="1:21" x14ac:dyDescent="0.3">
      <c r="A13" t="s">
        <v>27</v>
      </c>
      <c r="B13" t="s">
        <v>24</v>
      </c>
      <c r="C13">
        <v>143</v>
      </c>
      <c r="D13" t="s">
        <v>14</v>
      </c>
      <c r="E13" t="s">
        <v>45</v>
      </c>
      <c r="F13" s="3" t="s">
        <v>55</v>
      </c>
      <c r="G13">
        <v>20018</v>
      </c>
      <c r="H13" t="s">
        <v>219</v>
      </c>
      <c r="I13" t="s">
        <v>220</v>
      </c>
      <c r="J13" t="s">
        <v>53</v>
      </c>
      <c r="K13" t="s">
        <v>288</v>
      </c>
      <c r="L13" t="s">
        <v>53</v>
      </c>
      <c r="M13" t="s">
        <v>53</v>
      </c>
      <c r="N13" t="s">
        <v>284</v>
      </c>
      <c r="O13">
        <v>101</v>
      </c>
      <c r="P13" s="7">
        <v>15958</v>
      </c>
      <c r="Q13">
        <v>7.0000000000000007E-2</v>
      </c>
      <c r="R13">
        <v>2.58</v>
      </c>
      <c r="S13" s="5">
        <f>O13/730</f>
        <v>0.13835616438356163</v>
      </c>
      <c r="T13" t="s">
        <v>16</v>
      </c>
      <c r="U13" t="s">
        <v>16</v>
      </c>
    </row>
    <row r="14" spans="1:21" x14ac:dyDescent="0.3">
      <c r="A14" t="s">
        <v>27</v>
      </c>
      <c r="B14" t="s">
        <v>536</v>
      </c>
      <c r="C14">
        <v>143</v>
      </c>
      <c r="D14" t="s">
        <v>182</v>
      </c>
      <c r="E14" t="s">
        <v>45</v>
      </c>
      <c r="F14" s="3" t="s">
        <v>57</v>
      </c>
      <c r="G14">
        <v>20018</v>
      </c>
      <c r="H14" t="s">
        <v>219</v>
      </c>
      <c r="I14" t="s">
        <v>591</v>
      </c>
      <c r="J14" t="s">
        <v>95</v>
      </c>
      <c r="K14" t="s">
        <v>594</v>
      </c>
      <c r="L14" t="s">
        <v>579</v>
      </c>
      <c r="M14" t="s">
        <v>95</v>
      </c>
      <c r="N14" t="s">
        <v>596</v>
      </c>
      <c r="O14">
        <v>132</v>
      </c>
      <c r="P14" s="7">
        <v>15064</v>
      </c>
      <c r="Q14">
        <v>0.11</v>
      </c>
      <c r="R14">
        <v>2.14</v>
      </c>
      <c r="S14" s="5">
        <f>O14/730</f>
        <v>0.18082191780821918</v>
      </c>
      <c r="T14" t="s">
        <v>16</v>
      </c>
      <c r="U14" t="s">
        <v>16</v>
      </c>
    </row>
    <row r="15" spans="1:21" x14ac:dyDescent="0.3">
      <c r="A15" t="s">
        <v>27</v>
      </c>
      <c r="B15" t="s">
        <v>47</v>
      </c>
      <c r="C15">
        <v>143</v>
      </c>
      <c r="D15" t="s">
        <v>14</v>
      </c>
      <c r="E15" t="s">
        <v>45</v>
      </c>
      <c r="F15" s="3" t="s">
        <v>57</v>
      </c>
      <c r="G15">
        <v>20018</v>
      </c>
      <c r="H15" t="s">
        <v>219</v>
      </c>
      <c r="I15" t="s">
        <v>222</v>
      </c>
      <c r="J15" t="s">
        <v>53</v>
      </c>
      <c r="K15" t="s">
        <v>53</v>
      </c>
      <c r="L15" t="s">
        <v>290</v>
      </c>
      <c r="M15" t="s">
        <v>53</v>
      </c>
      <c r="N15" t="s">
        <v>53</v>
      </c>
      <c r="O15">
        <v>115</v>
      </c>
      <c r="P15" s="7">
        <v>14505</v>
      </c>
      <c r="Q15">
        <v>0.14000000000000001</v>
      </c>
      <c r="R15">
        <v>2.2599999999999998</v>
      </c>
      <c r="S15" s="5">
        <f>O15/730</f>
        <v>0.15753424657534246</v>
      </c>
      <c r="T15" t="s">
        <v>16</v>
      </c>
      <c r="U15" t="s">
        <v>16</v>
      </c>
    </row>
    <row r="16" spans="1:21" x14ac:dyDescent="0.3">
      <c r="A16" t="s">
        <v>27</v>
      </c>
      <c r="B16" t="s">
        <v>291</v>
      </c>
      <c r="C16">
        <v>143</v>
      </c>
      <c r="D16" t="s">
        <v>14</v>
      </c>
      <c r="E16" t="s">
        <v>45</v>
      </c>
      <c r="F16" s="3" t="s">
        <v>57</v>
      </c>
      <c r="G16">
        <v>20018</v>
      </c>
      <c r="H16" t="s">
        <v>219</v>
      </c>
      <c r="I16" t="s">
        <v>220</v>
      </c>
      <c r="J16" t="s">
        <v>53</v>
      </c>
      <c r="K16" t="s">
        <v>53</v>
      </c>
      <c r="L16" t="s">
        <v>53</v>
      </c>
      <c r="M16" t="s">
        <v>53</v>
      </c>
      <c r="N16" t="s">
        <v>292</v>
      </c>
      <c r="O16">
        <v>100</v>
      </c>
      <c r="P16" s="7">
        <v>12827</v>
      </c>
      <c r="Q16">
        <v>0.08</v>
      </c>
      <c r="R16">
        <v>2.2799999999999998</v>
      </c>
      <c r="S16" s="5">
        <f>O16/730</f>
        <v>0.13698630136986301</v>
      </c>
      <c r="T16" t="s">
        <v>16</v>
      </c>
      <c r="U16" t="s">
        <v>16</v>
      </c>
    </row>
    <row r="17" spans="1:21" x14ac:dyDescent="0.3">
      <c r="A17" t="s">
        <v>27</v>
      </c>
      <c r="B17" t="s">
        <v>313</v>
      </c>
      <c r="C17">
        <v>143</v>
      </c>
      <c r="D17" t="s">
        <v>14</v>
      </c>
      <c r="E17" t="s">
        <v>45</v>
      </c>
      <c r="F17" s="3" t="s">
        <v>61</v>
      </c>
      <c r="G17">
        <v>20018</v>
      </c>
      <c r="H17" t="s">
        <v>219</v>
      </c>
      <c r="I17" t="s">
        <v>225</v>
      </c>
      <c r="J17" t="s">
        <v>314</v>
      </c>
      <c r="K17" t="s">
        <v>53</v>
      </c>
      <c r="L17" t="s">
        <v>53</v>
      </c>
      <c r="M17" t="s">
        <v>53</v>
      </c>
      <c r="N17" t="s">
        <v>53</v>
      </c>
      <c r="O17">
        <v>156</v>
      </c>
      <c r="P17" s="7">
        <v>12271</v>
      </c>
      <c r="Q17">
        <v>0.17</v>
      </c>
      <c r="R17">
        <v>1.78</v>
      </c>
      <c r="S17" s="5">
        <f>O17/730</f>
        <v>0.21369863013698631</v>
      </c>
      <c r="T17" t="s">
        <v>16</v>
      </c>
      <c r="U17" t="s">
        <v>16</v>
      </c>
    </row>
    <row r="18" spans="1:21" x14ac:dyDescent="0.3">
      <c r="A18" t="s">
        <v>27</v>
      </c>
      <c r="B18" t="s">
        <v>47</v>
      </c>
      <c r="C18">
        <v>143</v>
      </c>
      <c r="D18" t="s">
        <v>14</v>
      </c>
      <c r="E18" t="s">
        <v>45</v>
      </c>
      <c r="F18" s="3" t="s">
        <v>330</v>
      </c>
      <c r="G18">
        <v>20018</v>
      </c>
      <c r="H18" t="s">
        <v>219</v>
      </c>
      <c r="I18" t="s">
        <v>316</v>
      </c>
      <c r="J18" t="s">
        <v>224</v>
      </c>
      <c r="K18" t="s">
        <v>224</v>
      </c>
      <c r="L18" t="s">
        <v>53</v>
      </c>
      <c r="M18" t="s">
        <v>319</v>
      </c>
      <c r="N18" t="s">
        <v>332</v>
      </c>
      <c r="O18">
        <v>175</v>
      </c>
      <c r="P18" s="7">
        <v>11305</v>
      </c>
      <c r="Q18">
        <v>7.0000000000000007E-2</v>
      </c>
      <c r="R18">
        <v>1.64</v>
      </c>
      <c r="S18" s="5">
        <f>O18/730</f>
        <v>0.23972602739726026</v>
      </c>
      <c r="T18" t="s">
        <v>16</v>
      </c>
      <c r="U18" t="s">
        <v>16</v>
      </c>
    </row>
    <row r="19" spans="1:21" x14ac:dyDescent="0.3">
      <c r="A19" t="s">
        <v>27</v>
      </c>
      <c r="B19" t="s">
        <v>223</v>
      </c>
      <c r="C19">
        <v>143</v>
      </c>
      <c r="D19" t="s">
        <v>14</v>
      </c>
      <c r="E19" t="s">
        <v>45</v>
      </c>
      <c r="F19" s="3" t="s">
        <v>336</v>
      </c>
      <c r="G19">
        <v>20018</v>
      </c>
      <c r="H19" t="s">
        <v>219</v>
      </c>
      <c r="I19" t="s">
        <v>339</v>
      </c>
      <c r="J19" t="s">
        <v>224</v>
      </c>
      <c r="K19" t="s">
        <v>224</v>
      </c>
      <c r="L19" t="s">
        <v>53</v>
      </c>
      <c r="M19" t="s">
        <v>53</v>
      </c>
      <c r="N19" t="s">
        <v>340</v>
      </c>
      <c r="O19">
        <v>49</v>
      </c>
      <c r="P19" s="7">
        <v>13236</v>
      </c>
      <c r="Q19">
        <v>0.12</v>
      </c>
      <c r="R19">
        <v>3.7</v>
      </c>
      <c r="S19" s="5">
        <f>O19/730</f>
        <v>6.7123287671232879E-2</v>
      </c>
      <c r="T19" t="s">
        <v>16</v>
      </c>
      <c r="U19" t="s">
        <v>16</v>
      </c>
    </row>
    <row r="20" spans="1:21" x14ac:dyDescent="0.3">
      <c r="A20" t="s">
        <v>27</v>
      </c>
      <c r="B20" t="s">
        <v>223</v>
      </c>
      <c r="C20">
        <v>143</v>
      </c>
      <c r="D20" t="s">
        <v>14</v>
      </c>
      <c r="E20" t="s">
        <v>45</v>
      </c>
      <c r="F20" s="3" t="s">
        <v>336</v>
      </c>
      <c r="G20">
        <v>20018</v>
      </c>
      <c r="H20" t="s">
        <v>219</v>
      </c>
      <c r="I20" t="s">
        <v>259</v>
      </c>
      <c r="J20" t="s">
        <v>224</v>
      </c>
      <c r="K20" t="s">
        <v>224</v>
      </c>
      <c r="L20" t="s">
        <v>53</v>
      </c>
      <c r="M20" t="s">
        <v>53</v>
      </c>
      <c r="N20" t="s">
        <v>338</v>
      </c>
      <c r="O20">
        <v>69</v>
      </c>
      <c r="P20" s="7">
        <v>10207</v>
      </c>
      <c r="Q20">
        <v>0.1</v>
      </c>
      <c r="R20">
        <v>2.4700000000000002</v>
      </c>
      <c r="S20" s="5">
        <f>O20/730</f>
        <v>9.452054794520548E-2</v>
      </c>
      <c r="T20" t="s">
        <v>16</v>
      </c>
      <c r="U20" t="s">
        <v>16</v>
      </c>
    </row>
    <row r="21" spans="1:21" x14ac:dyDescent="0.3">
      <c r="A21" t="s">
        <v>27</v>
      </c>
      <c r="B21" t="s">
        <v>68</v>
      </c>
      <c r="C21">
        <v>143</v>
      </c>
      <c r="D21" t="s">
        <v>14</v>
      </c>
      <c r="E21" t="s">
        <v>45</v>
      </c>
      <c r="F21" s="3" t="s">
        <v>341</v>
      </c>
      <c r="G21">
        <v>20018</v>
      </c>
      <c r="H21" t="s">
        <v>219</v>
      </c>
      <c r="I21" t="s">
        <v>220</v>
      </c>
      <c r="J21" t="s">
        <v>95</v>
      </c>
      <c r="K21" t="s">
        <v>342</v>
      </c>
      <c r="L21" t="s">
        <v>53</v>
      </c>
      <c r="M21" t="s">
        <v>53</v>
      </c>
      <c r="N21" t="s">
        <v>95</v>
      </c>
      <c r="O21">
        <v>163</v>
      </c>
      <c r="P21" s="7">
        <v>10694</v>
      </c>
      <c r="Q21">
        <v>0.06</v>
      </c>
      <c r="R21">
        <v>1.65</v>
      </c>
      <c r="S21" s="5">
        <f>O21/730</f>
        <v>0.22328767123287671</v>
      </c>
      <c r="T21" t="s">
        <v>16</v>
      </c>
      <c r="U21" t="s">
        <v>16</v>
      </c>
    </row>
    <row r="22" spans="1:21" x14ac:dyDescent="0.3">
      <c r="A22" t="s">
        <v>27</v>
      </c>
      <c r="B22" t="s">
        <v>68</v>
      </c>
      <c r="C22">
        <v>143</v>
      </c>
      <c r="D22" t="s">
        <v>14</v>
      </c>
      <c r="E22" t="s">
        <v>45</v>
      </c>
      <c r="F22" s="3" t="s">
        <v>374</v>
      </c>
      <c r="G22">
        <v>20018</v>
      </c>
      <c r="H22" t="s">
        <v>219</v>
      </c>
      <c r="I22" t="s">
        <v>225</v>
      </c>
      <c r="J22" t="s">
        <v>344</v>
      </c>
      <c r="K22" t="s">
        <v>95</v>
      </c>
      <c r="L22" t="s">
        <v>375</v>
      </c>
      <c r="M22" t="s">
        <v>95</v>
      </c>
      <c r="N22" t="s">
        <v>95</v>
      </c>
      <c r="O22">
        <v>60</v>
      </c>
      <c r="P22" s="7">
        <v>11879</v>
      </c>
      <c r="Q22">
        <v>0.11</v>
      </c>
      <c r="R22">
        <v>2.97</v>
      </c>
      <c r="S22" s="5">
        <f>O22/730</f>
        <v>8.2191780821917804E-2</v>
      </c>
      <c r="T22" t="s">
        <v>16</v>
      </c>
      <c r="U22" t="s">
        <v>16</v>
      </c>
    </row>
    <row r="23" spans="1:21" x14ac:dyDescent="0.3">
      <c r="A23" t="s">
        <v>27</v>
      </c>
      <c r="B23" t="s">
        <v>68</v>
      </c>
      <c r="C23">
        <v>143</v>
      </c>
      <c r="D23" t="s">
        <v>14</v>
      </c>
      <c r="E23" t="s">
        <v>45</v>
      </c>
      <c r="F23" s="3" t="s">
        <v>384</v>
      </c>
      <c r="G23">
        <v>20018</v>
      </c>
      <c r="H23" t="s">
        <v>219</v>
      </c>
      <c r="I23" t="s">
        <v>220</v>
      </c>
      <c r="J23" t="s">
        <v>386</v>
      </c>
      <c r="K23" t="s">
        <v>95</v>
      </c>
      <c r="L23" t="s">
        <v>95</v>
      </c>
      <c r="M23" t="s">
        <v>95</v>
      </c>
      <c r="N23" t="s">
        <v>387</v>
      </c>
      <c r="O23">
        <v>219</v>
      </c>
      <c r="P23" s="7">
        <v>12005</v>
      </c>
      <c r="Q23">
        <v>0.08</v>
      </c>
      <c r="R23">
        <v>1.54</v>
      </c>
      <c r="S23" s="5">
        <f>O23/730</f>
        <v>0.3</v>
      </c>
      <c r="T23" t="s">
        <v>16</v>
      </c>
      <c r="U23" t="s">
        <v>16</v>
      </c>
    </row>
    <row r="24" spans="1:21" x14ac:dyDescent="0.3">
      <c r="A24" t="s">
        <v>27</v>
      </c>
      <c r="B24" t="s">
        <v>68</v>
      </c>
      <c r="C24">
        <v>143</v>
      </c>
      <c r="D24" t="s">
        <v>14</v>
      </c>
      <c r="E24" t="s">
        <v>45</v>
      </c>
      <c r="F24" s="3" t="s">
        <v>396</v>
      </c>
      <c r="G24">
        <v>20018</v>
      </c>
      <c r="H24" t="s">
        <v>219</v>
      </c>
      <c r="I24" t="s">
        <v>222</v>
      </c>
      <c r="J24" t="s">
        <v>95</v>
      </c>
      <c r="K24" t="s">
        <v>398</v>
      </c>
      <c r="L24" t="s">
        <v>95</v>
      </c>
      <c r="M24" t="s">
        <v>95</v>
      </c>
      <c r="N24" t="s">
        <v>387</v>
      </c>
      <c r="O24">
        <v>171</v>
      </c>
      <c r="P24" s="7">
        <v>10163</v>
      </c>
      <c r="Q24">
        <v>0.08</v>
      </c>
      <c r="R24">
        <v>1.59</v>
      </c>
      <c r="S24" s="5">
        <f>O24/730</f>
        <v>0.23424657534246576</v>
      </c>
      <c r="T24" t="s">
        <v>16</v>
      </c>
      <c r="U24" t="s">
        <v>16</v>
      </c>
    </row>
    <row r="25" spans="1:21" x14ac:dyDescent="0.3">
      <c r="A25" t="s">
        <v>27</v>
      </c>
      <c r="B25" t="s">
        <v>68</v>
      </c>
      <c r="C25">
        <v>143</v>
      </c>
      <c r="D25" t="s">
        <v>14</v>
      </c>
      <c r="E25" t="s">
        <v>45</v>
      </c>
      <c r="F25" s="3" t="s">
        <v>87</v>
      </c>
      <c r="G25">
        <v>20018</v>
      </c>
      <c r="H25" t="s">
        <v>219</v>
      </c>
      <c r="I25" t="s">
        <v>414</v>
      </c>
      <c r="J25" t="s">
        <v>344</v>
      </c>
      <c r="K25" t="s">
        <v>95</v>
      </c>
      <c r="L25" t="s">
        <v>95</v>
      </c>
      <c r="M25" t="s">
        <v>95</v>
      </c>
      <c r="N25" t="s">
        <v>415</v>
      </c>
      <c r="O25">
        <v>164</v>
      </c>
      <c r="P25" s="7">
        <v>30166</v>
      </c>
      <c r="Q25">
        <v>7.0000000000000007E-2</v>
      </c>
      <c r="R25">
        <v>2.83</v>
      </c>
      <c r="S25" s="5">
        <f>O25/730</f>
        <v>0.22465753424657534</v>
      </c>
      <c r="T25" t="s">
        <v>16</v>
      </c>
      <c r="U25" t="s">
        <v>16</v>
      </c>
    </row>
    <row r="26" spans="1:21" x14ac:dyDescent="0.3">
      <c r="A26" t="s">
        <v>27</v>
      </c>
      <c r="B26" t="s">
        <v>68</v>
      </c>
      <c r="C26">
        <v>143</v>
      </c>
      <c r="D26" t="s">
        <v>14</v>
      </c>
      <c r="E26" t="s">
        <v>45</v>
      </c>
      <c r="F26" s="3" t="s">
        <v>416</v>
      </c>
      <c r="G26">
        <v>20018</v>
      </c>
      <c r="H26" t="s">
        <v>219</v>
      </c>
      <c r="I26" t="s">
        <v>222</v>
      </c>
      <c r="J26" t="s">
        <v>344</v>
      </c>
      <c r="K26" t="s">
        <v>419</v>
      </c>
      <c r="L26" t="s">
        <v>95</v>
      </c>
      <c r="M26" t="s">
        <v>95</v>
      </c>
      <c r="N26" t="s">
        <v>95</v>
      </c>
      <c r="O26">
        <v>320</v>
      </c>
      <c r="P26" s="7">
        <v>12390</v>
      </c>
      <c r="Q26">
        <v>0.06</v>
      </c>
      <c r="R26">
        <v>1.38</v>
      </c>
      <c r="S26" s="5">
        <f>O26/730</f>
        <v>0.43835616438356162</v>
      </c>
      <c r="T26" t="s">
        <v>16</v>
      </c>
      <c r="U26" t="s">
        <v>16</v>
      </c>
    </row>
    <row r="27" spans="1:21" x14ac:dyDescent="0.3">
      <c r="A27" t="s">
        <v>27</v>
      </c>
      <c r="B27" t="s">
        <v>68</v>
      </c>
      <c r="C27">
        <v>143</v>
      </c>
      <c r="D27" t="s">
        <v>14</v>
      </c>
      <c r="E27" t="s">
        <v>45</v>
      </c>
      <c r="F27" s="3" t="s">
        <v>420</v>
      </c>
      <c r="G27">
        <v>20018</v>
      </c>
      <c r="H27" t="s">
        <v>219</v>
      </c>
      <c r="I27" t="s">
        <v>422</v>
      </c>
      <c r="J27" t="s">
        <v>95</v>
      </c>
      <c r="K27" t="s">
        <v>423</v>
      </c>
      <c r="L27" t="s">
        <v>95</v>
      </c>
      <c r="M27" t="s">
        <v>95</v>
      </c>
      <c r="N27" t="s">
        <v>392</v>
      </c>
      <c r="O27">
        <v>220</v>
      </c>
      <c r="P27" s="7">
        <v>12362</v>
      </c>
      <c r="Q27">
        <v>0.11</v>
      </c>
      <c r="R27">
        <v>1.56</v>
      </c>
      <c r="S27" s="5">
        <f>O27/730</f>
        <v>0.30136986301369861</v>
      </c>
      <c r="T27" t="s">
        <v>16</v>
      </c>
      <c r="U27" t="s">
        <v>16</v>
      </c>
    </row>
    <row r="28" spans="1:21" x14ac:dyDescent="0.3">
      <c r="A28" t="s">
        <v>27</v>
      </c>
      <c r="B28" t="s">
        <v>68</v>
      </c>
      <c r="C28">
        <v>143</v>
      </c>
      <c r="D28" t="s">
        <v>14</v>
      </c>
      <c r="E28" t="s">
        <v>45</v>
      </c>
      <c r="F28" s="3" t="s">
        <v>434</v>
      </c>
      <c r="G28">
        <v>20018</v>
      </c>
      <c r="H28" t="s">
        <v>219</v>
      </c>
      <c r="I28" t="s">
        <v>220</v>
      </c>
      <c r="J28" t="s">
        <v>438</v>
      </c>
      <c r="K28" t="s">
        <v>95</v>
      </c>
      <c r="L28" t="s">
        <v>95</v>
      </c>
      <c r="M28" t="s">
        <v>95</v>
      </c>
      <c r="N28" t="s">
        <v>392</v>
      </c>
      <c r="O28">
        <v>70</v>
      </c>
      <c r="P28" s="7">
        <v>11597</v>
      </c>
      <c r="Q28">
        <v>0.1</v>
      </c>
      <c r="R28">
        <v>2.65</v>
      </c>
      <c r="S28" s="5">
        <f>O28/730</f>
        <v>9.5890410958904104E-2</v>
      </c>
      <c r="T28" t="s">
        <v>16</v>
      </c>
      <c r="U28" t="s">
        <v>16</v>
      </c>
    </row>
    <row r="29" spans="1:21" x14ac:dyDescent="0.3">
      <c r="A29" t="s">
        <v>27</v>
      </c>
      <c r="B29" t="s">
        <v>68</v>
      </c>
      <c r="C29">
        <v>143</v>
      </c>
      <c r="D29" t="s">
        <v>14</v>
      </c>
      <c r="E29" t="s">
        <v>45</v>
      </c>
      <c r="F29" s="3" t="s">
        <v>103</v>
      </c>
      <c r="G29">
        <v>20018</v>
      </c>
      <c r="H29" t="s">
        <v>219</v>
      </c>
      <c r="I29" t="s">
        <v>372</v>
      </c>
      <c r="J29" t="s">
        <v>95</v>
      </c>
      <c r="K29" t="s">
        <v>95</v>
      </c>
      <c r="L29" t="s">
        <v>95</v>
      </c>
      <c r="M29" t="s">
        <v>444</v>
      </c>
      <c r="N29" t="s">
        <v>392</v>
      </c>
      <c r="O29">
        <v>597</v>
      </c>
      <c r="P29" s="7">
        <v>17921</v>
      </c>
      <c r="Q29">
        <v>0.05</v>
      </c>
      <c r="R29">
        <v>1.3</v>
      </c>
      <c r="S29" s="5">
        <f>O29/730</f>
        <v>0.81780821917808222</v>
      </c>
      <c r="T29" t="s">
        <v>16</v>
      </c>
      <c r="U29" t="s">
        <v>16</v>
      </c>
    </row>
    <row r="30" spans="1:21" x14ac:dyDescent="0.3">
      <c r="A30" t="s">
        <v>27</v>
      </c>
      <c r="B30" t="s">
        <v>68</v>
      </c>
      <c r="C30">
        <v>143</v>
      </c>
      <c r="D30" t="s">
        <v>14</v>
      </c>
      <c r="E30" t="s">
        <v>45</v>
      </c>
      <c r="F30" s="3" t="s">
        <v>446</v>
      </c>
      <c r="G30">
        <v>20018</v>
      </c>
      <c r="H30" t="s">
        <v>219</v>
      </c>
      <c r="I30" t="s">
        <v>448</v>
      </c>
      <c r="J30" t="s">
        <v>450</v>
      </c>
      <c r="K30" t="s">
        <v>449</v>
      </c>
      <c r="L30" t="s">
        <v>95</v>
      </c>
      <c r="M30" t="s">
        <v>445</v>
      </c>
      <c r="N30" t="s">
        <v>95</v>
      </c>
      <c r="O30">
        <v>142</v>
      </c>
      <c r="P30" s="7">
        <v>12164</v>
      </c>
      <c r="Q30">
        <v>0.09</v>
      </c>
      <c r="R30">
        <v>1.85</v>
      </c>
      <c r="S30" s="5">
        <f>O30/730</f>
        <v>0.19452054794520549</v>
      </c>
      <c r="T30" t="s">
        <v>16</v>
      </c>
      <c r="U30" t="s">
        <v>16</v>
      </c>
    </row>
    <row r="31" spans="1:21" x14ac:dyDescent="0.3">
      <c r="A31" t="s">
        <v>27</v>
      </c>
      <c r="B31" t="s">
        <v>459</v>
      </c>
      <c r="C31">
        <v>143</v>
      </c>
      <c r="D31" t="s">
        <v>14</v>
      </c>
      <c r="E31" t="s">
        <v>45</v>
      </c>
      <c r="F31" s="3" t="s">
        <v>111</v>
      </c>
      <c r="G31">
        <v>20018</v>
      </c>
      <c r="H31" t="s">
        <v>219</v>
      </c>
      <c r="I31" t="s">
        <v>220</v>
      </c>
      <c r="J31" t="s">
        <v>95</v>
      </c>
      <c r="K31" t="s">
        <v>95</v>
      </c>
      <c r="L31" t="s">
        <v>460</v>
      </c>
      <c r="M31" t="s">
        <v>445</v>
      </c>
      <c r="N31" t="s">
        <v>95</v>
      </c>
      <c r="O31">
        <v>102</v>
      </c>
      <c r="P31" s="7">
        <v>11266</v>
      </c>
      <c r="Q31">
        <v>7.0000000000000007E-2</v>
      </c>
      <c r="R31">
        <v>2.1</v>
      </c>
      <c r="S31" s="5">
        <f>O31/730</f>
        <v>0.13972602739726028</v>
      </c>
      <c r="T31" t="s">
        <v>16</v>
      </c>
      <c r="U31" t="s">
        <v>16</v>
      </c>
    </row>
    <row r="32" spans="1:21" x14ac:dyDescent="0.3">
      <c r="A32" t="s">
        <v>27</v>
      </c>
      <c r="B32" t="s">
        <v>459</v>
      </c>
      <c r="C32">
        <v>143</v>
      </c>
      <c r="D32" t="s">
        <v>14</v>
      </c>
      <c r="E32" t="s">
        <v>45</v>
      </c>
      <c r="F32" s="3" t="s">
        <v>461</v>
      </c>
      <c r="G32">
        <v>20018</v>
      </c>
      <c r="H32" t="s">
        <v>219</v>
      </c>
      <c r="I32" t="s">
        <v>220</v>
      </c>
      <c r="J32" t="s">
        <v>95</v>
      </c>
      <c r="K32" t="s">
        <v>95</v>
      </c>
      <c r="L32" t="s">
        <v>462</v>
      </c>
      <c r="M32" t="s">
        <v>445</v>
      </c>
      <c r="N32" t="s">
        <v>95</v>
      </c>
      <c r="O32">
        <v>58</v>
      </c>
      <c r="P32" s="7">
        <v>14839</v>
      </c>
      <c r="Q32">
        <v>0.1</v>
      </c>
      <c r="R32">
        <v>3.55</v>
      </c>
      <c r="S32" s="5">
        <f>O32/730</f>
        <v>7.9452054794520555E-2</v>
      </c>
      <c r="T32" t="s">
        <v>16</v>
      </c>
      <c r="U32" t="s">
        <v>16</v>
      </c>
    </row>
    <row r="33" spans="1:21" x14ac:dyDescent="0.3">
      <c r="A33" t="s">
        <v>27</v>
      </c>
      <c r="B33" t="s">
        <v>459</v>
      </c>
      <c r="C33">
        <v>143</v>
      </c>
      <c r="D33" t="s">
        <v>14</v>
      </c>
      <c r="E33" t="s">
        <v>45</v>
      </c>
      <c r="F33" s="3" t="s">
        <v>118</v>
      </c>
      <c r="G33">
        <v>20018</v>
      </c>
      <c r="H33" t="s">
        <v>219</v>
      </c>
      <c r="I33" t="s">
        <v>220</v>
      </c>
      <c r="J33" t="s">
        <v>95</v>
      </c>
      <c r="K33" t="s">
        <v>95</v>
      </c>
      <c r="L33" t="s">
        <v>95</v>
      </c>
      <c r="M33" t="s">
        <v>466</v>
      </c>
      <c r="N33" t="s">
        <v>95</v>
      </c>
      <c r="O33">
        <v>88</v>
      </c>
      <c r="P33" s="7">
        <v>12807</v>
      </c>
      <c r="Q33">
        <v>0.09</v>
      </c>
      <c r="R33">
        <v>2.4500000000000002</v>
      </c>
      <c r="S33" s="5">
        <f>O33/730</f>
        <v>0.12054794520547946</v>
      </c>
      <c r="T33" t="s">
        <v>16</v>
      </c>
      <c r="U33" t="s">
        <v>16</v>
      </c>
    </row>
    <row r="34" spans="1:21" x14ac:dyDescent="0.3">
      <c r="A34" t="s">
        <v>27</v>
      </c>
      <c r="B34" t="s">
        <v>469</v>
      </c>
      <c r="C34">
        <v>143</v>
      </c>
      <c r="D34" t="s">
        <v>14</v>
      </c>
      <c r="E34" t="s">
        <v>45</v>
      </c>
      <c r="F34" s="3" t="s">
        <v>470</v>
      </c>
      <c r="G34">
        <v>20018</v>
      </c>
      <c r="H34" t="s">
        <v>219</v>
      </c>
      <c r="I34" t="s">
        <v>220</v>
      </c>
      <c r="J34" t="s">
        <v>95</v>
      </c>
      <c r="K34" t="s">
        <v>95</v>
      </c>
      <c r="L34" t="s">
        <v>95</v>
      </c>
      <c r="M34" t="s">
        <v>471</v>
      </c>
      <c r="N34" t="s">
        <v>95</v>
      </c>
      <c r="O34">
        <v>108</v>
      </c>
      <c r="P34" s="7">
        <v>10507</v>
      </c>
      <c r="Q34">
        <v>0.09</v>
      </c>
      <c r="R34">
        <v>1.97</v>
      </c>
      <c r="S34" s="5">
        <f>O34/730</f>
        <v>0.14794520547945206</v>
      </c>
      <c r="T34" t="s">
        <v>16</v>
      </c>
      <c r="U34" t="s">
        <v>16</v>
      </c>
    </row>
    <row r="35" spans="1:21" x14ac:dyDescent="0.3">
      <c r="A35" t="s">
        <v>27</v>
      </c>
      <c r="B35" t="s">
        <v>68</v>
      </c>
      <c r="C35">
        <v>143</v>
      </c>
      <c r="D35" t="s">
        <v>14</v>
      </c>
      <c r="E35" t="s">
        <v>45</v>
      </c>
      <c r="F35" s="3" t="s">
        <v>474</v>
      </c>
      <c r="G35">
        <v>20018</v>
      </c>
      <c r="H35" t="s">
        <v>219</v>
      </c>
      <c r="I35" t="s">
        <v>220</v>
      </c>
      <c r="J35" t="s">
        <v>95</v>
      </c>
      <c r="K35" t="s">
        <v>95</v>
      </c>
      <c r="L35" t="s">
        <v>475</v>
      </c>
      <c r="M35" t="s">
        <v>95</v>
      </c>
      <c r="N35" t="s">
        <v>95</v>
      </c>
      <c r="O35">
        <v>170</v>
      </c>
      <c r="P35" s="7">
        <v>11067</v>
      </c>
      <c r="Q35">
        <v>7.0000000000000007E-2</v>
      </c>
      <c r="R35">
        <v>1.65</v>
      </c>
      <c r="S35" s="5">
        <f>O35/730</f>
        <v>0.23287671232876711</v>
      </c>
      <c r="T35" t="s">
        <v>16</v>
      </c>
      <c r="U35" t="s">
        <v>16</v>
      </c>
    </row>
    <row r="36" spans="1:21" x14ac:dyDescent="0.3">
      <c r="A36" t="s">
        <v>27</v>
      </c>
      <c r="B36" t="s">
        <v>68</v>
      </c>
      <c r="C36">
        <v>143</v>
      </c>
      <c r="D36" t="s">
        <v>14</v>
      </c>
      <c r="E36" t="s">
        <v>45</v>
      </c>
      <c r="F36" s="3" t="s">
        <v>479</v>
      </c>
      <c r="G36">
        <v>20018</v>
      </c>
      <c r="H36" t="s">
        <v>219</v>
      </c>
      <c r="I36" t="s">
        <v>220</v>
      </c>
      <c r="J36" t="s">
        <v>95</v>
      </c>
      <c r="K36" t="s">
        <v>480</v>
      </c>
      <c r="L36" t="s">
        <v>477</v>
      </c>
      <c r="M36" t="s">
        <v>95</v>
      </c>
      <c r="N36" t="s">
        <v>95</v>
      </c>
      <c r="O36">
        <v>267</v>
      </c>
      <c r="P36" s="7">
        <v>14597</v>
      </c>
      <c r="Q36">
        <v>0.08</v>
      </c>
      <c r="R36">
        <v>1.54</v>
      </c>
      <c r="S36" s="5">
        <f>O36/730</f>
        <v>0.36575342465753424</v>
      </c>
      <c r="T36" t="s">
        <v>16</v>
      </c>
      <c r="U36" t="s">
        <v>16</v>
      </c>
    </row>
    <row r="37" spans="1:21" x14ac:dyDescent="0.3">
      <c r="A37" t="s">
        <v>27</v>
      </c>
      <c r="B37" t="s">
        <v>68</v>
      </c>
      <c r="C37">
        <v>143</v>
      </c>
      <c r="D37" t="s">
        <v>14</v>
      </c>
      <c r="E37" t="s">
        <v>45</v>
      </c>
      <c r="F37" s="3" t="s">
        <v>497</v>
      </c>
      <c r="G37">
        <v>20018</v>
      </c>
      <c r="H37" t="s">
        <v>219</v>
      </c>
      <c r="I37" t="s">
        <v>220</v>
      </c>
      <c r="J37" t="s">
        <v>95</v>
      </c>
      <c r="K37" t="s">
        <v>498</v>
      </c>
      <c r="L37" t="s">
        <v>95</v>
      </c>
      <c r="M37" t="s">
        <v>95</v>
      </c>
      <c r="N37" t="s">
        <v>495</v>
      </c>
      <c r="O37">
        <v>104</v>
      </c>
      <c r="P37" s="7">
        <v>13007</v>
      </c>
      <c r="Q37">
        <v>0.05</v>
      </c>
      <c r="R37">
        <v>2.25</v>
      </c>
      <c r="S37" s="5">
        <f>O37/730</f>
        <v>0.14246575342465753</v>
      </c>
      <c r="T37" t="s">
        <v>16</v>
      </c>
      <c r="U37" t="s">
        <v>16</v>
      </c>
    </row>
    <row r="38" spans="1:21" x14ac:dyDescent="0.3">
      <c r="A38" t="s">
        <v>27</v>
      </c>
      <c r="B38" t="s">
        <v>512</v>
      </c>
      <c r="C38">
        <v>143</v>
      </c>
      <c r="D38" t="s">
        <v>14</v>
      </c>
      <c r="E38" t="s">
        <v>45</v>
      </c>
      <c r="F38" s="3" t="s">
        <v>515</v>
      </c>
      <c r="G38">
        <v>20018</v>
      </c>
      <c r="H38" t="s">
        <v>219</v>
      </c>
      <c r="I38" t="s">
        <v>220</v>
      </c>
      <c r="J38" t="s">
        <v>95</v>
      </c>
      <c r="K38" t="s">
        <v>516</v>
      </c>
      <c r="L38" t="s">
        <v>95</v>
      </c>
      <c r="M38" t="s">
        <v>344</v>
      </c>
      <c r="N38" t="s">
        <v>392</v>
      </c>
      <c r="O38">
        <v>67</v>
      </c>
      <c r="P38" s="7">
        <v>20398</v>
      </c>
      <c r="Q38">
        <v>0.1</v>
      </c>
      <c r="R38">
        <v>4.04</v>
      </c>
      <c r="S38" s="5">
        <f>O38/730</f>
        <v>9.1780821917808217E-2</v>
      </c>
      <c r="T38" t="s">
        <v>16</v>
      </c>
      <c r="U38" t="s">
        <v>16</v>
      </c>
    </row>
    <row r="39" spans="1:21" x14ac:dyDescent="0.3">
      <c r="A39" t="s">
        <v>27</v>
      </c>
      <c r="B39" t="s">
        <v>512</v>
      </c>
      <c r="C39">
        <v>143</v>
      </c>
      <c r="D39" t="s">
        <v>14</v>
      </c>
      <c r="E39" t="s">
        <v>45</v>
      </c>
      <c r="F39" s="3" t="s">
        <v>517</v>
      </c>
      <c r="G39">
        <v>20018</v>
      </c>
      <c r="H39" t="s">
        <v>219</v>
      </c>
      <c r="I39" t="s">
        <v>220</v>
      </c>
      <c r="J39" t="s">
        <v>518</v>
      </c>
      <c r="K39" t="s">
        <v>477</v>
      </c>
      <c r="L39" t="s">
        <v>95</v>
      </c>
      <c r="M39" t="s">
        <v>344</v>
      </c>
      <c r="N39" t="s">
        <v>392</v>
      </c>
      <c r="O39">
        <v>162</v>
      </c>
      <c r="P39" s="7">
        <v>14053</v>
      </c>
      <c r="Q39">
        <v>0.08</v>
      </c>
      <c r="R39">
        <v>1.86</v>
      </c>
      <c r="S39" s="5">
        <f>O39/730</f>
        <v>0.22191780821917809</v>
      </c>
      <c r="T39" t="s">
        <v>16</v>
      </c>
      <c r="U39" t="s">
        <v>16</v>
      </c>
    </row>
    <row r="40" spans="1:21" x14ac:dyDescent="0.3">
      <c r="A40" t="s">
        <v>27</v>
      </c>
      <c r="B40" t="s">
        <v>68</v>
      </c>
      <c r="C40">
        <v>143</v>
      </c>
      <c r="D40" t="s">
        <v>14</v>
      </c>
      <c r="E40" t="s">
        <v>45</v>
      </c>
      <c r="F40" s="3" t="s">
        <v>525</v>
      </c>
      <c r="G40">
        <v>20018</v>
      </c>
      <c r="H40" t="s">
        <v>219</v>
      </c>
      <c r="I40" t="s">
        <v>220</v>
      </c>
      <c r="J40" t="s">
        <v>526</v>
      </c>
      <c r="K40" t="s">
        <v>477</v>
      </c>
      <c r="L40" t="s">
        <v>477</v>
      </c>
      <c r="M40" t="s">
        <v>344</v>
      </c>
      <c r="N40" t="s">
        <v>392</v>
      </c>
      <c r="O40">
        <v>94</v>
      </c>
      <c r="P40" s="7">
        <v>11908</v>
      </c>
      <c r="Q40">
        <v>0.09</v>
      </c>
      <c r="R40">
        <v>2.2599999999999998</v>
      </c>
      <c r="S40" s="5">
        <f>O40/730</f>
        <v>0.12876712328767123</v>
      </c>
      <c r="T40" t="s">
        <v>16</v>
      </c>
      <c r="U40" t="s">
        <v>16</v>
      </c>
    </row>
    <row r="41" spans="1:21" x14ac:dyDescent="0.3">
      <c r="A41" t="s">
        <v>27</v>
      </c>
      <c r="B41" t="s">
        <v>530</v>
      </c>
      <c r="C41">
        <v>143</v>
      </c>
      <c r="D41" t="s">
        <v>14</v>
      </c>
      <c r="E41" t="s">
        <v>45</v>
      </c>
      <c r="F41" s="3" t="s">
        <v>531</v>
      </c>
      <c r="G41">
        <v>20018</v>
      </c>
      <c r="H41" t="s">
        <v>219</v>
      </c>
      <c r="I41" t="s">
        <v>220</v>
      </c>
      <c r="J41" t="s">
        <v>532</v>
      </c>
      <c r="K41" t="s">
        <v>95</v>
      </c>
      <c r="L41" t="s">
        <v>477</v>
      </c>
      <c r="M41" t="s">
        <v>344</v>
      </c>
      <c r="N41" t="s">
        <v>95</v>
      </c>
      <c r="O41">
        <v>136</v>
      </c>
      <c r="P41" s="7">
        <v>13105</v>
      </c>
      <c r="Q41">
        <v>7.0000000000000007E-2</v>
      </c>
      <c r="R41">
        <v>1.96</v>
      </c>
      <c r="S41" s="5">
        <f>O41/730</f>
        <v>0.18630136986301371</v>
      </c>
      <c r="T41" t="s">
        <v>16</v>
      </c>
      <c r="U41" t="s">
        <v>16</v>
      </c>
    </row>
    <row r="42" spans="1:21" x14ac:dyDescent="0.3">
      <c r="A42" t="s">
        <v>27</v>
      </c>
      <c r="B42" t="s">
        <v>536</v>
      </c>
      <c r="C42">
        <v>143</v>
      </c>
      <c r="D42" t="s">
        <v>14</v>
      </c>
      <c r="E42" t="s">
        <v>45</v>
      </c>
      <c r="F42" s="3" t="s">
        <v>169</v>
      </c>
      <c r="G42">
        <v>20018</v>
      </c>
      <c r="H42" t="s">
        <v>219</v>
      </c>
      <c r="I42" t="s">
        <v>220</v>
      </c>
      <c r="J42" t="s">
        <v>540</v>
      </c>
      <c r="K42" t="s">
        <v>539</v>
      </c>
      <c r="L42" t="s">
        <v>477</v>
      </c>
      <c r="M42" t="s">
        <v>344</v>
      </c>
      <c r="N42" t="s">
        <v>95</v>
      </c>
      <c r="O42">
        <v>137</v>
      </c>
      <c r="P42" s="7">
        <v>26461</v>
      </c>
      <c r="Q42">
        <v>0.11</v>
      </c>
      <c r="R42">
        <v>2.93</v>
      </c>
      <c r="S42" s="5">
        <f>O42/730</f>
        <v>0.18767123287671234</v>
      </c>
      <c r="T42" t="s">
        <v>16</v>
      </c>
      <c r="U42" t="s">
        <v>16</v>
      </c>
    </row>
    <row r="43" spans="1:21" x14ac:dyDescent="0.3">
      <c r="A43" t="s">
        <v>27</v>
      </c>
      <c r="B43" t="s">
        <v>536</v>
      </c>
      <c r="C43">
        <v>143</v>
      </c>
      <c r="D43" t="s">
        <v>14</v>
      </c>
      <c r="E43" t="s">
        <v>45</v>
      </c>
      <c r="F43" s="3" t="s">
        <v>541</v>
      </c>
      <c r="G43">
        <v>20018</v>
      </c>
      <c r="H43" t="s">
        <v>219</v>
      </c>
      <c r="I43" t="s">
        <v>220</v>
      </c>
      <c r="J43" t="s">
        <v>542</v>
      </c>
      <c r="K43" t="s">
        <v>539</v>
      </c>
      <c r="L43" t="s">
        <v>477</v>
      </c>
      <c r="M43" t="s">
        <v>344</v>
      </c>
      <c r="N43" t="s">
        <v>95</v>
      </c>
      <c r="O43">
        <v>183</v>
      </c>
      <c r="P43" s="7">
        <v>13834</v>
      </c>
      <c r="Q43">
        <v>0.08</v>
      </c>
      <c r="R43">
        <v>1.75</v>
      </c>
      <c r="S43" s="5">
        <f>O43/730</f>
        <v>0.25068493150684934</v>
      </c>
      <c r="T43" t="s">
        <v>16</v>
      </c>
      <c r="U43" t="s">
        <v>16</v>
      </c>
    </row>
    <row r="44" spans="1:21" x14ac:dyDescent="0.3">
      <c r="A44" t="s">
        <v>27</v>
      </c>
      <c r="B44" t="s">
        <v>536</v>
      </c>
      <c r="C44">
        <v>143</v>
      </c>
      <c r="D44" t="s">
        <v>14</v>
      </c>
      <c r="E44" t="s">
        <v>45</v>
      </c>
      <c r="F44" s="3" t="s">
        <v>568</v>
      </c>
      <c r="G44">
        <v>20018</v>
      </c>
      <c r="H44" t="s">
        <v>219</v>
      </c>
      <c r="I44" t="s">
        <v>220</v>
      </c>
      <c r="J44" t="s">
        <v>95</v>
      </c>
      <c r="K44" t="s">
        <v>539</v>
      </c>
      <c r="L44" t="s">
        <v>569</v>
      </c>
      <c r="M44" t="s">
        <v>477</v>
      </c>
      <c r="N44" t="s">
        <v>95</v>
      </c>
      <c r="O44">
        <v>55</v>
      </c>
      <c r="P44" s="7">
        <v>12318</v>
      </c>
      <c r="Q44">
        <v>0.09</v>
      </c>
      <c r="R44">
        <v>3.23</v>
      </c>
      <c r="S44" s="5">
        <f>O44/730</f>
        <v>7.5342465753424653E-2</v>
      </c>
      <c r="T44" t="s">
        <v>16</v>
      </c>
      <c r="U44" t="s">
        <v>16</v>
      </c>
    </row>
  </sheetData>
  <sortState ref="A2:U44">
    <sortCondition ref="F2"/>
  </sortState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1"/>
  <sheetViews>
    <sheetView zoomScaleNormal="100" workbookViewId="0">
      <pane ySplit="1" topLeftCell="A62" activePane="bottomLeft" state="frozen"/>
      <selection pane="bottomLeft" activeCell="D78" sqref="D78"/>
    </sheetView>
  </sheetViews>
  <sheetFormatPr defaultRowHeight="16.5" x14ac:dyDescent="0.3"/>
  <cols>
    <col min="1" max="3" width="4.875" customWidth="1"/>
    <col min="4" max="4" width="7.375" customWidth="1"/>
    <col min="6" max="6" width="9" style="3"/>
    <col min="11" max="11" width="11.375" customWidth="1"/>
    <col min="12" max="12" width="11.5" customWidth="1"/>
    <col min="13" max="13" width="10.125" customWidth="1"/>
    <col min="14" max="14" width="10.5" customWidth="1"/>
    <col min="15" max="15" width="7" customWidth="1"/>
    <col min="16" max="16" width="9.125" style="7" customWidth="1"/>
    <col min="17" max="17" width="6.625" customWidth="1"/>
    <col min="18" max="18" width="7.125" customWidth="1"/>
    <col min="19" max="19" width="7.5" style="5" customWidth="1"/>
    <col min="21" max="21" width="14.125" customWidth="1"/>
  </cols>
  <sheetData>
    <row r="1" spans="1:21" s="1" customFormat="1" ht="33" x14ac:dyDescent="0.3">
      <c r="A1" s="1" t="s">
        <v>0</v>
      </c>
      <c r="B1" s="1" t="s">
        <v>23</v>
      </c>
      <c r="C1" s="1" t="s">
        <v>25</v>
      </c>
      <c r="D1" s="1" t="s">
        <v>1</v>
      </c>
      <c r="E1" s="1" t="s">
        <v>2</v>
      </c>
      <c r="F1" s="2" t="s">
        <v>3</v>
      </c>
      <c r="G1" s="1" t="s">
        <v>4</v>
      </c>
      <c r="H1" s="1" t="s">
        <v>5</v>
      </c>
      <c r="I1" s="1" t="s">
        <v>6</v>
      </c>
      <c r="J1" s="1" t="s">
        <v>10</v>
      </c>
      <c r="K1" s="1" t="s">
        <v>21</v>
      </c>
      <c r="L1" s="1" t="s">
        <v>22</v>
      </c>
      <c r="M1" s="1" t="s">
        <v>11</v>
      </c>
      <c r="N1" s="1" t="s">
        <v>12</v>
      </c>
      <c r="O1" s="1" t="s">
        <v>7</v>
      </c>
      <c r="P1" s="6" t="s">
        <v>39</v>
      </c>
      <c r="Q1" s="1" t="s">
        <v>8</v>
      </c>
      <c r="R1" s="1" t="s">
        <v>19</v>
      </c>
      <c r="S1" s="4" t="s">
        <v>20</v>
      </c>
      <c r="T1" s="1" t="s">
        <v>9</v>
      </c>
      <c r="U1" s="1" t="s">
        <v>13</v>
      </c>
    </row>
    <row r="2" spans="1:21" x14ac:dyDescent="0.3">
      <c r="A2" t="s">
        <v>17</v>
      </c>
      <c r="B2" t="s">
        <v>24</v>
      </c>
      <c r="C2">
        <v>131</v>
      </c>
      <c r="D2" t="s">
        <v>14</v>
      </c>
      <c r="E2" t="s">
        <v>15</v>
      </c>
      <c r="F2" s="3">
        <v>123</v>
      </c>
      <c r="G2">
        <v>99100</v>
      </c>
      <c r="H2" t="s">
        <v>18</v>
      </c>
      <c r="I2" t="s">
        <v>18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>
        <v>20</v>
      </c>
      <c r="P2" s="7">
        <v>0</v>
      </c>
      <c r="Q2">
        <v>0.05</v>
      </c>
      <c r="R2">
        <v>0</v>
      </c>
      <c r="S2" s="5">
        <v>1</v>
      </c>
      <c r="T2" t="s">
        <v>16</v>
      </c>
      <c r="U2" t="s">
        <v>16</v>
      </c>
    </row>
    <row r="3" spans="1:21" x14ac:dyDescent="0.3">
      <c r="A3" t="s">
        <v>17</v>
      </c>
      <c r="B3" t="s">
        <v>24</v>
      </c>
      <c r="C3">
        <v>131</v>
      </c>
      <c r="D3" t="s">
        <v>14</v>
      </c>
      <c r="E3" t="s">
        <v>28</v>
      </c>
      <c r="F3" s="3">
        <v>1</v>
      </c>
      <c r="G3">
        <v>20018</v>
      </c>
      <c r="H3" t="s">
        <v>18</v>
      </c>
      <c r="I3" t="s">
        <v>18</v>
      </c>
      <c r="J3" t="s">
        <v>26</v>
      </c>
      <c r="K3" t="s">
        <v>16</v>
      </c>
      <c r="L3" t="s">
        <v>16</v>
      </c>
      <c r="M3" t="s">
        <v>16</v>
      </c>
      <c r="N3" t="s">
        <v>16</v>
      </c>
      <c r="O3">
        <v>33861</v>
      </c>
      <c r="P3" s="7">
        <v>33861</v>
      </c>
      <c r="Q3">
        <v>0.52</v>
      </c>
      <c r="R3">
        <v>1.05</v>
      </c>
      <c r="S3" s="5">
        <f t="shared" ref="S3:S33" si="0">O3/(365*2)</f>
        <v>46.384931506849313</v>
      </c>
      <c r="T3" t="s">
        <v>16</v>
      </c>
      <c r="U3" t="s">
        <v>16</v>
      </c>
    </row>
    <row r="4" spans="1:21" x14ac:dyDescent="0.3">
      <c r="A4" t="s">
        <v>17</v>
      </c>
      <c r="B4" t="s">
        <v>24</v>
      </c>
      <c r="C4">
        <v>131</v>
      </c>
      <c r="D4" t="s">
        <v>14</v>
      </c>
      <c r="E4" t="s">
        <v>28</v>
      </c>
      <c r="F4" s="3" t="s">
        <v>29</v>
      </c>
      <c r="G4">
        <v>20018</v>
      </c>
      <c r="H4" t="s">
        <v>18</v>
      </c>
      <c r="I4" t="s">
        <v>18</v>
      </c>
      <c r="J4" t="s">
        <v>30</v>
      </c>
      <c r="K4" t="s">
        <v>16</v>
      </c>
      <c r="L4" t="s">
        <v>16</v>
      </c>
      <c r="M4" t="s">
        <v>16</v>
      </c>
      <c r="N4" t="s">
        <v>16</v>
      </c>
      <c r="O4">
        <v>784</v>
      </c>
      <c r="P4" s="7">
        <v>34101</v>
      </c>
      <c r="Q4">
        <v>0.21</v>
      </c>
      <c r="R4">
        <v>1.43</v>
      </c>
      <c r="S4" s="5">
        <f t="shared" si="0"/>
        <v>1.0739726027397261</v>
      </c>
      <c r="T4" t="s">
        <v>16</v>
      </c>
      <c r="U4" t="s">
        <v>16</v>
      </c>
    </row>
    <row r="5" spans="1:21" x14ac:dyDescent="0.3">
      <c r="A5" t="s">
        <v>17</v>
      </c>
      <c r="B5" t="s">
        <v>24</v>
      </c>
      <c r="C5">
        <v>131</v>
      </c>
      <c r="D5" t="s">
        <v>14</v>
      </c>
      <c r="E5" t="s">
        <v>28</v>
      </c>
      <c r="F5" s="3" t="s">
        <v>31</v>
      </c>
      <c r="G5">
        <v>20018</v>
      </c>
      <c r="H5" t="s">
        <v>18</v>
      </c>
      <c r="I5" t="s">
        <v>18</v>
      </c>
      <c r="J5" t="s">
        <v>32</v>
      </c>
      <c r="K5" t="s">
        <v>16</v>
      </c>
      <c r="L5" t="s">
        <v>16</v>
      </c>
      <c r="M5" t="s">
        <v>16</v>
      </c>
      <c r="N5" t="s">
        <v>16</v>
      </c>
      <c r="O5">
        <v>916</v>
      </c>
      <c r="P5" s="7">
        <v>37631</v>
      </c>
      <c r="Q5">
        <v>0.19</v>
      </c>
      <c r="R5">
        <v>1.41</v>
      </c>
      <c r="S5" s="5">
        <f t="shared" si="0"/>
        <v>1.2547945205479452</v>
      </c>
      <c r="T5" t="s">
        <v>16</v>
      </c>
      <c r="U5" t="s">
        <v>16</v>
      </c>
    </row>
    <row r="6" spans="1:21" x14ac:dyDescent="0.3">
      <c r="A6" t="s">
        <v>17</v>
      </c>
      <c r="B6" t="s">
        <v>24</v>
      </c>
      <c r="C6">
        <v>131</v>
      </c>
      <c r="D6" t="s">
        <v>14</v>
      </c>
      <c r="E6" t="s">
        <v>28</v>
      </c>
      <c r="F6" s="3" t="s">
        <v>33</v>
      </c>
      <c r="G6">
        <v>20018</v>
      </c>
      <c r="H6" t="s">
        <v>18</v>
      </c>
      <c r="I6" t="s">
        <v>18</v>
      </c>
      <c r="J6" t="s">
        <v>34</v>
      </c>
      <c r="K6" t="s">
        <v>16</v>
      </c>
      <c r="L6" t="s">
        <v>16</v>
      </c>
      <c r="M6" t="s">
        <v>16</v>
      </c>
      <c r="N6" t="s">
        <v>16</v>
      </c>
      <c r="O6">
        <v>716</v>
      </c>
      <c r="P6" s="7">
        <v>28904</v>
      </c>
      <c r="Q6">
        <v>0.19</v>
      </c>
      <c r="R6">
        <v>1.4</v>
      </c>
      <c r="S6" s="5">
        <f t="shared" si="0"/>
        <v>0.98082191780821915</v>
      </c>
      <c r="T6" t="s">
        <v>16</v>
      </c>
      <c r="U6" t="s">
        <v>16</v>
      </c>
    </row>
    <row r="7" spans="1:21" x14ac:dyDescent="0.3">
      <c r="A7" t="s">
        <v>17</v>
      </c>
      <c r="B7" t="s">
        <v>24</v>
      </c>
      <c r="C7">
        <v>131</v>
      </c>
      <c r="D7" t="s">
        <v>14</v>
      </c>
      <c r="E7" t="s">
        <v>28</v>
      </c>
      <c r="F7" s="3" t="s">
        <v>35</v>
      </c>
      <c r="G7">
        <v>20018</v>
      </c>
      <c r="H7" t="s">
        <v>18</v>
      </c>
      <c r="I7" t="s">
        <v>18</v>
      </c>
      <c r="J7" t="s">
        <v>36</v>
      </c>
      <c r="K7" t="s">
        <v>16</v>
      </c>
      <c r="L7" t="s">
        <v>16</v>
      </c>
      <c r="M7" t="s">
        <v>16</v>
      </c>
      <c r="N7" t="s">
        <v>16</v>
      </c>
      <c r="O7">
        <v>438</v>
      </c>
      <c r="P7" s="7">
        <v>6800</v>
      </c>
      <c r="Q7">
        <v>0.17</v>
      </c>
      <c r="R7">
        <v>1.5</v>
      </c>
      <c r="S7" s="5">
        <f t="shared" si="0"/>
        <v>0.6</v>
      </c>
      <c r="T7" t="s">
        <v>16</v>
      </c>
      <c r="U7" t="s">
        <v>16</v>
      </c>
    </row>
    <row r="8" spans="1:21" x14ac:dyDescent="0.3">
      <c r="A8" t="s">
        <v>17</v>
      </c>
      <c r="B8" t="s">
        <v>24</v>
      </c>
      <c r="C8">
        <v>131</v>
      </c>
      <c r="D8" t="s">
        <v>14</v>
      </c>
      <c r="E8" t="s">
        <v>28</v>
      </c>
      <c r="F8" s="3" t="s">
        <v>37</v>
      </c>
      <c r="G8">
        <v>20018</v>
      </c>
      <c r="H8" t="s">
        <v>18</v>
      </c>
      <c r="I8" t="s">
        <v>18</v>
      </c>
      <c r="J8" t="s">
        <v>38</v>
      </c>
      <c r="K8" t="s">
        <v>16</v>
      </c>
      <c r="L8" t="s">
        <v>16</v>
      </c>
      <c r="M8" t="s">
        <v>16</v>
      </c>
      <c r="N8" t="s">
        <v>16</v>
      </c>
      <c r="O8">
        <v>240</v>
      </c>
      <c r="P8" s="7">
        <v>4670</v>
      </c>
      <c r="Q8">
        <v>0.34</v>
      </c>
      <c r="R8">
        <v>1.19</v>
      </c>
      <c r="S8" s="5">
        <f t="shared" si="0"/>
        <v>0.32876712328767121</v>
      </c>
      <c r="T8" t="s">
        <v>16</v>
      </c>
      <c r="U8" t="s">
        <v>16</v>
      </c>
    </row>
    <row r="9" spans="1:21" x14ac:dyDescent="0.3">
      <c r="A9" t="s">
        <v>27</v>
      </c>
      <c r="B9" t="s">
        <v>24</v>
      </c>
      <c r="C9">
        <v>131</v>
      </c>
      <c r="D9" t="s">
        <v>14</v>
      </c>
      <c r="E9" t="s">
        <v>40</v>
      </c>
      <c r="F9" s="3" t="s">
        <v>41</v>
      </c>
      <c r="G9">
        <v>20018</v>
      </c>
      <c r="H9" t="s">
        <v>18</v>
      </c>
      <c r="I9" t="s">
        <v>18</v>
      </c>
      <c r="J9" t="s">
        <v>42</v>
      </c>
      <c r="K9" t="s">
        <v>16</v>
      </c>
      <c r="L9" t="s">
        <v>16</v>
      </c>
      <c r="M9" t="s">
        <v>16</v>
      </c>
      <c r="N9" t="s">
        <v>16</v>
      </c>
      <c r="O9">
        <v>1179</v>
      </c>
      <c r="P9" s="7">
        <v>15666</v>
      </c>
      <c r="Q9">
        <v>0.2</v>
      </c>
      <c r="R9">
        <v>1.1299999999999999</v>
      </c>
      <c r="S9" s="5">
        <f t="shared" si="0"/>
        <v>1.6150684931506849</v>
      </c>
      <c r="T9" t="s">
        <v>16</v>
      </c>
      <c r="U9" t="s">
        <v>16</v>
      </c>
    </row>
    <row r="10" spans="1:21" x14ac:dyDescent="0.3">
      <c r="A10" t="s">
        <v>27</v>
      </c>
      <c r="B10" t="s">
        <v>24</v>
      </c>
      <c r="C10">
        <v>131</v>
      </c>
      <c r="D10" t="s">
        <v>14</v>
      </c>
      <c r="E10" t="s">
        <v>40</v>
      </c>
      <c r="F10" s="3" t="s">
        <v>43</v>
      </c>
      <c r="G10">
        <v>20018</v>
      </c>
      <c r="H10" t="s">
        <v>18</v>
      </c>
      <c r="I10" t="s">
        <v>18</v>
      </c>
      <c r="J10" t="s">
        <v>44</v>
      </c>
      <c r="K10" t="s">
        <v>16</v>
      </c>
      <c r="L10" t="s">
        <v>16</v>
      </c>
      <c r="M10" t="s">
        <v>16</v>
      </c>
      <c r="N10" t="s">
        <v>16</v>
      </c>
      <c r="O10">
        <v>397</v>
      </c>
      <c r="P10" s="7">
        <v>16725</v>
      </c>
      <c r="Q10">
        <v>0.16</v>
      </c>
      <c r="R10">
        <v>1.42</v>
      </c>
      <c r="S10" s="5">
        <f t="shared" si="0"/>
        <v>0.54383561643835621</v>
      </c>
      <c r="T10" t="s">
        <v>16</v>
      </c>
      <c r="U10" t="s">
        <v>16</v>
      </c>
    </row>
    <row r="11" spans="1:21" x14ac:dyDescent="0.3">
      <c r="A11" t="s">
        <v>27</v>
      </c>
      <c r="B11" t="s">
        <v>24</v>
      </c>
      <c r="C11">
        <v>131</v>
      </c>
      <c r="D11" t="s">
        <v>14</v>
      </c>
      <c r="E11" t="s">
        <v>45</v>
      </c>
      <c r="F11" s="3" t="s">
        <v>46</v>
      </c>
      <c r="G11">
        <v>20018</v>
      </c>
      <c r="H11" t="s">
        <v>18</v>
      </c>
      <c r="I11" t="s">
        <v>18</v>
      </c>
      <c r="J11" t="s">
        <v>53</v>
      </c>
      <c r="K11" t="s">
        <v>16</v>
      </c>
      <c r="L11" t="s">
        <v>16</v>
      </c>
      <c r="M11" t="s">
        <v>16</v>
      </c>
      <c r="N11" t="s">
        <v>213</v>
      </c>
      <c r="O11">
        <v>522</v>
      </c>
      <c r="P11" s="7">
        <v>11809</v>
      </c>
      <c r="Q11">
        <v>0.04</v>
      </c>
      <c r="R11">
        <v>1.22</v>
      </c>
      <c r="S11" s="5">
        <f t="shared" si="0"/>
        <v>0.71506849315068488</v>
      </c>
      <c r="T11" t="s">
        <v>16</v>
      </c>
      <c r="U11" t="s">
        <v>16</v>
      </c>
    </row>
    <row r="12" spans="1:21" x14ac:dyDescent="0.3">
      <c r="A12" t="s">
        <v>27</v>
      </c>
      <c r="B12" t="s">
        <v>47</v>
      </c>
      <c r="C12">
        <v>131</v>
      </c>
      <c r="D12" t="s">
        <v>14</v>
      </c>
      <c r="E12" t="s">
        <v>45</v>
      </c>
      <c r="F12" s="3" t="s">
        <v>183</v>
      </c>
      <c r="G12">
        <v>20018</v>
      </c>
      <c r="H12" t="s">
        <v>18</v>
      </c>
      <c r="I12" t="s">
        <v>18</v>
      </c>
      <c r="J12" t="s">
        <v>16</v>
      </c>
      <c r="K12" t="s">
        <v>16</v>
      </c>
      <c r="L12" t="s">
        <v>16</v>
      </c>
      <c r="M12" t="s">
        <v>214</v>
      </c>
      <c r="N12" t="s">
        <v>16</v>
      </c>
      <c r="O12">
        <v>650</v>
      </c>
      <c r="P12" s="7">
        <v>5071</v>
      </c>
      <c r="Q12">
        <v>0.06</v>
      </c>
      <c r="R12">
        <v>1.07</v>
      </c>
      <c r="S12" s="5">
        <f t="shared" ref="S12" si="1">O12/(365*2)</f>
        <v>0.8904109589041096</v>
      </c>
      <c r="T12" t="s">
        <v>16</v>
      </c>
      <c r="U12" t="s">
        <v>16</v>
      </c>
    </row>
    <row r="13" spans="1:21" x14ac:dyDescent="0.3">
      <c r="A13" t="s">
        <v>27</v>
      </c>
      <c r="B13" t="s">
        <v>216</v>
      </c>
      <c r="C13">
        <v>131</v>
      </c>
      <c r="D13" t="s">
        <v>14</v>
      </c>
      <c r="E13" t="s">
        <v>45</v>
      </c>
      <c r="F13" s="3" t="s">
        <v>185</v>
      </c>
      <c r="G13">
        <v>20018</v>
      </c>
      <c r="H13" t="s">
        <v>18</v>
      </c>
      <c r="I13" t="s">
        <v>18</v>
      </c>
      <c r="J13" t="s">
        <v>215</v>
      </c>
      <c r="K13" t="s">
        <v>16</v>
      </c>
      <c r="L13" t="s">
        <v>16</v>
      </c>
      <c r="M13" t="s">
        <v>53</v>
      </c>
      <c r="N13" t="s">
        <v>16</v>
      </c>
      <c r="O13">
        <v>354</v>
      </c>
      <c r="P13" s="7">
        <v>13016</v>
      </c>
      <c r="Q13">
        <v>0.1</v>
      </c>
      <c r="R13">
        <v>1.36</v>
      </c>
      <c r="S13" s="5">
        <f t="shared" ref="S13" si="2">O13/(365*2)</f>
        <v>0.48493150684931507</v>
      </c>
      <c r="T13" t="s">
        <v>16</v>
      </c>
      <c r="U13" t="s">
        <v>16</v>
      </c>
    </row>
    <row r="14" spans="1:21" x14ac:dyDescent="0.3">
      <c r="A14" t="s">
        <v>27</v>
      </c>
      <c r="B14" t="s">
        <v>216</v>
      </c>
      <c r="C14">
        <v>131</v>
      </c>
      <c r="D14" t="s">
        <v>14</v>
      </c>
      <c r="E14" t="s">
        <v>45</v>
      </c>
      <c r="F14" s="3" t="s">
        <v>188</v>
      </c>
      <c r="G14">
        <v>20018</v>
      </c>
      <c r="H14" t="s">
        <v>18</v>
      </c>
      <c r="I14" t="s">
        <v>18</v>
      </c>
      <c r="J14" t="s">
        <v>217</v>
      </c>
      <c r="K14" t="s">
        <v>16</v>
      </c>
      <c r="L14" t="s">
        <v>16</v>
      </c>
      <c r="M14" t="s">
        <v>53</v>
      </c>
      <c r="N14" t="s">
        <v>218</v>
      </c>
      <c r="O14">
        <v>129</v>
      </c>
      <c r="P14" s="7">
        <v>6796</v>
      </c>
      <c r="Q14">
        <v>0.06</v>
      </c>
      <c r="R14">
        <v>1.52</v>
      </c>
      <c r="S14" s="5">
        <f t="shared" ref="S14" si="3">O14/(365*2)</f>
        <v>0.17671232876712328</v>
      </c>
      <c r="T14" t="s">
        <v>16</v>
      </c>
      <c r="U14" t="s">
        <v>16</v>
      </c>
    </row>
    <row r="15" spans="1:21" x14ac:dyDescent="0.3">
      <c r="A15" t="s">
        <v>27</v>
      </c>
      <c r="B15" t="s">
        <v>47</v>
      </c>
      <c r="C15">
        <v>131</v>
      </c>
      <c r="D15" t="s">
        <v>14</v>
      </c>
      <c r="E15" t="s">
        <v>45</v>
      </c>
      <c r="F15" s="3" t="s">
        <v>48</v>
      </c>
      <c r="G15">
        <v>20018</v>
      </c>
      <c r="H15" t="s">
        <v>18</v>
      </c>
      <c r="I15" t="s">
        <v>18</v>
      </c>
      <c r="J15" t="s">
        <v>16</v>
      </c>
      <c r="K15" t="s">
        <v>16</v>
      </c>
      <c r="L15" t="s">
        <v>16</v>
      </c>
      <c r="M15" t="s">
        <v>49</v>
      </c>
      <c r="N15" t="s">
        <v>16</v>
      </c>
      <c r="O15">
        <v>280</v>
      </c>
      <c r="P15" s="7">
        <v>2939</v>
      </c>
      <c r="Q15">
        <v>0.09</v>
      </c>
      <c r="R15">
        <v>1.1000000000000001</v>
      </c>
      <c r="S15" s="5">
        <f t="shared" si="0"/>
        <v>0.38356164383561642</v>
      </c>
      <c r="T15" t="s">
        <v>16</v>
      </c>
      <c r="U15" t="s">
        <v>16</v>
      </c>
    </row>
    <row r="16" spans="1:21" x14ac:dyDescent="0.3">
      <c r="A16" t="s">
        <v>27</v>
      </c>
      <c r="B16" t="s">
        <v>24</v>
      </c>
      <c r="C16">
        <v>131</v>
      </c>
      <c r="D16" t="s">
        <v>14</v>
      </c>
      <c r="E16" t="s">
        <v>45</v>
      </c>
      <c r="F16" s="3" t="s">
        <v>50</v>
      </c>
      <c r="G16">
        <v>20018</v>
      </c>
      <c r="H16" t="s">
        <v>18</v>
      </c>
      <c r="I16" t="s">
        <v>18</v>
      </c>
      <c r="J16" t="s">
        <v>16</v>
      </c>
      <c r="K16" t="s">
        <v>51</v>
      </c>
      <c r="L16" t="s">
        <v>16</v>
      </c>
      <c r="M16" t="s">
        <v>16</v>
      </c>
      <c r="N16" t="s">
        <v>16</v>
      </c>
      <c r="O16">
        <v>2149</v>
      </c>
      <c r="P16" s="7">
        <v>26558</v>
      </c>
      <c r="Q16">
        <v>0.11</v>
      </c>
      <c r="R16">
        <v>1.1200000000000001</v>
      </c>
      <c r="S16" s="5">
        <f t="shared" si="0"/>
        <v>2.9438356164383563</v>
      </c>
      <c r="T16" t="s">
        <v>16</v>
      </c>
      <c r="U16" t="s">
        <v>16</v>
      </c>
    </row>
    <row r="17" spans="1:21" x14ac:dyDescent="0.3">
      <c r="A17" t="s">
        <v>27</v>
      </c>
      <c r="B17" t="s">
        <v>47</v>
      </c>
      <c r="C17">
        <v>131</v>
      </c>
      <c r="D17" t="s">
        <v>14</v>
      </c>
      <c r="E17" t="s">
        <v>45</v>
      </c>
      <c r="F17" s="3" t="s">
        <v>52</v>
      </c>
      <c r="G17">
        <v>20018</v>
      </c>
      <c r="H17" t="s">
        <v>18</v>
      </c>
      <c r="I17" t="s">
        <v>18</v>
      </c>
      <c r="J17" t="s">
        <v>53</v>
      </c>
      <c r="K17" t="s">
        <v>16</v>
      </c>
      <c r="L17" t="s">
        <v>16</v>
      </c>
      <c r="M17" t="s">
        <v>16</v>
      </c>
      <c r="N17" t="s">
        <v>54</v>
      </c>
      <c r="O17">
        <v>454</v>
      </c>
      <c r="P17" s="7">
        <v>5671</v>
      </c>
      <c r="Q17">
        <v>0.1</v>
      </c>
      <c r="R17">
        <v>1.1200000000000001</v>
      </c>
      <c r="S17" s="5">
        <f t="shared" si="0"/>
        <v>0.62191780821917808</v>
      </c>
      <c r="T17" t="s">
        <v>16</v>
      </c>
      <c r="U17" t="s">
        <v>16</v>
      </c>
    </row>
    <row r="18" spans="1:21" x14ac:dyDescent="0.3">
      <c r="A18" t="s">
        <v>27</v>
      </c>
      <c r="B18" t="s">
        <v>24</v>
      </c>
      <c r="C18">
        <v>131</v>
      </c>
      <c r="D18" t="s">
        <v>14</v>
      </c>
      <c r="E18" t="s">
        <v>45</v>
      </c>
      <c r="F18" s="3" t="s">
        <v>55</v>
      </c>
      <c r="G18">
        <v>20018</v>
      </c>
      <c r="H18" t="s">
        <v>18</v>
      </c>
      <c r="I18" t="s">
        <v>18</v>
      </c>
      <c r="J18" t="s">
        <v>53</v>
      </c>
      <c r="K18" t="s">
        <v>56</v>
      </c>
      <c r="L18" t="s">
        <v>16</v>
      </c>
      <c r="M18" t="s">
        <v>16</v>
      </c>
      <c r="N18" t="s">
        <v>16</v>
      </c>
      <c r="O18">
        <v>154</v>
      </c>
      <c r="P18" s="7">
        <v>23065</v>
      </c>
      <c r="Q18">
        <v>0.08</v>
      </c>
      <c r="R18">
        <v>2.4900000000000002</v>
      </c>
      <c r="S18" s="5">
        <f t="shared" si="0"/>
        <v>0.21095890410958903</v>
      </c>
      <c r="T18" t="s">
        <v>16</v>
      </c>
      <c r="U18" t="s">
        <v>16</v>
      </c>
    </row>
    <row r="19" spans="1:21" x14ac:dyDescent="0.3">
      <c r="A19" t="s">
        <v>27</v>
      </c>
      <c r="B19" t="s">
        <v>24</v>
      </c>
      <c r="C19">
        <v>131</v>
      </c>
      <c r="D19" t="s">
        <v>14</v>
      </c>
      <c r="E19" t="s">
        <v>45</v>
      </c>
      <c r="F19" s="3" t="s">
        <v>57</v>
      </c>
      <c r="G19">
        <v>20018</v>
      </c>
      <c r="H19" t="s">
        <v>18</v>
      </c>
      <c r="I19" t="s">
        <v>18</v>
      </c>
      <c r="J19" t="s">
        <v>53</v>
      </c>
      <c r="K19" t="s">
        <v>53</v>
      </c>
      <c r="L19" t="s">
        <v>16</v>
      </c>
      <c r="M19" t="s">
        <v>58</v>
      </c>
      <c r="N19" t="s">
        <v>16</v>
      </c>
      <c r="O19">
        <v>229</v>
      </c>
      <c r="P19" s="7">
        <v>16823</v>
      </c>
      <c r="Q19">
        <v>0.06</v>
      </c>
      <c r="R19">
        <v>1.73</v>
      </c>
      <c r="S19" s="5">
        <f t="shared" si="0"/>
        <v>0.31369863013698629</v>
      </c>
      <c r="T19" t="s">
        <v>16</v>
      </c>
      <c r="U19" t="s">
        <v>16</v>
      </c>
    </row>
    <row r="20" spans="1:21" x14ac:dyDescent="0.3">
      <c r="A20" t="s">
        <v>27</v>
      </c>
      <c r="B20" t="s">
        <v>24</v>
      </c>
      <c r="C20">
        <v>131</v>
      </c>
      <c r="D20" t="s">
        <v>14</v>
      </c>
      <c r="E20" t="s">
        <v>45</v>
      </c>
      <c r="F20" s="3" t="s">
        <v>59</v>
      </c>
      <c r="G20">
        <v>20018</v>
      </c>
      <c r="H20" t="s">
        <v>18</v>
      </c>
      <c r="I20" t="s">
        <v>18</v>
      </c>
      <c r="J20" t="s">
        <v>53</v>
      </c>
      <c r="K20" t="s">
        <v>53</v>
      </c>
      <c r="L20" t="s">
        <v>16</v>
      </c>
      <c r="M20" t="s">
        <v>16</v>
      </c>
      <c r="N20" t="s">
        <v>60</v>
      </c>
      <c r="O20">
        <v>217</v>
      </c>
      <c r="P20" s="7">
        <v>6654</v>
      </c>
      <c r="Q20">
        <v>0.05</v>
      </c>
      <c r="R20">
        <v>1.3</v>
      </c>
      <c r="S20" s="5">
        <f t="shared" si="0"/>
        <v>0.29726027397260274</v>
      </c>
      <c r="T20" t="s">
        <v>16</v>
      </c>
      <c r="U20" t="s">
        <v>16</v>
      </c>
    </row>
    <row r="21" spans="1:21" x14ac:dyDescent="0.3">
      <c r="A21" t="s">
        <v>27</v>
      </c>
      <c r="B21" t="s">
        <v>24</v>
      </c>
      <c r="C21">
        <v>131</v>
      </c>
      <c r="D21" t="s">
        <v>14</v>
      </c>
      <c r="E21" t="s">
        <v>45</v>
      </c>
      <c r="F21" s="3" t="s">
        <v>61</v>
      </c>
      <c r="G21">
        <v>20018</v>
      </c>
      <c r="H21" t="s">
        <v>18</v>
      </c>
      <c r="I21" t="s">
        <v>18</v>
      </c>
      <c r="J21" t="s">
        <v>53</v>
      </c>
      <c r="K21" t="s">
        <v>53</v>
      </c>
      <c r="L21" t="s">
        <v>16</v>
      </c>
      <c r="M21" t="s">
        <v>16</v>
      </c>
      <c r="N21" t="s">
        <v>62</v>
      </c>
      <c r="O21">
        <v>220</v>
      </c>
      <c r="P21" s="7">
        <v>15261</v>
      </c>
      <c r="Q21">
        <v>0.09</v>
      </c>
      <c r="R21">
        <v>1.69</v>
      </c>
      <c r="S21" s="5">
        <f t="shared" si="0"/>
        <v>0.30136986301369861</v>
      </c>
      <c r="T21" t="s">
        <v>16</v>
      </c>
      <c r="U21" t="s">
        <v>16</v>
      </c>
    </row>
    <row r="22" spans="1:21" x14ac:dyDescent="0.3">
      <c r="A22" t="s">
        <v>27</v>
      </c>
      <c r="B22" t="s">
        <v>24</v>
      </c>
      <c r="C22">
        <v>131</v>
      </c>
      <c r="D22" t="s">
        <v>14</v>
      </c>
      <c r="E22" t="s">
        <v>45</v>
      </c>
      <c r="F22" s="3" t="s">
        <v>63</v>
      </c>
      <c r="G22">
        <v>20018</v>
      </c>
      <c r="H22" t="s">
        <v>18</v>
      </c>
      <c r="I22" t="s">
        <v>18</v>
      </c>
      <c r="J22" t="s">
        <v>53</v>
      </c>
      <c r="K22" t="s">
        <v>53</v>
      </c>
      <c r="L22" t="s">
        <v>16</v>
      </c>
      <c r="M22" t="s">
        <v>71</v>
      </c>
      <c r="N22" t="s">
        <v>16</v>
      </c>
      <c r="O22">
        <v>110</v>
      </c>
      <c r="P22" s="7">
        <v>5498</v>
      </c>
      <c r="Q22">
        <v>0.05</v>
      </c>
      <c r="R22">
        <v>1.49</v>
      </c>
      <c r="S22" s="5">
        <f t="shared" si="0"/>
        <v>0.15068493150684931</v>
      </c>
      <c r="T22" t="s">
        <v>16</v>
      </c>
      <c r="U22" t="s">
        <v>16</v>
      </c>
    </row>
    <row r="23" spans="1:21" x14ac:dyDescent="0.3">
      <c r="A23" t="s">
        <v>27</v>
      </c>
      <c r="B23" t="s">
        <v>24</v>
      </c>
      <c r="C23">
        <v>131</v>
      </c>
      <c r="D23" t="s">
        <v>14</v>
      </c>
      <c r="E23" t="s">
        <v>45</v>
      </c>
      <c r="F23" s="3" t="s">
        <v>64</v>
      </c>
      <c r="G23">
        <v>20018</v>
      </c>
      <c r="H23" t="s">
        <v>18</v>
      </c>
      <c r="I23" t="s">
        <v>18</v>
      </c>
      <c r="J23" t="s">
        <v>53</v>
      </c>
      <c r="K23" t="s">
        <v>53</v>
      </c>
      <c r="L23" t="s">
        <v>16</v>
      </c>
      <c r="M23" t="s">
        <v>16</v>
      </c>
      <c r="N23" t="s">
        <v>67</v>
      </c>
      <c r="O23">
        <v>183</v>
      </c>
      <c r="P23" s="7">
        <v>15683</v>
      </c>
      <c r="Q23">
        <v>7.0000000000000007E-2</v>
      </c>
      <c r="R23">
        <v>1.85</v>
      </c>
      <c r="S23" s="5">
        <f t="shared" si="0"/>
        <v>0.25068493150684934</v>
      </c>
      <c r="T23" t="s">
        <v>16</v>
      </c>
      <c r="U23" t="s">
        <v>16</v>
      </c>
    </row>
    <row r="24" spans="1:21" x14ac:dyDescent="0.3">
      <c r="A24" t="s">
        <v>27</v>
      </c>
      <c r="B24" t="s">
        <v>47</v>
      </c>
      <c r="C24">
        <v>131</v>
      </c>
      <c r="D24" t="s">
        <v>14</v>
      </c>
      <c r="E24" t="s">
        <v>45</v>
      </c>
      <c r="F24" s="3" t="s">
        <v>65</v>
      </c>
      <c r="G24">
        <v>20018</v>
      </c>
      <c r="H24" t="s">
        <v>18</v>
      </c>
      <c r="I24" t="s">
        <v>18</v>
      </c>
      <c r="J24" t="s">
        <v>66</v>
      </c>
      <c r="K24" t="s">
        <v>53</v>
      </c>
      <c r="L24" t="s">
        <v>16</v>
      </c>
      <c r="M24" t="s">
        <v>16</v>
      </c>
      <c r="N24" t="s">
        <v>53</v>
      </c>
      <c r="O24">
        <v>115</v>
      </c>
      <c r="P24" s="7">
        <v>6996</v>
      </c>
      <c r="Q24">
        <v>0.06</v>
      </c>
      <c r="R24">
        <v>1.6</v>
      </c>
      <c r="S24" s="5">
        <f t="shared" si="0"/>
        <v>0.15753424657534246</v>
      </c>
      <c r="T24" t="s">
        <v>16</v>
      </c>
      <c r="U24" t="s">
        <v>16</v>
      </c>
    </row>
    <row r="25" spans="1:21" x14ac:dyDescent="0.3">
      <c r="A25" t="s">
        <v>27</v>
      </c>
      <c r="B25" t="s">
        <v>68</v>
      </c>
      <c r="C25">
        <v>131</v>
      </c>
      <c r="D25" t="s">
        <v>14</v>
      </c>
      <c r="E25" t="s">
        <v>45</v>
      </c>
      <c r="F25" s="3" t="s">
        <v>69</v>
      </c>
      <c r="G25">
        <v>20018</v>
      </c>
      <c r="H25" t="s">
        <v>18</v>
      </c>
      <c r="I25" t="s">
        <v>18</v>
      </c>
      <c r="J25" t="s">
        <v>53</v>
      </c>
      <c r="K25" t="s">
        <v>53</v>
      </c>
      <c r="L25" t="s">
        <v>16</v>
      </c>
      <c r="M25" t="s">
        <v>70</v>
      </c>
      <c r="N25" t="s">
        <v>53</v>
      </c>
      <c r="O25">
        <v>269</v>
      </c>
      <c r="P25" s="7">
        <v>16506</v>
      </c>
      <c r="Q25">
        <v>0.05</v>
      </c>
      <c r="R25">
        <v>1.61</v>
      </c>
      <c r="S25" s="5">
        <f t="shared" si="0"/>
        <v>0.36849315068493149</v>
      </c>
      <c r="T25" t="s">
        <v>16</v>
      </c>
      <c r="U25" t="s">
        <v>16</v>
      </c>
    </row>
    <row r="26" spans="1:21" x14ac:dyDescent="0.3">
      <c r="A26" t="s">
        <v>27</v>
      </c>
      <c r="B26" t="s">
        <v>47</v>
      </c>
      <c r="C26">
        <v>131</v>
      </c>
      <c r="D26" t="s">
        <v>14</v>
      </c>
      <c r="E26" t="s">
        <v>45</v>
      </c>
      <c r="F26" s="3" t="s">
        <v>72</v>
      </c>
      <c r="G26">
        <v>20018</v>
      </c>
      <c r="H26" t="s">
        <v>18</v>
      </c>
      <c r="I26" t="s">
        <v>18</v>
      </c>
      <c r="J26" t="s">
        <v>53</v>
      </c>
      <c r="K26" t="s">
        <v>53</v>
      </c>
      <c r="L26" t="s">
        <v>16</v>
      </c>
      <c r="M26" t="s">
        <v>73</v>
      </c>
      <c r="N26" t="s">
        <v>53</v>
      </c>
      <c r="O26">
        <v>87</v>
      </c>
      <c r="P26" s="7">
        <v>5209</v>
      </c>
      <c r="Q26">
        <v>0.08</v>
      </c>
      <c r="R26">
        <v>1.59</v>
      </c>
      <c r="S26" s="5">
        <f t="shared" si="0"/>
        <v>0.11917808219178082</v>
      </c>
      <c r="T26" t="s">
        <v>16</v>
      </c>
      <c r="U26" t="s">
        <v>16</v>
      </c>
    </row>
    <row r="27" spans="1:21" x14ac:dyDescent="0.3">
      <c r="A27" t="s">
        <v>27</v>
      </c>
      <c r="B27" t="s">
        <v>74</v>
      </c>
      <c r="C27">
        <v>131</v>
      </c>
      <c r="D27" t="s">
        <v>14</v>
      </c>
      <c r="E27" t="s">
        <v>45</v>
      </c>
      <c r="F27" s="3" t="s">
        <v>75</v>
      </c>
      <c r="G27">
        <v>20018</v>
      </c>
      <c r="H27" t="s">
        <v>18</v>
      </c>
      <c r="I27" t="s">
        <v>18</v>
      </c>
      <c r="J27" t="s">
        <v>53</v>
      </c>
      <c r="K27" t="s">
        <v>53</v>
      </c>
      <c r="L27" t="s">
        <v>16</v>
      </c>
      <c r="M27" t="s">
        <v>76</v>
      </c>
      <c r="N27" t="s">
        <v>53</v>
      </c>
      <c r="O27">
        <v>38</v>
      </c>
      <c r="P27" s="7">
        <v>9810</v>
      </c>
      <c r="Q27">
        <v>0.1</v>
      </c>
      <c r="R27">
        <v>3.58</v>
      </c>
      <c r="S27" s="5">
        <f t="shared" si="0"/>
        <v>5.2054794520547946E-2</v>
      </c>
      <c r="T27" t="s">
        <v>16</v>
      </c>
      <c r="U27" t="s">
        <v>16</v>
      </c>
    </row>
    <row r="28" spans="1:21" x14ac:dyDescent="0.3">
      <c r="A28" t="s">
        <v>27</v>
      </c>
      <c r="B28" t="s">
        <v>74</v>
      </c>
      <c r="C28">
        <v>131</v>
      </c>
      <c r="D28" t="s">
        <v>14</v>
      </c>
      <c r="E28" t="s">
        <v>45</v>
      </c>
      <c r="F28" s="3" t="s">
        <v>77</v>
      </c>
      <c r="G28">
        <v>20018</v>
      </c>
      <c r="H28" t="s">
        <v>18</v>
      </c>
      <c r="I28" t="s">
        <v>18</v>
      </c>
      <c r="J28" t="s">
        <v>78</v>
      </c>
      <c r="K28" t="s">
        <v>53</v>
      </c>
      <c r="L28" t="s">
        <v>16</v>
      </c>
      <c r="M28" t="s">
        <v>53</v>
      </c>
      <c r="N28" t="s">
        <v>53</v>
      </c>
      <c r="O28">
        <v>37</v>
      </c>
      <c r="P28" s="7">
        <v>8530</v>
      </c>
      <c r="Q28">
        <v>0.08</v>
      </c>
      <c r="R28">
        <v>3.3</v>
      </c>
      <c r="S28" s="5">
        <f t="shared" si="0"/>
        <v>5.0684931506849315E-2</v>
      </c>
      <c r="T28" t="s">
        <v>16</v>
      </c>
      <c r="U28" t="s">
        <v>16</v>
      </c>
    </row>
    <row r="29" spans="1:21" x14ac:dyDescent="0.3">
      <c r="A29" t="s">
        <v>27</v>
      </c>
      <c r="B29" t="s">
        <v>74</v>
      </c>
      <c r="C29">
        <v>131</v>
      </c>
      <c r="D29" t="s">
        <v>14</v>
      </c>
      <c r="E29" t="s">
        <v>45</v>
      </c>
      <c r="F29" s="3" t="s">
        <v>79</v>
      </c>
      <c r="G29">
        <v>20018</v>
      </c>
      <c r="H29" t="s">
        <v>18</v>
      </c>
      <c r="I29" t="s">
        <v>18</v>
      </c>
      <c r="J29" t="s">
        <v>53</v>
      </c>
      <c r="K29" t="s">
        <v>80</v>
      </c>
      <c r="L29" t="s">
        <v>16</v>
      </c>
      <c r="M29" t="s">
        <v>53</v>
      </c>
      <c r="N29" t="s">
        <v>53</v>
      </c>
      <c r="O29">
        <v>106</v>
      </c>
      <c r="P29" s="7">
        <v>12237</v>
      </c>
      <c r="Q29">
        <v>7.0000000000000007E-2</v>
      </c>
      <c r="R29">
        <v>2.15</v>
      </c>
      <c r="S29" s="5">
        <f t="shared" si="0"/>
        <v>0.14520547945205478</v>
      </c>
      <c r="T29" t="s">
        <v>16</v>
      </c>
      <c r="U29" t="s">
        <v>16</v>
      </c>
    </row>
    <row r="30" spans="1:21" x14ac:dyDescent="0.3">
      <c r="A30" t="s">
        <v>27</v>
      </c>
      <c r="B30" t="s">
        <v>74</v>
      </c>
      <c r="C30">
        <v>131</v>
      </c>
      <c r="D30" t="s">
        <v>14</v>
      </c>
      <c r="E30" t="s">
        <v>45</v>
      </c>
      <c r="F30" s="3" t="s">
        <v>81</v>
      </c>
      <c r="G30">
        <v>20018</v>
      </c>
      <c r="H30" t="s">
        <v>18</v>
      </c>
      <c r="I30" t="s">
        <v>18</v>
      </c>
      <c r="J30" t="s">
        <v>53</v>
      </c>
      <c r="K30" t="s">
        <v>82</v>
      </c>
      <c r="L30" t="s">
        <v>16</v>
      </c>
      <c r="M30" t="s">
        <v>53</v>
      </c>
      <c r="N30" t="s">
        <v>53</v>
      </c>
      <c r="O30">
        <v>156</v>
      </c>
      <c r="P30" s="7">
        <v>5491</v>
      </c>
      <c r="Q30">
        <v>0.14000000000000001</v>
      </c>
      <c r="R30">
        <v>1.35</v>
      </c>
      <c r="S30" s="5">
        <f t="shared" si="0"/>
        <v>0.21369863013698631</v>
      </c>
      <c r="T30" t="s">
        <v>16</v>
      </c>
      <c r="U30" t="s">
        <v>16</v>
      </c>
    </row>
    <row r="31" spans="1:21" x14ac:dyDescent="0.3">
      <c r="A31" t="s">
        <v>27</v>
      </c>
      <c r="B31" t="s">
        <v>74</v>
      </c>
      <c r="C31">
        <v>131</v>
      </c>
      <c r="D31" t="s">
        <v>14</v>
      </c>
      <c r="E31" t="s">
        <v>45</v>
      </c>
      <c r="F31" s="3" t="s">
        <v>83</v>
      </c>
      <c r="G31">
        <v>20018</v>
      </c>
      <c r="H31" t="s">
        <v>18</v>
      </c>
      <c r="I31" t="s">
        <v>18</v>
      </c>
      <c r="J31" t="s">
        <v>84</v>
      </c>
      <c r="K31" t="s">
        <v>16</v>
      </c>
      <c r="L31" t="s">
        <v>16</v>
      </c>
      <c r="M31" t="s">
        <v>53</v>
      </c>
      <c r="N31" t="s">
        <v>53</v>
      </c>
      <c r="O31">
        <v>47</v>
      </c>
      <c r="P31" s="7">
        <v>2066</v>
      </c>
      <c r="Q31">
        <v>0.12</v>
      </c>
      <c r="R31">
        <v>1.43</v>
      </c>
      <c r="S31" s="5">
        <f t="shared" si="0"/>
        <v>6.4383561643835616E-2</v>
      </c>
      <c r="T31" t="s">
        <v>16</v>
      </c>
      <c r="U31" t="s">
        <v>16</v>
      </c>
    </row>
    <row r="32" spans="1:21" x14ac:dyDescent="0.3">
      <c r="A32" t="s">
        <v>27</v>
      </c>
      <c r="B32" t="s">
        <v>74</v>
      </c>
      <c r="C32">
        <v>131</v>
      </c>
      <c r="D32" t="s">
        <v>14</v>
      </c>
      <c r="E32" t="s">
        <v>45</v>
      </c>
      <c r="F32" s="3" t="s">
        <v>85</v>
      </c>
      <c r="G32">
        <v>20018</v>
      </c>
      <c r="H32" t="s">
        <v>18</v>
      </c>
      <c r="I32" t="s">
        <v>18</v>
      </c>
      <c r="J32" t="s">
        <v>16</v>
      </c>
      <c r="K32" t="s">
        <v>16</v>
      </c>
      <c r="L32" t="s">
        <v>16</v>
      </c>
      <c r="M32" t="s">
        <v>86</v>
      </c>
      <c r="N32" t="s">
        <v>53</v>
      </c>
      <c r="O32">
        <v>166</v>
      </c>
      <c r="P32" s="7">
        <v>10917</v>
      </c>
      <c r="Q32">
        <v>0.04</v>
      </c>
      <c r="R32">
        <v>1.65</v>
      </c>
      <c r="S32" s="5">
        <f t="shared" si="0"/>
        <v>0.22739726027397261</v>
      </c>
      <c r="T32" t="s">
        <v>16</v>
      </c>
      <c r="U32" t="s">
        <v>16</v>
      </c>
    </row>
    <row r="33" spans="1:21" x14ac:dyDescent="0.3">
      <c r="A33" t="s">
        <v>27</v>
      </c>
      <c r="B33" t="s">
        <v>74</v>
      </c>
      <c r="C33">
        <v>131</v>
      </c>
      <c r="D33" t="s">
        <v>14</v>
      </c>
      <c r="E33" t="s">
        <v>45</v>
      </c>
      <c r="F33" s="3" t="s">
        <v>87</v>
      </c>
      <c r="G33">
        <v>20018</v>
      </c>
      <c r="H33" t="s">
        <v>18</v>
      </c>
      <c r="I33" t="s">
        <v>18</v>
      </c>
      <c r="J33" t="s">
        <v>16</v>
      </c>
      <c r="K33" t="s">
        <v>16</v>
      </c>
      <c r="L33" t="s">
        <v>16</v>
      </c>
      <c r="M33" t="s">
        <v>16</v>
      </c>
      <c r="N33" t="s">
        <v>88</v>
      </c>
      <c r="O33">
        <v>371</v>
      </c>
      <c r="P33" s="7">
        <v>29111</v>
      </c>
      <c r="Q33">
        <v>0.05</v>
      </c>
      <c r="R33">
        <v>1.78</v>
      </c>
      <c r="S33" s="5">
        <f t="shared" si="0"/>
        <v>0.50821917808219175</v>
      </c>
      <c r="T33" t="s">
        <v>16</v>
      </c>
      <c r="U33" t="s">
        <v>16</v>
      </c>
    </row>
    <row r="34" spans="1:21" x14ac:dyDescent="0.3">
      <c r="A34" t="s">
        <v>27</v>
      </c>
      <c r="B34" t="s">
        <v>89</v>
      </c>
      <c r="C34">
        <v>131</v>
      </c>
      <c r="D34" t="s">
        <v>14</v>
      </c>
      <c r="E34" t="s">
        <v>45</v>
      </c>
      <c r="F34" s="3" t="s">
        <v>90</v>
      </c>
      <c r="G34">
        <v>20018</v>
      </c>
      <c r="H34" t="s">
        <v>18</v>
      </c>
      <c r="I34" t="s">
        <v>18</v>
      </c>
      <c r="J34" t="s">
        <v>93</v>
      </c>
      <c r="K34" t="s">
        <v>16</v>
      </c>
      <c r="L34" t="s">
        <v>16</v>
      </c>
      <c r="M34" t="s">
        <v>16</v>
      </c>
      <c r="N34" t="s">
        <v>16</v>
      </c>
      <c r="O34">
        <v>123</v>
      </c>
      <c r="P34" s="7">
        <v>5037</v>
      </c>
      <c r="Q34">
        <v>0.04</v>
      </c>
      <c r="R34">
        <v>1.4</v>
      </c>
      <c r="S34" s="5">
        <f t="shared" ref="S34" si="4">O34/(365*2)</f>
        <v>0.16849315068493151</v>
      </c>
      <c r="T34" t="s">
        <v>16</v>
      </c>
      <c r="U34" t="s">
        <v>16</v>
      </c>
    </row>
    <row r="35" spans="1:21" x14ac:dyDescent="0.3">
      <c r="A35" t="s">
        <v>27</v>
      </c>
      <c r="B35" t="s">
        <v>89</v>
      </c>
      <c r="C35">
        <v>131</v>
      </c>
      <c r="D35" t="s">
        <v>14</v>
      </c>
      <c r="E35" t="s">
        <v>45</v>
      </c>
      <c r="F35" s="3" t="s">
        <v>91</v>
      </c>
      <c r="G35">
        <v>20018</v>
      </c>
      <c r="H35" t="s">
        <v>18</v>
      </c>
      <c r="I35" t="s">
        <v>18</v>
      </c>
      <c r="J35" t="s">
        <v>92</v>
      </c>
      <c r="K35" t="s">
        <v>16</v>
      </c>
      <c r="L35" t="s">
        <v>16</v>
      </c>
      <c r="M35" t="s">
        <v>16</v>
      </c>
      <c r="N35" t="s">
        <v>16</v>
      </c>
      <c r="O35">
        <v>520</v>
      </c>
      <c r="P35" s="7">
        <v>9759</v>
      </c>
      <c r="Q35">
        <v>0.06</v>
      </c>
      <c r="R35">
        <v>1.18</v>
      </c>
      <c r="S35" s="5">
        <f t="shared" ref="S35" si="5">O35/(365*2)</f>
        <v>0.71232876712328763</v>
      </c>
      <c r="T35" t="s">
        <v>16</v>
      </c>
      <c r="U35" t="s">
        <v>16</v>
      </c>
    </row>
    <row r="36" spans="1:21" x14ac:dyDescent="0.3">
      <c r="A36" t="s">
        <v>27</v>
      </c>
      <c r="B36" t="s">
        <v>24</v>
      </c>
      <c r="C36">
        <v>131</v>
      </c>
      <c r="D36" t="s">
        <v>14</v>
      </c>
      <c r="E36" t="s">
        <v>45</v>
      </c>
      <c r="F36" s="3" t="s">
        <v>94</v>
      </c>
      <c r="G36">
        <v>20018</v>
      </c>
      <c r="H36" t="s">
        <v>18</v>
      </c>
      <c r="I36" t="s">
        <v>18</v>
      </c>
      <c r="J36" t="s">
        <v>95</v>
      </c>
      <c r="K36" t="s">
        <v>16</v>
      </c>
      <c r="L36" t="s">
        <v>16</v>
      </c>
      <c r="M36" t="s">
        <v>16</v>
      </c>
      <c r="N36" t="s">
        <v>96</v>
      </c>
      <c r="O36">
        <v>254</v>
      </c>
      <c r="P36" s="7">
        <v>13254</v>
      </c>
      <c r="Q36">
        <v>7.0000000000000007E-2</v>
      </c>
      <c r="R36">
        <v>1.52</v>
      </c>
      <c r="S36" s="5">
        <f t="shared" ref="S36" si="6">O36/(365*2)</f>
        <v>0.34794520547945207</v>
      </c>
      <c r="T36" t="s">
        <v>16</v>
      </c>
      <c r="U36" t="s">
        <v>16</v>
      </c>
    </row>
    <row r="37" spans="1:21" x14ac:dyDescent="0.3">
      <c r="A37" t="s">
        <v>27</v>
      </c>
      <c r="B37" t="s">
        <v>24</v>
      </c>
      <c r="C37">
        <v>131</v>
      </c>
      <c r="D37" t="s">
        <v>14</v>
      </c>
      <c r="E37" t="s">
        <v>45</v>
      </c>
      <c r="F37" s="3" t="s">
        <v>97</v>
      </c>
      <c r="G37">
        <v>20018</v>
      </c>
      <c r="H37" t="s">
        <v>18</v>
      </c>
      <c r="I37" t="s">
        <v>18</v>
      </c>
      <c r="J37" t="s">
        <v>95</v>
      </c>
      <c r="K37" t="s">
        <v>16</v>
      </c>
      <c r="L37" t="s">
        <v>16</v>
      </c>
      <c r="M37" t="s">
        <v>16</v>
      </c>
      <c r="N37" t="s">
        <v>98</v>
      </c>
      <c r="O37">
        <v>319</v>
      </c>
      <c r="P37" s="7">
        <v>20320</v>
      </c>
      <c r="Q37">
        <v>7.0000000000000007E-2</v>
      </c>
      <c r="R37">
        <v>1.63</v>
      </c>
      <c r="S37" s="5">
        <f t="shared" ref="S37" si="7">O37/(365*2)</f>
        <v>0.43698630136986299</v>
      </c>
      <c r="T37" t="s">
        <v>16</v>
      </c>
      <c r="U37" t="s">
        <v>16</v>
      </c>
    </row>
    <row r="38" spans="1:21" x14ac:dyDescent="0.3">
      <c r="A38" t="s">
        <v>27</v>
      </c>
      <c r="B38" t="s">
        <v>24</v>
      </c>
      <c r="C38">
        <v>131</v>
      </c>
      <c r="D38" t="s">
        <v>14</v>
      </c>
      <c r="E38" t="s">
        <v>45</v>
      </c>
      <c r="F38" s="3" t="s">
        <v>99</v>
      </c>
      <c r="G38">
        <v>20018</v>
      </c>
      <c r="H38" t="s">
        <v>18</v>
      </c>
      <c r="I38" t="s">
        <v>18</v>
      </c>
      <c r="J38" t="s">
        <v>95</v>
      </c>
      <c r="K38" t="s">
        <v>100</v>
      </c>
      <c r="L38" t="s">
        <v>16</v>
      </c>
      <c r="M38" t="s">
        <v>16</v>
      </c>
      <c r="N38" t="s">
        <v>16</v>
      </c>
      <c r="O38">
        <v>204</v>
      </c>
      <c r="P38" s="7">
        <v>16646</v>
      </c>
      <c r="Q38">
        <v>0.05</v>
      </c>
      <c r="R38">
        <v>1.81</v>
      </c>
      <c r="S38" s="5">
        <f t="shared" ref="S38" si="8">O38/(365*2)</f>
        <v>0.27945205479452057</v>
      </c>
      <c r="T38" t="s">
        <v>16</v>
      </c>
      <c r="U38" t="s">
        <v>16</v>
      </c>
    </row>
    <row r="39" spans="1:21" x14ac:dyDescent="0.3">
      <c r="A39" t="s">
        <v>27</v>
      </c>
      <c r="B39" t="s">
        <v>24</v>
      </c>
      <c r="C39">
        <v>131</v>
      </c>
      <c r="D39" t="s">
        <v>14</v>
      </c>
      <c r="E39" t="s">
        <v>45</v>
      </c>
      <c r="F39" s="3" t="s">
        <v>101</v>
      </c>
      <c r="G39">
        <v>20018</v>
      </c>
      <c r="H39" t="s">
        <v>18</v>
      </c>
      <c r="I39" t="s">
        <v>18</v>
      </c>
      <c r="J39" t="s">
        <v>95</v>
      </c>
      <c r="K39" t="s">
        <v>95</v>
      </c>
      <c r="L39" t="s">
        <v>16</v>
      </c>
      <c r="M39" t="s">
        <v>102</v>
      </c>
      <c r="N39" t="s">
        <v>16</v>
      </c>
      <c r="O39">
        <v>172</v>
      </c>
      <c r="P39" s="7">
        <v>7801</v>
      </c>
      <c r="Q39">
        <v>0.09</v>
      </c>
      <c r="R39">
        <v>1.45</v>
      </c>
      <c r="S39" s="5">
        <f t="shared" ref="S39" si="9">O39/(365*2)</f>
        <v>0.23561643835616439</v>
      </c>
      <c r="T39" t="s">
        <v>16</v>
      </c>
      <c r="U39" t="s">
        <v>16</v>
      </c>
    </row>
    <row r="40" spans="1:21" x14ac:dyDescent="0.3">
      <c r="A40" t="s">
        <v>27</v>
      </c>
      <c r="B40" t="s">
        <v>24</v>
      </c>
      <c r="C40">
        <v>131</v>
      </c>
      <c r="D40" t="s">
        <v>14</v>
      </c>
      <c r="E40" t="s">
        <v>45</v>
      </c>
      <c r="F40" s="3" t="s">
        <v>103</v>
      </c>
      <c r="G40">
        <v>20018</v>
      </c>
      <c r="H40" t="s">
        <v>18</v>
      </c>
      <c r="I40" t="s">
        <v>18</v>
      </c>
      <c r="J40" t="s">
        <v>104</v>
      </c>
      <c r="K40" t="s">
        <v>95</v>
      </c>
      <c r="L40" t="s">
        <v>16</v>
      </c>
      <c r="M40" t="s">
        <v>16</v>
      </c>
      <c r="N40" t="s">
        <v>16</v>
      </c>
      <c r="O40">
        <v>566</v>
      </c>
      <c r="P40" s="7">
        <v>20255</v>
      </c>
      <c r="Q40">
        <v>0.05</v>
      </c>
      <c r="R40">
        <v>1.35</v>
      </c>
      <c r="S40" s="5">
        <f t="shared" ref="S40" si="10">O40/(365*2)</f>
        <v>0.77534246575342469</v>
      </c>
      <c r="T40" t="s">
        <v>16</v>
      </c>
      <c r="U40" t="s">
        <v>16</v>
      </c>
    </row>
    <row r="41" spans="1:21" x14ac:dyDescent="0.3">
      <c r="A41" t="s">
        <v>27</v>
      </c>
      <c r="B41" t="s">
        <v>105</v>
      </c>
      <c r="C41">
        <v>131</v>
      </c>
      <c r="D41" t="s">
        <v>14</v>
      </c>
      <c r="E41" t="s">
        <v>45</v>
      </c>
      <c r="F41" s="3" t="s">
        <v>106</v>
      </c>
      <c r="G41">
        <v>20018</v>
      </c>
      <c r="H41" t="s">
        <v>18</v>
      </c>
      <c r="I41" t="s">
        <v>18</v>
      </c>
      <c r="J41" t="s">
        <v>107</v>
      </c>
      <c r="K41" t="s">
        <v>95</v>
      </c>
      <c r="L41" t="s">
        <v>16</v>
      </c>
      <c r="M41" t="s">
        <v>16</v>
      </c>
      <c r="N41" t="s">
        <v>108</v>
      </c>
      <c r="O41">
        <v>232</v>
      </c>
      <c r="P41" s="7">
        <v>8522</v>
      </c>
      <c r="Q41">
        <v>0.06</v>
      </c>
      <c r="R41">
        <v>1.36</v>
      </c>
      <c r="S41" s="5">
        <f t="shared" ref="S41" si="11">O41/(365*2)</f>
        <v>0.31780821917808222</v>
      </c>
      <c r="T41" t="s">
        <v>16</v>
      </c>
      <c r="U41" t="s">
        <v>16</v>
      </c>
    </row>
    <row r="42" spans="1:21" x14ac:dyDescent="0.3">
      <c r="A42" t="s">
        <v>27</v>
      </c>
      <c r="B42" t="s">
        <v>24</v>
      </c>
      <c r="C42">
        <v>131</v>
      </c>
      <c r="D42" t="s">
        <v>14</v>
      </c>
      <c r="E42" t="s">
        <v>45</v>
      </c>
      <c r="F42" s="3" t="s">
        <v>109</v>
      </c>
      <c r="G42">
        <v>20018</v>
      </c>
      <c r="H42" t="s">
        <v>18</v>
      </c>
      <c r="I42" t="s">
        <v>18</v>
      </c>
      <c r="J42" t="s">
        <v>110</v>
      </c>
      <c r="K42" t="s">
        <v>95</v>
      </c>
      <c r="L42" t="s">
        <v>16</v>
      </c>
      <c r="M42" t="s">
        <v>16</v>
      </c>
      <c r="N42" t="s">
        <v>16</v>
      </c>
      <c r="O42">
        <v>158</v>
      </c>
      <c r="P42" s="7">
        <v>11564</v>
      </c>
      <c r="Q42">
        <v>7.0000000000000007E-2</v>
      </c>
      <c r="R42">
        <v>1.73</v>
      </c>
      <c r="S42" s="5">
        <f t="shared" ref="S42" si="12">O42/(365*2)</f>
        <v>0.21643835616438356</v>
      </c>
      <c r="T42" t="s">
        <v>16</v>
      </c>
      <c r="U42" t="s">
        <v>16</v>
      </c>
    </row>
    <row r="43" spans="1:21" x14ac:dyDescent="0.3">
      <c r="A43" t="s">
        <v>27</v>
      </c>
      <c r="B43" t="s">
        <v>24</v>
      </c>
      <c r="C43">
        <v>131</v>
      </c>
      <c r="D43" t="s">
        <v>14</v>
      </c>
      <c r="E43" t="s">
        <v>45</v>
      </c>
      <c r="F43" s="3" t="s">
        <v>111</v>
      </c>
      <c r="G43">
        <v>20018</v>
      </c>
      <c r="H43" t="s">
        <v>18</v>
      </c>
      <c r="I43" t="s">
        <v>18</v>
      </c>
      <c r="J43" t="s">
        <v>95</v>
      </c>
      <c r="K43" t="s">
        <v>95</v>
      </c>
      <c r="L43" t="s">
        <v>16</v>
      </c>
      <c r="M43" t="s">
        <v>112</v>
      </c>
      <c r="N43" t="s">
        <v>16</v>
      </c>
      <c r="O43">
        <v>72</v>
      </c>
      <c r="P43" s="7">
        <v>10217</v>
      </c>
      <c r="Q43">
        <v>0.08</v>
      </c>
      <c r="R43">
        <v>2.41</v>
      </c>
      <c r="S43" s="5">
        <f t="shared" ref="S43" si="13">O43/(365*2)</f>
        <v>9.8630136986301367E-2</v>
      </c>
      <c r="T43" t="s">
        <v>16</v>
      </c>
      <c r="U43" t="s">
        <v>16</v>
      </c>
    </row>
    <row r="44" spans="1:21" x14ac:dyDescent="0.3">
      <c r="A44" t="s">
        <v>27</v>
      </c>
      <c r="B44" t="s">
        <v>24</v>
      </c>
      <c r="C44">
        <v>131</v>
      </c>
      <c r="D44" t="s">
        <v>14</v>
      </c>
      <c r="E44" t="s">
        <v>45</v>
      </c>
      <c r="F44" s="3" t="s">
        <v>113</v>
      </c>
      <c r="G44">
        <v>20018</v>
      </c>
      <c r="H44" t="s">
        <v>18</v>
      </c>
      <c r="I44" t="s">
        <v>18</v>
      </c>
      <c r="J44" t="s">
        <v>95</v>
      </c>
      <c r="K44" t="s">
        <v>95</v>
      </c>
      <c r="L44" t="s">
        <v>16</v>
      </c>
      <c r="M44" t="s">
        <v>16</v>
      </c>
      <c r="N44" t="s">
        <v>114</v>
      </c>
      <c r="O44">
        <v>83</v>
      </c>
      <c r="P44" s="7">
        <v>12339</v>
      </c>
      <c r="Q44">
        <v>7.0000000000000007E-2</v>
      </c>
      <c r="R44">
        <v>2.48</v>
      </c>
      <c r="S44" s="5">
        <f t="shared" ref="S44" si="14">O44/(365*2)</f>
        <v>0.11369863013698631</v>
      </c>
      <c r="T44" t="s">
        <v>16</v>
      </c>
      <c r="U44" t="s">
        <v>16</v>
      </c>
    </row>
    <row r="45" spans="1:21" x14ac:dyDescent="0.3">
      <c r="A45" t="s">
        <v>27</v>
      </c>
      <c r="B45" t="s">
        <v>115</v>
      </c>
      <c r="C45">
        <v>131</v>
      </c>
      <c r="D45" t="s">
        <v>14</v>
      </c>
      <c r="E45" t="s">
        <v>45</v>
      </c>
      <c r="F45" s="3" t="s">
        <v>116</v>
      </c>
      <c r="G45">
        <v>20018</v>
      </c>
      <c r="H45" t="s">
        <v>18</v>
      </c>
      <c r="I45" t="s">
        <v>18</v>
      </c>
      <c r="J45" t="s">
        <v>117</v>
      </c>
      <c r="K45" t="s">
        <v>95</v>
      </c>
      <c r="L45" t="s">
        <v>16</v>
      </c>
      <c r="M45" t="s">
        <v>16</v>
      </c>
      <c r="N45" t="s">
        <v>16</v>
      </c>
      <c r="O45">
        <v>88</v>
      </c>
      <c r="P45" s="7">
        <v>3156</v>
      </c>
      <c r="Q45">
        <v>0.13</v>
      </c>
      <c r="R45">
        <v>1.35</v>
      </c>
      <c r="S45" s="5">
        <f t="shared" ref="S45" si="15">O45/(365*2)</f>
        <v>0.12054794520547946</v>
      </c>
      <c r="T45" t="s">
        <v>16</v>
      </c>
      <c r="U45" t="s">
        <v>16</v>
      </c>
    </row>
    <row r="46" spans="1:21" x14ac:dyDescent="0.3">
      <c r="A46" t="s">
        <v>27</v>
      </c>
      <c r="B46" t="s">
        <v>24</v>
      </c>
      <c r="C46">
        <v>131</v>
      </c>
      <c r="D46" t="s">
        <v>14</v>
      </c>
      <c r="E46" t="s">
        <v>45</v>
      </c>
      <c r="F46" s="3" t="s">
        <v>118</v>
      </c>
      <c r="G46">
        <v>20018</v>
      </c>
      <c r="H46" t="s">
        <v>18</v>
      </c>
      <c r="I46" t="s">
        <v>18</v>
      </c>
      <c r="J46" t="s">
        <v>95</v>
      </c>
      <c r="K46" t="s">
        <v>95</v>
      </c>
      <c r="L46" t="s">
        <v>16</v>
      </c>
      <c r="M46" t="s">
        <v>119</v>
      </c>
      <c r="N46" t="s">
        <v>16</v>
      </c>
      <c r="O46">
        <v>102</v>
      </c>
      <c r="P46" s="7">
        <v>11407</v>
      </c>
      <c r="Q46">
        <v>7.0000000000000007E-2</v>
      </c>
      <c r="R46">
        <v>2.11</v>
      </c>
      <c r="S46" s="5">
        <f t="shared" ref="S46" si="16">O46/(365*2)</f>
        <v>0.13972602739726028</v>
      </c>
      <c r="T46" t="s">
        <v>16</v>
      </c>
      <c r="U46" t="s">
        <v>16</v>
      </c>
    </row>
    <row r="47" spans="1:21" x14ac:dyDescent="0.3">
      <c r="A47" t="s">
        <v>27</v>
      </c>
      <c r="B47" t="s">
        <v>24</v>
      </c>
      <c r="C47">
        <v>131</v>
      </c>
      <c r="D47" t="s">
        <v>14</v>
      </c>
      <c r="E47" t="s">
        <v>45</v>
      </c>
      <c r="F47" s="3" t="s">
        <v>120</v>
      </c>
      <c r="G47">
        <v>20018</v>
      </c>
      <c r="H47" t="s">
        <v>18</v>
      </c>
      <c r="I47" t="s">
        <v>18</v>
      </c>
      <c r="J47" t="s">
        <v>95</v>
      </c>
      <c r="K47" t="s">
        <v>95</v>
      </c>
      <c r="L47" t="s">
        <v>16</v>
      </c>
      <c r="M47" t="s">
        <v>16</v>
      </c>
      <c r="N47" t="s">
        <v>121</v>
      </c>
      <c r="O47">
        <v>117</v>
      </c>
      <c r="P47" s="7">
        <v>9279</v>
      </c>
      <c r="Q47">
        <v>0.06</v>
      </c>
      <c r="R47">
        <v>1.79</v>
      </c>
      <c r="S47" s="5">
        <f t="shared" ref="S47" si="17">O47/(365*2)</f>
        <v>0.16027397260273973</v>
      </c>
      <c r="T47" t="s">
        <v>16</v>
      </c>
      <c r="U47" t="s">
        <v>16</v>
      </c>
    </row>
    <row r="48" spans="1:21" x14ac:dyDescent="0.3">
      <c r="A48" t="s">
        <v>27</v>
      </c>
      <c r="B48" t="s">
        <v>24</v>
      </c>
      <c r="C48">
        <v>131</v>
      </c>
      <c r="D48" t="s">
        <v>14</v>
      </c>
      <c r="E48" t="s">
        <v>45</v>
      </c>
      <c r="F48" s="3" t="s">
        <v>122</v>
      </c>
      <c r="G48">
        <v>20018</v>
      </c>
      <c r="H48" t="s">
        <v>18</v>
      </c>
      <c r="I48" t="s">
        <v>18</v>
      </c>
      <c r="J48" t="s">
        <v>95</v>
      </c>
      <c r="K48" t="s">
        <v>123</v>
      </c>
      <c r="L48" t="s">
        <v>16</v>
      </c>
      <c r="M48" t="s">
        <v>16</v>
      </c>
      <c r="N48" t="s">
        <v>16</v>
      </c>
      <c r="O48">
        <v>327</v>
      </c>
      <c r="P48" s="7">
        <v>19195</v>
      </c>
      <c r="Q48">
        <v>0.09</v>
      </c>
      <c r="R48">
        <v>1.58</v>
      </c>
      <c r="S48" s="5">
        <f t="shared" ref="S48" si="18">O48/(365*2)</f>
        <v>0.44794520547945205</v>
      </c>
      <c r="T48" t="s">
        <v>16</v>
      </c>
      <c r="U48" t="s">
        <v>16</v>
      </c>
    </row>
    <row r="49" spans="1:21" x14ac:dyDescent="0.3">
      <c r="A49" t="s">
        <v>27</v>
      </c>
      <c r="B49" t="s">
        <v>24</v>
      </c>
      <c r="C49">
        <v>131</v>
      </c>
      <c r="D49" t="s">
        <v>14</v>
      </c>
      <c r="E49" t="s">
        <v>45</v>
      </c>
      <c r="F49" s="3" t="s">
        <v>124</v>
      </c>
      <c r="G49">
        <v>20018</v>
      </c>
      <c r="H49" t="s">
        <v>18</v>
      </c>
      <c r="I49" t="s">
        <v>18</v>
      </c>
      <c r="J49" t="s">
        <v>95</v>
      </c>
      <c r="K49" t="s">
        <v>95</v>
      </c>
      <c r="L49" t="s">
        <v>16</v>
      </c>
      <c r="M49" t="s">
        <v>16</v>
      </c>
      <c r="N49" t="s">
        <v>125</v>
      </c>
      <c r="O49">
        <v>63</v>
      </c>
      <c r="P49" s="7">
        <v>2278</v>
      </c>
      <c r="Q49">
        <v>0.15</v>
      </c>
      <c r="R49">
        <v>1.36</v>
      </c>
      <c r="S49" s="5">
        <f t="shared" ref="S49" si="19">O49/(365*2)</f>
        <v>8.6301369863013705E-2</v>
      </c>
      <c r="T49" t="s">
        <v>16</v>
      </c>
      <c r="U49" t="s">
        <v>16</v>
      </c>
    </row>
    <row r="50" spans="1:21" x14ac:dyDescent="0.3">
      <c r="A50" t="s">
        <v>27</v>
      </c>
      <c r="B50" t="s">
        <v>115</v>
      </c>
      <c r="C50">
        <v>131</v>
      </c>
      <c r="D50" t="s">
        <v>14</v>
      </c>
      <c r="E50" t="s">
        <v>45</v>
      </c>
      <c r="F50" s="3" t="s">
        <v>126</v>
      </c>
      <c r="G50">
        <v>20018</v>
      </c>
      <c r="H50" t="s">
        <v>18</v>
      </c>
      <c r="I50" t="s">
        <v>18</v>
      </c>
      <c r="J50" t="s">
        <v>127</v>
      </c>
      <c r="K50" t="s">
        <v>95</v>
      </c>
      <c r="L50" t="s">
        <v>16</v>
      </c>
      <c r="M50" t="s">
        <v>16</v>
      </c>
      <c r="N50" t="s">
        <v>16</v>
      </c>
      <c r="O50">
        <v>235</v>
      </c>
      <c r="P50" s="7">
        <v>4319</v>
      </c>
      <c r="Q50">
        <v>0.04</v>
      </c>
      <c r="R50">
        <v>1.18</v>
      </c>
      <c r="S50" s="5">
        <f t="shared" ref="S50" si="20">O50/(365*2)</f>
        <v>0.32191780821917809</v>
      </c>
      <c r="T50" t="s">
        <v>16</v>
      </c>
      <c r="U50" t="s">
        <v>16</v>
      </c>
    </row>
    <row r="51" spans="1:21" x14ac:dyDescent="0.3">
      <c r="A51" t="s">
        <v>27</v>
      </c>
      <c r="B51" t="s">
        <v>24</v>
      </c>
      <c r="C51">
        <v>131</v>
      </c>
      <c r="D51" t="s">
        <v>14</v>
      </c>
      <c r="E51" t="s">
        <v>45</v>
      </c>
      <c r="F51" s="3" t="s">
        <v>128</v>
      </c>
      <c r="G51">
        <v>20018</v>
      </c>
      <c r="H51" t="s">
        <v>18</v>
      </c>
      <c r="I51" t="s">
        <v>18</v>
      </c>
      <c r="J51" t="s">
        <v>107</v>
      </c>
      <c r="K51" t="s">
        <v>95</v>
      </c>
      <c r="L51" t="s">
        <v>129</v>
      </c>
      <c r="M51" t="s">
        <v>16</v>
      </c>
      <c r="N51" t="s">
        <v>16</v>
      </c>
      <c r="O51">
        <v>114</v>
      </c>
      <c r="P51" s="7">
        <v>2426</v>
      </c>
      <c r="Q51">
        <v>7.0000000000000007E-2</v>
      </c>
      <c r="R51">
        <v>1.21</v>
      </c>
      <c r="S51" s="5">
        <f t="shared" ref="S51" si="21">O51/(365*2)</f>
        <v>0.15616438356164383</v>
      </c>
      <c r="T51" t="s">
        <v>16</v>
      </c>
      <c r="U51" t="s">
        <v>16</v>
      </c>
    </row>
    <row r="52" spans="1:21" x14ac:dyDescent="0.3">
      <c r="A52" t="s">
        <v>27</v>
      </c>
      <c r="B52" t="s">
        <v>24</v>
      </c>
      <c r="C52">
        <v>131</v>
      </c>
      <c r="D52" t="s">
        <v>14</v>
      </c>
      <c r="E52" t="s">
        <v>45</v>
      </c>
      <c r="F52" s="3" t="s">
        <v>130</v>
      </c>
      <c r="G52">
        <v>20018</v>
      </c>
      <c r="H52" t="s">
        <v>18</v>
      </c>
      <c r="I52" t="s">
        <v>18</v>
      </c>
      <c r="J52" t="s">
        <v>107</v>
      </c>
      <c r="K52" t="s">
        <v>95</v>
      </c>
      <c r="L52" t="s">
        <v>95</v>
      </c>
      <c r="M52" t="s">
        <v>131</v>
      </c>
      <c r="N52" t="s">
        <v>16</v>
      </c>
      <c r="O52">
        <v>185</v>
      </c>
      <c r="P52" s="7">
        <v>2426</v>
      </c>
      <c r="Q52">
        <v>0.05</v>
      </c>
      <c r="R52">
        <v>1.65</v>
      </c>
      <c r="S52" s="5">
        <f t="shared" ref="S52" si="22">O52/(365*2)</f>
        <v>0.25342465753424659</v>
      </c>
      <c r="T52" t="s">
        <v>16</v>
      </c>
      <c r="U52" t="s">
        <v>16</v>
      </c>
    </row>
    <row r="53" spans="1:21" x14ac:dyDescent="0.3">
      <c r="A53" t="s">
        <v>27</v>
      </c>
      <c r="B53" t="s">
        <v>47</v>
      </c>
      <c r="C53">
        <v>131</v>
      </c>
      <c r="D53" t="s">
        <v>14</v>
      </c>
      <c r="E53" t="s">
        <v>45</v>
      </c>
      <c r="F53" s="3" t="s">
        <v>132</v>
      </c>
      <c r="G53">
        <v>20018</v>
      </c>
      <c r="H53" t="s">
        <v>18</v>
      </c>
      <c r="I53" t="s">
        <v>18</v>
      </c>
      <c r="J53" t="s">
        <v>107</v>
      </c>
      <c r="K53" t="s">
        <v>95</v>
      </c>
      <c r="L53" t="s">
        <v>95</v>
      </c>
      <c r="M53" t="s">
        <v>95</v>
      </c>
      <c r="N53" t="s">
        <v>133</v>
      </c>
      <c r="O53">
        <v>90</v>
      </c>
      <c r="P53" s="7">
        <v>2899</v>
      </c>
      <c r="Q53">
        <v>0.06</v>
      </c>
      <c r="R53">
        <v>1.32</v>
      </c>
      <c r="S53" s="5">
        <f t="shared" ref="S53" si="23">O53/(365*2)</f>
        <v>0.12328767123287671</v>
      </c>
      <c r="T53" t="s">
        <v>16</v>
      </c>
      <c r="U53" t="s">
        <v>16</v>
      </c>
    </row>
    <row r="54" spans="1:21" x14ac:dyDescent="0.3">
      <c r="A54" t="s">
        <v>27</v>
      </c>
      <c r="B54" t="s">
        <v>24</v>
      </c>
      <c r="C54">
        <v>131</v>
      </c>
      <c r="D54" t="s">
        <v>14</v>
      </c>
      <c r="E54" t="s">
        <v>45</v>
      </c>
      <c r="F54" s="3" t="s">
        <v>134</v>
      </c>
      <c r="G54">
        <v>20018</v>
      </c>
      <c r="H54" t="s">
        <v>18</v>
      </c>
      <c r="I54" t="s">
        <v>18</v>
      </c>
      <c r="J54" t="s">
        <v>107</v>
      </c>
      <c r="K54" t="s">
        <v>95</v>
      </c>
      <c r="L54" t="s">
        <v>123</v>
      </c>
      <c r="M54" t="s">
        <v>95</v>
      </c>
      <c r="N54" t="s">
        <v>95</v>
      </c>
      <c r="O54">
        <v>115</v>
      </c>
      <c r="P54" s="7">
        <v>3958</v>
      </c>
      <c r="Q54">
        <v>7.0000000000000007E-2</v>
      </c>
      <c r="R54">
        <v>1.34</v>
      </c>
      <c r="S54" s="5">
        <f t="shared" ref="S54" si="24">O54/(365*2)</f>
        <v>0.15753424657534246</v>
      </c>
      <c r="T54" t="s">
        <v>16</v>
      </c>
      <c r="U54" t="s">
        <v>16</v>
      </c>
    </row>
    <row r="55" spans="1:21" x14ac:dyDescent="0.3">
      <c r="A55" t="s">
        <v>27</v>
      </c>
      <c r="B55" t="s">
        <v>24</v>
      </c>
      <c r="C55">
        <v>131</v>
      </c>
      <c r="D55" t="s">
        <v>14</v>
      </c>
      <c r="E55" t="s">
        <v>45</v>
      </c>
      <c r="F55" s="3" t="s">
        <v>135</v>
      </c>
      <c r="G55">
        <v>20018</v>
      </c>
      <c r="H55" t="s">
        <v>18</v>
      </c>
      <c r="I55" t="s">
        <v>18</v>
      </c>
      <c r="J55" t="s">
        <v>136</v>
      </c>
      <c r="K55" t="s">
        <v>95</v>
      </c>
      <c r="L55" t="s">
        <v>107</v>
      </c>
      <c r="M55" t="s">
        <v>95</v>
      </c>
      <c r="N55" t="s">
        <v>95</v>
      </c>
      <c r="O55">
        <v>70</v>
      </c>
      <c r="P55" s="7">
        <v>6706</v>
      </c>
      <c r="Q55">
        <v>0.05</v>
      </c>
      <c r="R55">
        <v>1.95</v>
      </c>
      <c r="S55" s="5">
        <f t="shared" ref="S55" si="25">O55/(365*2)</f>
        <v>9.5890410958904104E-2</v>
      </c>
      <c r="T55" t="s">
        <v>16</v>
      </c>
      <c r="U55" t="s">
        <v>16</v>
      </c>
    </row>
    <row r="56" spans="1:21" x14ac:dyDescent="0.3">
      <c r="A56" t="s">
        <v>27</v>
      </c>
      <c r="B56" t="s">
        <v>47</v>
      </c>
      <c r="C56">
        <v>131</v>
      </c>
      <c r="D56" t="s">
        <v>14</v>
      </c>
      <c r="E56" t="s">
        <v>45</v>
      </c>
      <c r="F56" s="3" t="s">
        <v>137</v>
      </c>
      <c r="G56">
        <v>20018</v>
      </c>
      <c r="H56" t="s">
        <v>18</v>
      </c>
      <c r="I56" t="s">
        <v>18</v>
      </c>
      <c r="J56" t="s">
        <v>107</v>
      </c>
      <c r="K56" t="s">
        <v>138</v>
      </c>
      <c r="L56" t="s">
        <v>107</v>
      </c>
      <c r="M56" t="s">
        <v>95</v>
      </c>
      <c r="N56" t="s">
        <v>95</v>
      </c>
      <c r="O56">
        <v>150</v>
      </c>
      <c r="P56" s="7">
        <v>11297</v>
      </c>
      <c r="Q56">
        <v>0.05</v>
      </c>
      <c r="R56">
        <v>1.75</v>
      </c>
      <c r="S56" s="5">
        <f t="shared" ref="S56" si="26">O56/(365*2)</f>
        <v>0.20547945205479451</v>
      </c>
      <c r="T56" t="s">
        <v>16</v>
      </c>
      <c r="U56" t="s">
        <v>16</v>
      </c>
    </row>
    <row r="57" spans="1:21" x14ac:dyDescent="0.3">
      <c r="A57" t="s">
        <v>27</v>
      </c>
      <c r="B57" t="s">
        <v>24</v>
      </c>
      <c r="C57">
        <v>131</v>
      </c>
      <c r="D57" t="s">
        <v>14</v>
      </c>
      <c r="E57" t="s">
        <v>45</v>
      </c>
      <c r="F57" s="3" t="s">
        <v>139</v>
      </c>
      <c r="G57">
        <v>20018</v>
      </c>
      <c r="H57" t="s">
        <v>18</v>
      </c>
      <c r="I57" t="s">
        <v>18</v>
      </c>
      <c r="J57" t="s">
        <v>107</v>
      </c>
      <c r="K57" t="s">
        <v>107</v>
      </c>
      <c r="L57" t="s">
        <v>107</v>
      </c>
      <c r="M57" t="s">
        <v>95</v>
      </c>
      <c r="N57" t="s">
        <v>140</v>
      </c>
      <c r="O57">
        <v>127</v>
      </c>
      <c r="P57" s="7">
        <v>10707</v>
      </c>
      <c r="Q57">
        <v>0.04</v>
      </c>
      <c r="R57">
        <v>1.84</v>
      </c>
      <c r="S57" s="5">
        <f t="shared" ref="S57" si="27">O57/(365*2)</f>
        <v>0.17397260273972603</v>
      </c>
      <c r="T57" t="s">
        <v>16</v>
      </c>
      <c r="U57" t="s">
        <v>16</v>
      </c>
    </row>
    <row r="58" spans="1:21" x14ac:dyDescent="0.3">
      <c r="A58" t="s">
        <v>27</v>
      </c>
      <c r="B58" t="s">
        <v>24</v>
      </c>
      <c r="C58">
        <v>131</v>
      </c>
      <c r="D58" t="s">
        <v>14</v>
      </c>
      <c r="E58" t="s">
        <v>45</v>
      </c>
      <c r="F58" s="3" t="s">
        <v>141</v>
      </c>
      <c r="G58">
        <v>20018</v>
      </c>
      <c r="H58" t="s">
        <v>18</v>
      </c>
      <c r="I58" t="s">
        <v>18</v>
      </c>
      <c r="J58" t="s">
        <v>107</v>
      </c>
      <c r="K58" t="s">
        <v>107</v>
      </c>
      <c r="L58" t="s">
        <v>107</v>
      </c>
      <c r="M58" t="s">
        <v>142</v>
      </c>
      <c r="N58" t="s">
        <v>95</v>
      </c>
      <c r="O58">
        <v>275</v>
      </c>
      <c r="P58" s="7">
        <v>11713</v>
      </c>
      <c r="Q58">
        <v>0.04</v>
      </c>
      <c r="R58">
        <v>1.42</v>
      </c>
      <c r="S58" s="5">
        <f t="shared" ref="S58" si="28">O58/(365*2)</f>
        <v>0.37671232876712329</v>
      </c>
      <c r="T58" t="s">
        <v>16</v>
      </c>
      <c r="U58" t="s">
        <v>16</v>
      </c>
    </row>
    <row r="59" spans="1:21" x14ac:dyDescent="0.3">
      <c r="A59" t="s">
        <v>27</v>
      </c>
      <c r="B59" t="s">
        <v>24</v>
      </c>
      <c r="C59">
        <v>131</v>
      </c>
      <c r="D59" t="s">
        <v>14</v>
      </c>
      <c r="E59" t="s">
        <v>45</v>
      </c>
      <c r="F59" s="3" t="s">
        <v>143</v>
      </c>
      <c r="G59">
        <v>20018</v>
      </c>
      <c r="H59" t="s">
        <v>18</v>
      </c>
      <c r="I59" t="s">
        <v>18</v>
      </c>
      <c r="J59" t="s">
        <v>107</v>
      </c>
      <c r="K59" t="s">
        <v>107</v>
      </c>
      <c r="L59" t="s">
        <v>107</v>
      </c>
      <c r="M59" t="s">
        <v>107</v>
      </c>
      <c r="N59" t="s">
        <v>144</v>
      </c>
      <c r="O59">
        <v>96</v>
      </c>
      <c r="P59" s="7">
        <v>10966</v>
      </c>
      <c r="Q59">
        <v>7.0000000000000007E-2</v>
      </c>
      <c r="R59">
        <v>2.14</v>
      </c>
      <c r="S59" s="5">
        <f t="shared" ref="S59" si="29">O59/(365*2)</f>
        <v>0.13150684931506848</v>
      </c>
      <c r="T59" t="s">
        <v>16</v>
      </c>
      <c r="U59" t="s">
        <v>16</v>
      </c>
    </row>
    <row r="60" spans="1:21" x14ac:dyDescent="0.3">
      <c r="A60" t="s">
        <v>27</v>
      </c>
      <c r="B60" t="s">
        <v>47</v>
      </c>
      <c r="C60">
        <v>131</v>
      </c>
      <c r="D60" t="s">
        <v>14</v>
      </c>
      <c r="E60" t="s">
        <v>45</v>
      </c>
      <c r="F60" s="3" t="s">
        <v>145</v>
      </c>
      <c r="G60">
        <v>20018</v>
      </c>
      <c r="H60" t="s">
        <v>18</v>
      </c>
      <c r="I60" t="s">
        <v>18</v>
      </c>
      <c r="J60" t="s">
        <v>107</v>
      </c>
      <c r="K60" t="s">
        <v>107</v>
      </c>
      <c r="L60" t="s">
        <v>107</v>
      </c>
      <c r="M60" t="s">
        <v>107</v>
      </c>
      <c r="N60" t="s">
        <v>146</v>
      </c>
      <c r="O60">
        <v>113</v>
      </c>
      <c r="P60" s="7">
        <v>3638</v>
      </c>
      <c r="Q60">
        <v>0.05</v>
      </c>
      <c r="R60">
        <v>1.32</v>
      </c>
      <c r="S60" s="5">
        <f t="shared" ref="S60" si="30">O60/(365*2)</f>
        <v>0.15479452054794521</v>
      </c>
      <c r="T60" t="s">
        <v>16</v>
      </c>
      <c r="U60" t="s">
        <v>16</v>
      </c>
    </row>
    <row r="61" spans="1:21" x14ac:dyDescent="0.3">
      <c r="A61" t="s">
        <v>27</v>
      </c>
      <c r="B61" t="s">
        <v>24</v>
      </c>
      <c r="C61">
        <v>131</v>
      </c>
      <c r="D61" t="s">
        <v>14</v>
      </c>
      <c r="E61" t="s">
        <v>45</v>
      </c>
      <c r="F61" s="3" t="s">
        <v>147</v>
      </c>
      <c r="G61">
        <v>20018</v>
      </c>
      <c r="H61" t="s">
        <v>18</v>
      </c>
      <c r="I61" t="s">
        <v>18</v>
      </c>
      <c r="J61" t="s">
        <v>107</v>
      </c>
      <c r="K61" t="s">
        <v>107</v>
      </c>
      <c r="L61" t="s">
        <v>107</v>
      </c>
      <c r="M61" t="s">
        <v>107</v>
      </c>
      <c r="N61" t="s">
        <v>148</v>
      </c>
      <c r="O61">
        <v>161</v>
      </c>
      <c r="P61" s="7">
        <v>31067</v>
      </c>
      <c r="Q61">
        <v>0.06</v>
      </c>
      <c r="R61">
        <v>2.92</v>
      </c>
      <c r="S61" s="5">
        <f t="shared" ref="S61" si="31">O61/(365*2)</f>
        <v>0.22054794520547946</v>
      </c>
      <c r="T61" t="s">
        <v>16</v>
      </c>
      <c r="U61" t="s">
        <v>16</v>
      </c>
    </row>
    <row r="62" spans="1:21" x14ac:dyDescent="0.3">
      <c r="A62" t="s">
        <v>27</v>
      </c>
      <c r="B62" t="s">
        <v>24</v>
      </c>
      <c r="C62">
        <v>131</v>
      </c>
      <c r="D62" t="s">
        <v>14</v>
      </c>
      <c r="E62" t="s">
        <v>45</v>
      </c>
      <c r="F62" s="3" t="s">
        <v>149</v>
      </c>
      <c r="G62">
        <v>20018</v>
      </c>
      <c r="H62" t="s">
        <v>18</v>
      </c>
      <c r="I62" t="s">
        <v>18</v>
      </c>
      <c r="J62" t="s">
        <v>107</v>
      </c>
      <c r="K62" t="s">
        <v>107</v>
      </c>
      <c r="L62" t="s">
        <v>107</v>
      </c>
      <c r="M62" t="s">
        <v>150</v>
      </c>
      <c r="N62" t="s">
        <v>107</v>
      </c>
      <c r="O62">
        <v>393</v>
      </c>
      <c r="P62" s="7">
        <v>12897</v>
      </c>
      <c r="Q62">
        <v>0.06</v>
      </c>
      <c r="R62">
        <v>1.32</v>
      </c>
      <c r="S62" s="5">
        <f t="shared" ref="S62" si="32">O62/(365*2)</f>
        <v>0.5383561643835616</v>
      </c>
      <c r="T62" t="s">
        <v>16</v>
      </c>
      <c r="U62" t="s">
        <v>16</v>
      </c>
    </row>
    <row r="63" spans="1:21" x14ac:dyDescent="0.3">
      <c r="A63" t="s">
        <v>27</v>
      </c>
      <c r="B63" t="s">
        <v>24</v>
      </c>
      <c r="C63">
        <v>131</v>
      </c>
      <c r="D63" t="s">
        <v>14</v>
      </c>
      <c r="E63" t="s">
        <v>45</v>
      </c>
      <c r="F63" s="3" t="s">
        <v>151</v>
      </c>
      <c r="G63">
        <v>20018</v>
      </c>
      <c r="H63" t="s">
        <v>18</v>
      </c>
      <c r="I63" t="s">
        <v>18</v>
      </c>
      <c r="J63" t="s">
        <v>107</v>
      </c>
      <c r="K63" t="s">
        <v>107</v>
      </c>
      <c r="L63" t="s">
        <v>152</v>
      </c>
      <c r="M63" t="s">
        <v>107</v>
      </c>
      <c r="N63" t="s">
        <v>107</v>
      </c>
      <c r="O63">
        <v>32</v>
      </c>
      <c r="P63" s="7">
        <v>11318</v>
      </c>
      <c r="Q63">
        <v>0.12</v>
      </c>
      <c r="R63">
        <v>4.53</v>
      </c>
      <c r="S63" s="5">
        <f t="shared" ref="S63" si="33">O63/(365*2)</f>
        <v>4.3835616438356165E-2</v>
      </c>
      <c r="T63" t="s">
        <v>16</v>
      </c>
      <c r="U63" t="s">
        <v>16</v>
      </c>
    </row>
    <row r="64" spans="1:21" x14ac:dyDescent="0.3">
      <c r="A64" t="s">
        <v>27</v>
      </c>
      <c r="B64" t="s">
        <v>24</v>
      </c>
      <c r="C64">
        <v>131</v>
      </c>
      <c r="D64" t="s">
        <v>14</v>
      </c>
      <c r="E64" t="s">
        <v>45</v>
      </c>
      <c r="F64" s="3" t="s">
        <v>153</v>
      </c>
      <c r="G64">
        <v>20018</v>
      </c>
      <c r="H64" t="s">
        <v>18</v>
      </c>
      <c r="I64" t="s">
        <v>18</v>
      </c>
      <c r="J64" t="s">
        <v>107</v>
      </c>
      <c r="K64" t="s">
        <v>107</v>
      </c>
      <c r="L64" t="s">
        <v>154</v>
      </c>
      <c r="M64" t="s">
        <v>107</v>
      </c>
      <c r="N64" t="s">
        <v>107</v>
      </c>
      <c r="O64">
        <v>41</v>
      </c>
      <c r="P64" s="7">
        <v>6488</v>
      </c>
      <c r="Q64">
        <v>0.09</v>
      </c>
      <c r="R64">
        <v>2.58</v>
      </c>
      <c r="S64" s="5">
        <f t="shared" ref="S64" si="34">O64/(365*2)</f>
        <v>5.6164383561643834E-2</v>
      </c>
      <c r="T64" t="s">
        <v>16</v>
      </c>
      <c r="U64" t="s">
        <v>16</v>
      </c>
    </row>
    <row r="65" spans="1:21" x14ac:dyDescent="0.3">
      <c r="A65" t="s">
        <v>27</v>
      </c>
      <c r="B65" t="s">
        <v>24</v>
      </c>
      <c r="C65">
        <v>131</v>
      </c>
      <c r="D65" t="s">
        <v>14</v>
      </c>
      <c r="E65" t="s">
        <v>45</v>
      </c>
      <c r="F65" s="3" t="s">
        <v>155</v>
      </c>
      <c r="G65">
        <v>20018</v>
      </c>
      <c r="H65" t="s">
        <v>18</v>
      </c>
      <c r="I65" t="s">
        <v>18</v>
      </c>
      <c r="J65" t="s">
        <v>107</v>
      </c>
      <c r="K65" t="s">
        <v>107</v>
      </c>
      <c r="L65" t="s">
        <v>107</v>
      </c>
      <c r="M65" t="s">
        <v>107</v>
      </c>
      <c r="N65" t="s">
        <v>156</v>
      </c>
      <c r="O65">
        <v>98</v>
      </c>
      <c r="P65" s="7">
        <v>6488</v>
      </c>
      <c r="Q65">
        <v>7.0000000000000007E-2</v>
      </c>
      <c r="R65">
        <v>1.89</v>
      </c>
      <c r="S65" s="5">
        <f t="shared" ref="S65" si="35">O65/(365*2)</f>
        <v>0.13424657534246576</v>
      </c>
      <c r="T65" t="s">
        <v>16</v>
      </c>
      <c r="U65" t="s">
        <v>16</v>
      </c>
    </row>
    <row r="66" spans="1:21" x14ac:dyDescent="0.3">
      <c r="A66" t="s">
        <v>27</v>
      </c>
      <c r="B66" t="s">
        <v>24</v>
      </c>
      <c r="C66">
        <v>131</v>
      </c>
      <c r="D66" t="s">
        <v>14</v>
      </c>
      <c r="E66" t="s">
        <v>45</v>
      </c>
      <c r="F66" s="3" t="s">
        <v>157</v>
      </c>
      <c r="G66">
        <v>20018</v>
      </c>
      <c r="H66" t="s">
        <v>18</v>
      </c>
      <c r="I66" t="s">
        <v>18</v>
      </c>
      <c r="J66" t="s">
        <v>107</v>
      </c>
      <c r="K66" t="s">
        <v>107</v>
      </c>
      <c r="L66" t="s">
        <v>107</v>
      </c>
      <c r="M66" t="s">
        <v>107</v>
      </c>
      <c r="N66" t="s">
        <v>158</v>
      </c>
      <c r="O66">
        <v>38</v>
      </c>
      <c r="P66" s="7">
        <v>8406</v>
      </c>
      <c r="Q66">
        <v>0.15</v>
      </c>
      <c r="R66">
        <v>3.21</v>
      </c>
      <c r="S66" s="5">
        <f t="shared" ref="S66" si="36">O66/(365*2)</f>
        <v>5.2054794520547946E-2</v>
      </c>
      <c r="T66" t="s">
        <v>16</v>
      </c>
      <c r="U66" t="s">
        <v>16</v>
      </c>
    </row>
    <row r="67" spans="1:21" x14ac:dyDescent="0.3">
      <c r="A67" t="s">
        <v>27</v>
      </c>
      <c r="B67" t="s">
        <v>24</v>
      </c>
      <c r="C67">
        <v>131</v>
      </c>
      <c r="D67" t="s">
        <v>14</v>
      </c>
      <c r="E67" t="s">
        <v>45</v>
      </c>
      <c r="F67" s="3" t="s">
        <v>159</v>
      </c>
      <c r="G67">
        <v>20018</v>
      </c>
      <c r="H67" t="s">
        <v>18</v>
      </c>
      <c r="I67" t="s">
        <v>18</v>
      </c>
      <c r="J67" t="s">
        <v>160</v>
      </c>
      <c r="K67" t="s">
        <v>107</v>
      </c>
      <c r="L67" t="s">
        <v>107</v>
      </c>
      <c r="M67" t="s">
        <v>107</v>
      </c>
      <c r="N67" t="s">
        <v>161</v>
      </c>
      <c r="O67">
        <v>119</v>
      </c>
      <c r="P67" s="7">
        <v>3625</v>
      </c>
      <c r="Q67">
        <v>0.1</v>
      </c>
      <c r="R67">
        <v>1.3</v>
      </c>
      <c r="S67" s="5">
        <f t="shared" ref="S67" si="37">O67/(365*2)</f>
        <v>0.16301369863013698</v>
      </c>
      <c r="T67" t="s">
        <v>16</v>
      </c>
      <c r="U67" t="s">
        <v>16</v>
      </c>
    </row>
    <row r="68" spans="1:21" x14ac:dyDescent="0.3">
      <c r="A68" t="s">
        <v>27</v>
      </c>
      <c r="B68" t="s">
        <v>24</v>
      </c>
      <c r="C68">
        <v>131</v>
      </c>
      <c r="D68" t="s">
        <v>14</v>
      </c>
      <c r="E68" t="s">
        <v>45</v>
      </c>
      <c r="F68" s="3" t="s">
        <v>162</v>
      </c>
      <c r="G68">
        <v>20018</v>
      </c>
      <c r="H68" t="s">
        <v>18</v>
      </c>
      <c r="I68" t="s">
        <v>18</v>
      </c>
      <c r="J68" t="s">
        <v>107</v>
      </c>
      <c r="K68" t="s">
        <v>163</v>
      </c>
      <c r="L68" t="s">
        <v>107</v>
      </c>
      <c r="M68" t="s">
        <v>107</v>
      </c>
      <c r="N68" t="s">
        <v>161</v>
      </c>
      <c r="O68">
        <v>123</v>
      </c>
      <c r="P68" s="7">
        <v>4459</v>
      </c>
      <c r="Q68">
        <v>0.04</v>
      </c>
      <c r="R68">
        <v>1.36</v>
      </c>
      <c r="S68" s="5">
        <f t="shared" ref="S68" si="38">O68/(365*2)</f>
        <v>0.16849315068493151</v>
      </c>
      <c r="T68" t="s">
        <v>16</v>
      </c>
      <c r="U68" t="s">
        <v>16</v>
      </c>
    </row>
    <row r="69" spans="1:21" x14ac:dyDescent="0.3">
      <c r="A69" t="s">
        <v>27</v>
      </c>
      <c r="B69" t="s">
        <v>24</v>
      </c>
      <c r="C69">
        <v>131</v>
      </c>
      <c r="D69" t="s">
        <v>14</v>
      </c>
      <c r="E69" t="s">
        <v>45</v>
      </c>
      <c r="F69" s="3" t="s">
        <v>164</v>
      </c>
      <c r="G69">
        <v>20018</v>
      </c>
      <c r="H69" t="s">
        <v>18</v>
      </c>
      <c r="I69" t="s">
        <v>18</v>
      </c>
      <c r="J69" t="s">
        <v>107</v>
      </c>
      <c r="K69" t="s">
        <v>107</v>
      </c>
      <c r="L69" t="s">
        <v>107</v>
      </c>
      <c r="M69" t="s">
        <v>165</v>
      </c>
      <c r="N69" t="s">
        <v>161</v>
      </c>
      <c r="O69">
        <v>41</v>
      </c>
      <c r="P69" s="7">
        <v>7108</v>
      </c>
      <c r="Q69">
        <v>7.0000000000000007E-2</v>
      </c>
      <c r="R69">
        <v>2.73</v>
      </c>
      <c r="S69" s="5">
        <f t="shared" ref="S69" si="39">O69/(365*2)</f>
        <v>5.6164383561643834E-2</v>
      </c>
      <c r="T69" t="s">
        <v>16</v>
      </c>
      <c r="U69" t="s">
        <v>16</v>
      </c>
    </row>
    <row r="70" spans="1:21" x14ac:dyDescent="0.3">
      <c r="A70" t="s">
        <v>27</v>
      </c>
      <c r="B70" t="s">
        <v>24</v>
      </c>
      <c r="C70">
        <v>131</v>
      </c>
      <c r="D70" t="s">
        <v>14</v>
      </c>
      <c r="E70" t="s">
        <v>45</v>
      </c>
      <c r="F70" s="3" t="s">
        <v>166</v>
      </c>
      <c r="G70">
        <v>20018</v>
      </c>
      <c r="H70" t="s">
        <v>18</v>
      </c>
      <c r="I70" t="s">
        <v>18</v>
      </c>
      <c r="J70" t="s">
        <v>107</v>
      </c>
      <c r="K70" t="s">
        <v>107</v>
      </c>
      <c r="L70" t="s">
        <v>107</v>
      </c>
      <c r="M70" t="s">
        <v>167</v>
      </c>
      <c r="N70" t="s">
        <v>161</v>
      </c>
      <c r="O70">
        <v>35</v>
      </c>
      <c r="P70" s="7">
        <v>11678</v>
      </c>
      <c r="Q70">
        <v>0.17</v>
      </c>
      <c r="R70">
        <v>4.33</v>
      </c>
      <c r="S70" s="5">
        <f t="shared" ref="S70" si="40">O70/(365*2)</f>
        <v>4.7945205479452052E-2</v>
      </c>
      <c r="T70" t="s">
        <v>16</v>
      </c>
      <c r="U70" t="s">
        <v>16</v>
      </c>
    </row>
    <row r="71" spans="1:21" x14ac:dyDescent="0.3">
      <c r="A71" t="s">
        <v>27</v>
      </c>
      <c r="B71" t="s">
        <v>24</v>
      </c>
      <c r="C71">
        <v>131</v>
      </c>
      <c r="D71" t="s">
        <v>14</v>
      </c>
      <c r="E71" t="s">
        <v>45</v>
      </c>
      <c r="F71" s="3" t="s">
        <v>168</v>
      </c>
      <c r="G71">
        <v>20018</v>
      </c>
      <c r="H71" t="s">
        <v>18</v>
      </c>
      <c r="I71" t="s">
        <v>18</v>
      </c>
      <c r="J71" t="s">
        <v>100</v>
      </c>
      <c r="K71" t="s">
        <v>107</v>
      </c>
      <c r="L71" t="s">
        <v>107</v>
      </c>
      <c r="M71" t="s">
        <v>95</v>
      </c>
      <c r="N71" t="s">
        <v>161</v>
      </c>
      <c r="O71">
        <v>144</v>
      </c>
      <c r="P71" s="7">
        <v>6395</v>
      </c>
      <c r="Q71">
        <v>0.06</v>
      </c>
      <c r="R71">
        <v>1.44</v>
      </c>
      <c r="S71" s="5">
        <f t="shared" ref="S71" si="41">O71/(365*2)</f>
        <v>0.19726027397260273</v>
      </c>
      <c r="T71" t="s">
        <v>16</v>
      </c>
      <c r="U71" t="s">
        <v>16</v>
      </c>
    </row>
    <row r="72" spans="1:21" x14ac:dyDescent="0.3">
      <c r="A72" t="s">
        <v>27</v>
      </c>
      <c r="B72" t="s">
        <v>24</v>
      </c>
      <c r="C72">
        <v>131</v>
      </c>
      <c r="D72" t="s">
        <v>14</v>
      </c>
      <c r="E72" t="s">
        <v>45</v>
      </c>
      <c r="F72" s="3" t="s">
        <v>169</v>
      </c>
      <c r="G72">
        <v>20018</v>
      </c>
      <c r="H72" t="s">
        <v>18</v>
      </c>
      <c r="I72" t="s">
        <v>18</v>
      </c>
      <c r="J72" t="s">
        <v>170</v>
      </c>
      <c r="K72" t="s">
        <v>107</v>
      </c>
      <c r="L72" t="s">
        <v>107</v>
      </c>
      <c r="M72" t="s">
        <v>95</v>
      </c>
      <c r="N72" t="s">
        <v>161</v>
      </c>
      <c r="O72">
        <v>468</v>
      </c>
      <c r="P72" s="7">
        <v>12582</v>
      </c>
      <c r="Q72">
        <v>0.04</v>
      </c>
      <c r="R72">
        <v>1.26</v>
      </c>
      <c r="S72" s="5">
        <f t="shared" ref="S72" si="42">O72/(365*2)</f>
        <v>0.64109589041095894</v>
      </c>
      <c r="T72" t="s">
        <v>16</v>
      </c>
      <c r="U72" t="s">
        <v>16</v>
      </c>
    </row>
    <row r="73" spans="1:21" x14ac:dyDescent="0.3">
      <c r="A73" t="s">
        <v>27</v>
      </c>
      <c r="B73" t="s">
        <v>171</v>
      </c>
      <c r="C73">
        <v>131</v>
      </c>
      <c r="D73" t="s">
        <v>14</v>
      </c>
      <c r="E73" t="s">
        <v>45</v>
      </c>
      <c r="F73" s="3" t="s">
        <v>172</v>
      </c>
      <c r="G73">
        <v>20018</v>
      </c>
      <c r="H73" t="s">
        <v>18</v>
      </c>
      <c r="I73" t="s">
        <v>18</v>
      </c>
      <c r="J73" t="s">
        <v>107</v>
      </c>
      <c r="K73" t="s">
        <v>107</v>
      </c>
      <c r="L73" t="s">
        <v>107</v>
      </c>
      <c r="M73" t="s">
        <v>95</v>
      </c>
      <c r="N73" t="s">
        <v>173</v>
      </c>
      <c r="O73">
        <v>105</v>
      </c>
      <c r="P73" s="7">
        <v>5709</v>
      </c>
      <c r="Q73">
        <v>0.04</v>
      </c>
      <c r="R73">
        <v>1.54</v>
      </c>
      <c r="S73" s="5">
        <f t="shared" ref="S73" si="43">O73/(365*2)</f>
        <v>0.14383561643835616</v>
      </c>
      <c r="T73" t="s">
        <v>16</v>
      </c>
      <c r="U73" t="s">
        <v>16</v>
      </c>
    </row>
    <row r="74" spans="1:21" x14ac:dyDescent="0.3">
      <c r="A74" t="s">
        <v>27</v>
      </c>
      <c r="B74" t="s">
        <v>24</v>
      </c>
      <c r="C74">
        <v>131</v>
      </c>
      <c r="D74" t="s">
        <v>14</v>
      </c>
      <c r="E74" t="s">
        <v>45</v>
      </c>
      <c r="F74" s="3" t="s">
        <v>175</v>
      </c>
      <c r="G74">
        <v>20018</v>
      </c>
      <c r="H74" t="s">
        <v>18</v>
      </c>
      <c r="I74" t="s">
        <v>18</v>
      </c>
      <c r="J74" t="s">
        <v>107</v>
      </c>
      <c r="K74" t="s">
        <v>107</v>
      </c>
      <c r="L74" t="s">
        <v>107</v>
      </c>
      <c r="M74" t="s">
        <v>95</v>
      </c>
      <c r="N74" t="s">
        <v>174</v>
      </c>
      <c r="O74">
        <v>51</v>
      </c>
      <c r="P74" s="7">
        <v>9597</v>
      </c>
      <c r="Q74">
        <v>0.11</v>
      </c>
      <c r="R74">
        <v>2.88</v>
      </c>
      <c r="S74" s="5">
        <f t="shared" ref="S74" si="44">O74/(365*2)</f>
        <v>6.9863013698630141E-2</v>
      </c>
      <c r="T74" t="s">
        <v>16</v>
      </c>
      <c r="U74" t="s">
        <v>16</v>
      </c>
    </row>
    <row r="75" spans="1:21" x14ac:dyDescent="0.3">
      <c r="A75" t="s">
        <v>27</v>
      </c>
      <c r="B75" t="s">
        <v>24</v>
      </c>
      <c r="C75">
        <v>131</v>
      </c>
      <c r="D75" t="s">
        <v>14</v>
      </c>
      <c r="E75" t="s">
        <v>45</v>
      </c>
      <c r="F75" s="3" t="s">
        <v>176</v>
      </c>
      <c r="G75">
        <v>20018</v>
      </c>
      <c r="H75" t="s">
        <v>18</v>
      </c>
      <c r="I75" t="s">
        <v>18</v>
      </c>
      <c r="J75" t="s">
        <v>177</v>
      </c>
      <c r="K75" t="s">
        <v>107</v>
      </c>
      <c r="L75" t="s">
        <v>107</v>
      </c>
      <c r="M75" t="s">
        <v>95</v>
      </c>
      <c r="N75" t="s">
        <v>107</v>
      </c>
      <c r="O75">
        <v>49</v>
      </c>
      <c r="P75" s="7">
        <v>5768</v>
      </c>
      <c r="Q75">
        <v>0.08</v>
      </c>
      <c r="R75">
        <v>2.17</v>
      </c>
      <c r="S75" s="5">
        <f t="shared" ref="S75" si="45">O75/(365*2)</f>
        <v>6.7123287671232879E-2</v>
      </c>
      <c r="T75" t="s">
        <v>16</v>
      </c>
      <c r="U75" t="s">
        <v>16</v>
      </c>
    </row>
    <row r="76" spans="1:21" x14ac:dyDescent="0.3">
      <c r="A76" t="s">
        <v>27</v>
      </c>
      <c r="B76" t="s">
        <v>24</v>
      </c>
      <c r="C76">
        <v>131</v>
      </c>
      <c r="D76" t="s">
        <v>14</v>
      </c>
      <c r="E76" t="s">
        <v>45</v>
      </c>
      <c r="F76" s="3" t="s">
        <v>178</v>
      </c>
      <c r="G76">
        <v>20018</v>
      </c>
      <c r="H76" t="s">
        <v>18</v>
      </c>
      <c r="I76" t="s">
        <v>18</v>
      </c>
      <c r="J76" t="s">
        <v>107</v>
      </c>
      <c r="K76" t="s">
        <v>107</v>
      </c>
      <c r="L76" t="s">
        <v>179</v>
      </c>
      <c r="M76" t="s">
        <v>95</v>
      </c>
      <c r="N76" t="s">
        <v>107</v>
      </c>
      <c r="O76">
        <v>29</v>
      </c>
      <c r="P76" s="7">
        <v>9278</v>
      </c>
      <c r="Q76">
        <v>17</v>
      </c>
      <c r="R76">
        <v>4.1900000000000004</v>
      </c>
      <c r="S76" s="5">
        <f t="shared" ref="S76" si="46">O76/(365*2)</f>
        <v>3.9726027397260277E-2</v>
      </c>
      <c r="T76" t="s">
        <v>16</v>
      </c>
      <c r="U76" t="s">
        <v>16</v>
      </c>
    </row>
    <row r="77" spans="1:21" x14ac:dyDescent="0.3">
      <c r="A77" t="s">
        <v>27</v>
      </c>
      <c r="B77" t="s">
        <v>24</v>
      </c>
      <c r="C77">
        <v>131</v>
      </c>
      <c r="D77" t="s">
        <v>14</v>
      </c>
      <c r="E77" t="s">
        <v>45</v>
      </c>
      <c r="F77" s="3" t="s">
        <v>180</v>
      </c>
      <c r="G77">
        <v>20018</v>
      </c>
      <c r="H77" t="s">
        <v>18</v>
      </c>
      <c r="I77" t="s">
        <v>18</v>
      </c>
      <c r="J77" t="s">
        <v>107</v>
      </c>
      <c r="K77" t="s">
        <v>107</v>
      </c>
      <c r="L77" t="s">
        <v>181</v>
      </c>
      <c r="M77" t="s">
        <v>95</v>
      </c>
      <c r="N77" t="s">
        <v>107</v>
      </c>
      <c r="O77">
        <v>66</v>
      </c>
      <c r="P77" s="7">
        <v>16227</v>
      </c>
      <c r="Q77">
        <v>0.09</v>
      </c>
      <c r="R77">
        <v>3.45</v>
      </c>
      <c r="S77" s="5">
        <f t="shared" ref="S77" si="47">O77/(365*2)</f>
        <v>9.0410958904109592E-2</v>
      </c>
      <c r="T77" t="s">
        <v>16</v>
      </c>
      <c r="U77" t="s">
        <v>16</v>
      </c>
    </row>
    <row r="78" spans="1:21" x14ac:dyDescent="0.3">
      <c r="A78" t="s">
        <v>27</v>
      </c>
      <c r="B78" t="s">
        <v>24</v>
      </c>
      <c r="C78">
        <v>131</v>
      </c>
      <c r="D78" t="s">
        <v>182</v>
      </c>
      <c r="E78" t="s">
        <v>45</v>
      </c>
      <c r="F78" s="3" t="s">
        <v>183</v>
      </c>
      <c r="G78">
        <v>20018</v>
      </c>
      <c r="H78" t="s">
        <v>18</v>
      </c>
      <c r="I78" t="s">
        <v>18</v>
      </c>
      <c r="J78" t="s">
        <v>107</v>
      </c>
      <c r="K78" t="s">
        <v>107</v>
      </c>
      <c r="L78" t="s">
        <v>107</v>
      </c>
      <c r="M78" t="s">
        <v>95</v>
      </c>
      <c r="N78" t="s">
        <v>184</v>
      </c>
      <c r="O78">
        <v>30</v>
      </c>
      <c r="P78" s="7">
        <v>5218</v>
      </c>
      <c r="Q78">
        <v>0.1</v>
      </c>
      <c r="R78">
        <v>2.73</v>
      </c>
      <c r="S78" s="5">
        <f t="shared" ref="S78" si="48">O78/(365*2)</f>
        <v>4.1095890410958902E-2</v>
      </c>
      <c r="T78" t="s">
        <v>16</v>
      </c>
      <c r="U78" t="s">
        <v>16</v>
      </c>
    </row>
    <row r="79" spans="1:21" x14ac:dyDescent="0.3">
      <c r="A79" t="s">
        <v>27</v>
      </c>
      <c r="B79" t="s">
        <v>24</v>
      </c>
      <c r="C79">
        <v>131</v>
      </c>
      <c r="D79" t="s">
        <v>182</v>
      </c>
      <c r="E79" t="s">
        <v>45</v>
      </c>
      <c r="F79" s="3" t="s">
        <v>185</v>
      </c>
      <c r="G79">
        <v>20018</v>
      </c>
      <c r="H79" t="s">
        <v>18</v>
      </c>
      <c r="I79" t="s">
        <v>18</v>
      </c>
      <c r="J79" t="s">
        <v>107</v>
      </c>
      <c r="K79" t="s">
        <v>187</v>
      </c>
      <c r="L79" t="s">
        <v>107</v>
      </c>
      <c r="M79" t="s">
        <v>95</v>
      </c>
      <c r="N79" t="s">
        <v>186</v>
      </c>
      <c r="O79">
        <v>246</v>
      </c>
      <c r="P79" s="7">
        <v>6144</v>
      </c>
      <c r="Q79">
        <v>0.1</v>
      </c>
      <c r="R79">
        <v>1.24</v>
      </c>
      <c r="S79" s="5">
        <f t="shared" ref="S79" si="49">O79/(365*2)</f>
        <v>0.33698630136986302</v>
      </c>
      <c r="T79" t="s">
        <v>16</v>
      </c>
      <c r="U79" t="s">
        <v>16</v>
      </c>
    </row>
    <row r="80" spans="1:21" x14ac:dyDescent="0.3">
      <c r="A80" t="s">
        <v>27</v>
      </c>
      <c r="B80" t="s">
        <v>24</v>
      </c>
      <c r="C80">
        <v>131</v>
      </c>
      <c r="D80" t="s">
        <v>182</v>
      </c>
      <c r="E80" t="s">
        <v>45</v>
      </c>
      <c r="F80" s="3" t="s">
        <v>188</v>
      </c>
      <c r="G80">
        <v>20018</v>
      </c>
      <c r="H80" t="s">
        <v>18</v>
      </c>
      <c r="I80" t="s">
        <v>18</v>
      </c>
      <c r="J80" t="s">
        <v>107</v>
      </c>
      <c r="K80" t="s">
        <v>107</v>
      </c>
      <c r="L80" t="s">
        <v>107</v>
      </c>
      <c r="M80" t="s">
        <v>95</v>
      </c>
      <c r="N80" t="s">
        <v>189</v>
      </c>
      <c r="O80">
        <v>76</v>
      </c>
      <c r="P80" s="7">
        <v>11397</v>
      </c>
      <c r="Q80">
        <v>7.0000000000000007E-2</v>
      </c>
      <c r="R80">
        <v>2.4900000000000002</v>
      </c>
      <c r="S80" s="5">
        <f t="shared" ref="S80" si="50">O80/(365*2)</f>
        <v>0.10410958904109589</v>
      </c>
      <c r="T80" t="s">
        <v>16</v>
      </c>
      <c r="U80" t="s">
        <v>16</v>
      </c>
    </row>
    <row r="81" spans="1:21" x14ac:dyDescent="0.3">
      <c r="A81" t="s">
        <v>27</v>
      </c>
      <c r="B81" t="s">
        <v>24</v>
      </c>
      <c r="C81">
        <v>131</v>
      </c>
      <c r="D81" t="s">
        <v>182</v>
      </c>
      <c r="E81" t="s">
        <v>45</v>
      </c>
      <c r="F81" s="3" t="s">
        <v>190</v>
      </c>
      <c r="G81">
        <v>20018</v>
      </c>
      <c r="H81" t="s">
        <v>18</v>
      </c>
      <c r="I81" t="s">
        <v>18</v>
      </c>
      <c r="J81" t="s">
        <v>107</v>
      </c>
      <c r="K81" t="s">
        <v>191</v>
      </c>
      <c r="L81" t="s">
        <v>107</v>
      </c>
      <c r="M81" t="s">
        <v>95</v>
      </c>
      <c r="N81" t="s">
        <v>107</v>
      </c>
      <c r="O81">
        <v>75</v>
      </c>
      <c r="P81" s="7">
        <v>7227</v>
      </c>
      <c r="Q81">
        <v>0.08</v>
      </c>
      <c r="R81">
        <v>1.96</v>
      </c>
      <c r="S81" s="5">
        <f t="shared" ref="S81" si="51">O81/(365*2)</f>
        <v>0.10273972602739725</v>
      </c>
      <c r="T81" t="s">
        <v>16</v>
      </c>
      <c r="U81" t="s">
        <v>16</v>
      </c>
    </row>
    <row r="82" spans="1:21" x14ac:dyDescent="0.3">
      <c r="A82" t="s">
        <v>27</v>
      </c>
      <c r="B82" t="s">
        <v>24</v>
      </c>
      <c r="C82">
        <v>131</v>
      </c>
      <c r="D82" t="s">
        <v>182</v>
      </c>
      <c r="E82" t="s">
        <v>45</v>
      </c>
      <c r="F82" s="3" t="s">
        <v>57</v>
      </c>
      <c r="G82">
        <v>20018</v>
      </c>
      <c r="H82" t="s">
        <v>18</v>
      </c>
      <c r="I82" t="s">
        <v>18</v>
      </c>
      <c r="J82" t="s">
        <v>107</v>
      </c>
      <c r="K82" t="s">
        <v>107</v>
      </c>
      <c r="L82" t="s">
        <v>107</v>
      </c>
      <c r="M82" t="s">
        <v>95</v>
      </c>
      <c r="N82" t="s">
        <v>192</v>
      </c>
      <c r="O82">
        <v>144</v>
      </c>
      <c r="P82" s="7">
        <v>15753</v>
      </c>
      <c r="Q82">
        <v>0.11</v>
      </c>
      <c r="R82">
        <v>2.09</v>
      </c>
      <c r="S82" s="5">
        <f t="shared" ref="S82:S83" si="52">O82/(365*2)</f>
        <v>0.19726027397260273</v>
      </c>
      <c r="T82" t="s">
        <v>16</v>
      </c>
      <c r="U82" t="s">
        <v>16</v>
      </c>
    </row>
    <row r="83" spans="1:21" x14ac:dyDescent="0.3">
      <c r="A83" t="s">
        <v>27</v>
      </c>
      <c r="B83" t="s">
        <v>24</v>
      </c>
      <c r="C83">
        <v>131</v>
      </c>
      <c r="D83" t="s">
        <v>14</v>
      </c>
      <c r="E83" t="s">
        <v>193</v>
      </c>
      <c r="F83" s="3" t="s">
        <v>194</v>
      </c>
      <c r="G83">
        <v>20018</v>
      </c>
      <c r="H83" t="s">
        <v>18</v>
      </c>
      <c r="I83" t="s">
        <v>18</v>
      </c>
      <c r="J83" t="s">
        <v>195</v>
      </c>
      <c r="K83" t="s">
        <v>107</v>
      </c>
      <c r="L83" t="s">
        <v>107</v>
      </c>
      <c r="M83" t="s">
        <v>95</v>
      </c>
      <c r="N83" t="s">
        <v>107</v>
      </c>
      <c r="O83">
        <v>484</v>
      </c>
      <c r="P83" s="7">
        <v>19445</v>
      </c>
      <c r="Q83">
        <v>0.08</v>
      </c>
      <c r="R83">
        <v>1.4</v>
      </c>
      <c r="S83" s="5">
        <f t="shared" si="52"/>
        <v>0.66301369863013704</v>
      </c>
      <c r="T83" t="s">
        <v>16</v>
      </c>
      <c r="U83" t="s">
        <v>16</v>
      </c>
    </row>
    <row r="84" spans="1:21" x14ac:dyDescent="0.3">
      <c r="A84" t="s">
        <v>27</v>
      </c>
      <c r="B84" t="s">
        <v>24</v>
      </c>
      <c r="C84">
        <v>131</v>
      </c>
      <c r="D84" t="s">
        <v>14</v>
      </c>
      <c r="E84" t="s">
        <v>193</v>
      </c>
      <c r="F84" s="3" t="s">
        <v>196</v>
      </c>
      <c r="G84">
        <v>20018</v>
      </c>
      <c r="H84" t="s">
        <v>18</v>
      </c>
      <c r="I84" t="s">
        <v>18</v>
      </c>
      <c r="J84" t="s">
        <v>161</v>
      </c>
      <c r="K84" t="s">
        <v>107</v>
      </c>
      <c r="L84" t="s">
        <v>107</v>
      </c>
      <c r="M84" t="s">
        <v>95</v>
      </c>
      <c r="N84" t="s">
        <v>197</v>
      </c>
      <c r="O84">
        <v>592</v>
      </c>
      <c r="P84" s="7">
        <v>11972</v>
      </c>
      <c r="Q84">
        <v>0.09</v>
      </c>
      <c r="R84">
        <v>1.2</v>
      </c>
      <c r="S84" s="5">
        <f t="shared" ref="S84" si="53">O84/(365*2)</f>
        <v>0.81095890410958904</v>
      </c>
      <c r="T84" t="s">
        <v>16</v>
      </c>
      <c r="U84" t="s">
        <v>16</v>
      </c>
    </row>
    <row r="85" spans="1:21" x14ac:dyDescent="0.3">
      <c r="A85" t="s">
        <v>27</v>
      </c>
      <c r="B85" t="s">
        <v>24</v>
      </c>
      <c r="C85">
        <v>131</v>
      </c>
      <c r="D85" t="s">
        <v>14</v>
      </c>
      <c r="E85" t="s">
        <v>193</v>
      </c>
      <c r="F85" s="3" t="s">
        <v>198</v>
      </c>
      <c r="G85">
        <v>20018</v>
      </c>
      <c r="H85" t="s">
        <v>18</v>
      </c>
      <c r="I85" t="s">
        <v>18</v>
      </c>
      <c r="J85" t="s">
        <v>199</v>
      </c>
      <c r="K85" t="s">
        <v>107</v>
      </c>
      <c r="L85" t="s">
        <v>107</v>
      </c>
      <c r="M85" t="s">
        <v>95</v>
      </c>
      <c r="N85" t="s">
        <v>107</v>
      </c>
      <c r="O85">
        <v>608</v>
      </c>
      <c r="P85" s="7">
        <v>11450</v>
      </c>
      <c r="Q85">
        <v>0.11</v>
      </c>
      <c r="R85">
        <v>1.18</v>
      </c>
      <c r="S85" s="5">
        <f t="shared" ref="S85" si="54">O85/(365*2)</f>
        <v>0.83287671232876714</v>
      </c>
      <c r="T85" t="s">
        <v>16</v>
      </c>
      <c r="U85" t="s">
        <v>16</v>
      </c>
    </row>
    <row r="86" spans="1:21" x14ac:dyDescent="0.3">
      <c r="A86" t="s">
        <v>27</v>
      </c>
      <c r="B86" t="s">
        <v>24</v>
      </c>
      <c r="C86">
        <v>131</v>
      </c>
      <c r="D86" t="s">
        <v>14</v>
      </c>
      <c r="E86" t="s">
        <v>193</v>
      </c>
      <c r="F86" s="3" t="s">
        <v>200</v>
      </c>
      <c r="G86">
        <v>20018</v>
      </c>
      <c r="H86" t="s">
        <v>18</v>
      </c>
      <c r="I86" t="s">
        <v>18</v>
      </c>
      <c r="J86" t="s">
        <v>107</v>
      </c>
      <c r="K86" t="s">
        <v>201</v>
      </c>
      <c r="L86" t="s">
        <v>107</v>
      </c>
      <c r="M86" t="s">
        <v>95</v>
      </c>
      <c r="N86" t="s">
        <v>107</v>
      </c>
      <c r="O86">
        <v>129</v>
      </c>
      <c r="P86" s="7">
        <v>4459</v>
      </c>
      <c r="Q86">
        <v>0.06</v>
      </c>
      <c r="R86">
        <v>1.34</v>
      </c>
      <c r="S86" s="5">
        <f t="shared" ref="S86" si="55">O86/(365*2)</f>
        <v>0.17671232876712328</v>
      </c>
      <c r="T86" t="s">
        <v>16</v>
      </c>
      <c r="U86" t="s">
        <v>16</v>
      </c>
    </row>
    <row r="87" spans="1:21" x14ac:dyDescent="0.3">
      <c r="A87" t="s">
        <v>27</v>
      </c>
      <c r="B87" t="s">
        <v>24</v>
      </c>
      <c r="C87">
        <v>131</v>
      </c>
      <c r="D87" t="s">
        <v>14</v>
      </c>
      <c r="E87" t="s">
        <v>193</v>
      </c>
      <c r="F87" s="3" t="s">
        <v>202</v>
      </c>
      <c r="G87">
        <v>20018</v>
      </c>
      <c r="H87" t="s">
        <v>18</v>
      </c>
      <c r="I87" t="s">
        <v>18</v>
      </c>
      <c r="J87" t="s">
        <v>107</v>
      </c>
      <c r="K87" t="s">
        <v>107</v>
      </c>
      <c r="L87" t="s">
        <v>107</v>
      </c>
      <c r="M87" t="s">
        <v>95</v>
      </c>
      <c r="N87" t="s">
        <v>203</v>
      </c>
      <c r="O87">
        <v>46</v>
      </c>
      <c r="P87" s="7">
        <v>6418</v>
      </c>
      <c r="Q87">
        <v>0.1</v>
      </c>
      <c r="R87">
        <v>2.39</v>
      </c>
      <c r="S87" s="5">
        <f t="shared" ref="S87" si="56">O87/(365*2)</f>
        <v>6.3013698630136991E-2</v>
      </c>
      <c r="T87" t="s">
        <v>16</v>
      </c>
      <c r="U87" t="s">
        <v>16</v>
      </c>
    </row>
    <row r="88" spans="1:21" x14ac:dyDescent="0.3">
      <c r="A88" t="s">
        <v>27</v>
      </c>
      <c r="B88" t="s">
        <v>24</v>
      </c>
      <c r="C88">
        <v>131</v>
      </c>
      <c r="D88" t="s">
        <v>14</v>
      </c>
      <c r="E88" t="s">
        <v>193</v>
      </c>
      <c r="F88" s="3" t="s">
        <v>204</v>
      </c>
      <c r="G88">
        <v>20018</v>
      </c>
      <c r="H88" t="s">
        <v>18</v>
      </c>
      <c r="I88" t="s">
        <v>18</v>
      </c>
      <c r="J88" t="s">
        <v>107</v>
      </c>
      <c r="K88" t="s">
        <v>107</v>
      </c>
      <c r="L88" t="s">
        <v>107</v>
      </c>
      <c r="M88" t="s">
        <v>205</v>
      </c>
      <c r="N88" t="s">
        <v>107</v>
      </c>
      <c r="O88">
        <v>78</v>
      </c>
      <c r="P88" s="7">
        <v>8494</v>
      </c>
      <c r="Q88">
        <v>0.1</v>
      </c>
      <c r="R88">
        <v>2.08</v>
      </c>
      <c r="S88" s="5">
        <f t="shared" ref="S88" si="57">O88/(365*2)</f>
        <v>0.10684931506849316</v>
      </c>
      <c r="T88" t="s">
        <v>16</v>
      </c>
      <c r="U88" t="s">
        <v>16</v>
      </c>
    </row>
    <row r="89" spans="1:21" x14ac:dyDescent="0.3">
      <c r="A89" t="s">
        <v>27</v>
      </c>
      <c r="B89" t="s">
        <v>24</v>
      </c>
      <c r="C89">
        <v>131</v>
      </c>
      <c r="D89" t="s">
        <v>14</v>
      </c>
      <c r="E89" t="s">
        <v>193</v>
      </c>
      <c r="F89" s="3" t="s">
        <v>206</v>
      </c>
      <c r="G89">
        <v>20018</v>
      </c>
      <c r="H89" t="s">
        <v>18</v>
      </c>
      <c r="I89" t="s">
        <v>18</v>
      </c>
      <c r="J89" t="s">
        <v>107</v>
      </c>
      <c r="K89" t="s">
        <v>207</v>
      </c>
      <c r="L89" t="s">
        <v>107</v>
      </c>
      <c r="M89" t="s">
        <v>107</v>
      </c>
      <c r="N89" t="s">
        <v>107</v>
      </c>
      <c r="O89">
        <v>41</v>
      </c>
      <c r="P89" s="7">
        <v>2307</v>
      </c>
      <c r="Q89">
        <v>0.24</v>
      </c>
      <c r="R89">
        <v>1.56</v>
      </c>
      <c r="S89" s="5">
        <f t="shared" ref="S89" si="58">O89/(365*2)</f>
        <v>5.6164383561643834E-2</v>
      </c>
      <c r="T89" t="s">
        <v>16</v>
      </c>
      <c r="U89" t="s">
        <v>16</v>
      </c>
    </row>
    <row r="90" spans="1:21" x14ac:dyDescent="0.3">
      <c r="A90" t="s">
        <v>27</v>
      </c>
      <c r="B90" t="s">
        <v>24</v>
      </c>
      <c r="C90">
        <v>131</v>
      </c>
      <c r="D90" t="s">
        <v>14</v>
      </c>
      <c r="E90" t="s">
        <v>193</v>
      </c>
      <c r="F90" s="3" t="s">
        <v>208</v>
      </c>
      <c r="G90">
        <v>20018</v>
      </c>
      <c r="H90" t="s">
        <v>18</v>
      </c>
      <c r="I90" t="s">
        <v>18</v>
      </c>
      <c r="J90" t="s">
        <v>107</v>
      </c>
      <c r="K90" t="s">
        <v>209</v>
      </c>
      <c r="L90" t="s">
        <v>107</v>
      </c>
      <c r="M90" t="s">
        <v>210</v>
      </c>
      <c r="N90" t="s">
        <v>107</v>
      </c>
      <c r="O90">
        <v>426</v>
      </c>
      <c r="P90" s="7">
        <v>12560</v>
      </c>
      <c r="Q90">
        <v>0.06</v>
      </c>
      <c r="R90">
        <v>1.29</v>
      </c>
      <c r="S90" s="5">
        <f t="shared" ref="S90" si="59">O90/(365*2)</f>
        <v>0.58356164383561648</v>
      </c>
      <c r="T90" t="s">
        <v>16</v>
      </c>
      <c r="U90" t="s">
        <v>16</v>
      </c>
    </row>
    <row r="91" spans="1:21" x14ac:dyDescent="0.3">
      <c r="A91" t="s">
        <v>27</v>
      </c>
      <c r="B91" t="s">
        <v>24</v>
      </c>
      <c r="C91">
        <v>131</v>
      </c>
      <c r="D91" t="s">
        <v>14</v>
      </c>
      <c r="E91" t="s">
        <v>193</v>
      </c>
      <c r="F91" s="3" t="s">
        <v>211</v>
      </c>
      <c r="G91">
        <v>20018</v>
      </c>
      <c r="H91" t="s">
        <v>18</v>
      </c>
      <c r="I91" t="s">
        <v>18</v>
      </c>
      <c r="J91" t="s">
        <v>212</v>
      </c>
      <c r="K91" t="s">
        <v>209</v>
      </c>
      <c r="L91" t="s">
        <v>107</v>
      </c>
      <c r="M91" t="s">
        <v>107</v>
      </c>
      <c r="N91" t="s">
        <v>107</v>
      </c>
      <c r="O91">
        <v>60</v>
      </c>
      <c r="P91" s="7">
        <v>9379</v>
      </c>
      <c r="Q91">
        <v>0.1</v>
      </c>
      <c r="R91">
        <v>2.56</v>
      </c>
      <c r="S91" s="5">
        <f t="shared" ref="S91" si="60">O91/(365*2)</f>
        <v>8.2191780821917804E-2</v>
      </c>
      <c r="T91" t="s">
        <v>16</v>
      </c>
      <c r="U91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70"/>
  <sheetViews>
    <sheetView topLeftCell="A58" workbookViewId="0">
      <selection activeCell="B70" sqref="B70"/>
    </sheetView>
  </sheetViews>
  <sheetFormatPr defaultRowHeight="16.5" x14ac:dyDescent="0.3"/>
  <sheetData>
    <row r="1" spans="2:2" x14ac:dyDescent="0.3">
      <c r="B1">
        <v>1.2164383561643837</v>
      </c>
    </row>
    <row r="2" spans="2:2" x14ac:dyDescent="0.3">
      <c r="B2">
        <v>0.38356164383561642</v>
      </c>
    </row>
    <row r="3" spans="2:2" x14ac:dyDescent="0.3">
      <c r="B3">
        <v>2.9438356164383563</v>
      </c>
    </row>
    <row r="4" spans="2:2" x14ac:dyDescent="0.3">
      <c r="B4">
        <v>0.62191780821917808</v>
      </c>
    </row>
    <row r="5" spans="2:2" x14ac:dyDescent="0.3">
      <c r="B5">
        <v>0.21095890410958903</v>
      </c>
    </row>
    <row r="6" spans="2:2" x14ac:dyDescent="0.3">
      <c r="B6">
        <v>0.31369863013698629</v>
      </c>
    </row>
    <row r="7" spans="2:2" x14ac:dyDescent="0.3">
      <c r="B7">
        <v>0.29726027397260274</v>
      </c>
    </row>
    <row r="8" spans="2:2" x14ac:dyDescent="0.3">
      <c r="B8">
        <v>0.30136986301369861</v>
      </c>
    </row>
    <row r="9" spans="2:2" x14ac:dyDescent="0.3">
      <c r="B9">
        <v>0.15068493150684931</v>
      </c>
    </row>
    <row r="10" spans="2:2" x14ac:dyDescent="0.3">
      <c r="B10">
        <v>0.25068493150684934</v>
      </c>
    </row>
    <row r="11" spans="2:2" x14ac:dyDescent="0.3">
      <c r="B11">
        <v>0.15753424657534246</v>
      </c>
    </row>
    <row r="12" spans="2:2" x14ac:dyDescent="0.3">
      <c r="B12">
        <v>0.36849315068493149</v>
      </c>
    </row>
    <row r="13" spans="2:2" x14ac:dyDescent="0.3">
      <c r="B13">
        <v>0.11917808219178082</v>
      </c>
    </row>
    <row r="14" spans="2:2" x14ac:dyDescent="0.3">
      <c r="B14">
        <v>5.2054794520547946E-2</v>
      </c>
    </row>
    <row r="15" spans="2:2" x14ac:dyDescent="0.3">
      <c r="B15">
        <v>5.0684931506849315E-2</v>
      </c>
    </row>
    <row r="16" spans="2:2" x14ac:dyDescent="0.3">
      <c r="B16">
        <v>0.14520547945205478</v>
      </c>
    </row>
    <row r="17" spans="2:2" x14ac:dyDescent="0.3">
      <c r="B17">
        <v>0.21369863013698631</v>
      </c>
    </row>
    <row r="18" spans="2:2" x14ac:dyDescent="0.3">
      <c r="B18">
        <v>6.4383561643835616E-2</v>
      </c>
    </row>
    <row r="19" spans="2:2" x14ac:dyDescent="0.3">
      <c r="B19">
        <v>0.22739726027397261</v>
      </c>
    </row>
    <row r="20" spans="2:2" x14ac:dyDescent="0.3">
      <c r="B20">
        <v>0.50821917808219175</v>
      </c>
    </row>
    <row r="21" spans="2:2" x14ac:dyDescent="0.3">
      <c r="B21">
        <v>0.16849315068493151</v>
      </c>
    </row>
    <row r="22" spans="2:2" x14ac:dyDescent="0.3">
      <c r="B22">
        <v>0.71232876712328763</v>
      </c>
    </row>
    <row r="23" spans="2:2" x14ac:dyDescent="0.3">
      <c r="B23">
        <v>0.34794520547945207</v>
      </c>
    </row>
    <row r="24" spans="2:2" x14ac:dyDescent="0.3">
      <c r="B24">
        <v>0.43698630136986299</v>
      </c>
    </row>
    <row r="25" spans="2:2" x14ac:dyDescent="0.3">
      <c r="B25">
        <v>0.27945205479452057</v>
      </c>
    </row>
    <row r="26" spans="2:2" x14ac:dyDescent="0.3">
      <c r="B26">
        <v>0.23561643835616439</v>
      </c>
    </row>
    <row r="27" spans="2:2" x14ac:dyDescent="0.3">
      <c r="B27">
        <v>0.77534246575342469</v>
      </c>
    </row>
    <row r="28" spans="2:2" x14ac:dyDescent="0.3">
      <c r="B28">
        <v>0.31780821917808222</v>
      </c>
    </row>
    <row r="29" spans="2:2" x14ac:dyDescent="0.3">
      <c r="B29">
        <v>0.21643835616438356</v>
      </c>
    </row>
    <row r="30" spans="2:2" x14ac:dyDescent="0.3">
      <c r="B30">
        <v>9.8630136986301367E-2</v>
      </c>
    </row>
    <row r="31" spans="2:2" x14ac:dyDescent="0.3">
      <c r="B31">
        <v>0.11369863013698631</v>
      </c>
    </row>
    <row r="32" spans="2:2" x14ac:dyDescent="0.3">
      <c r="B32">
        <v>0.12054794520547946</v>
      </c>
    </row>
    <row r="33" spans="2:2" x14ac:dyDescent="0.3">
      <c r="B33">
        <v>0.13972602739726028</v>
      </c>
    </row>
    <row r="34" spans="2:2" x14ac:dyDescent="0.3">
      <c r="B34">
        <v>0.16027397260273973</v>
      </c>
    </row>
    <row r="35" spans="2:2" x14ac:dyDescent="0.3">
      <c r="B35">
        <v>0.44794520547945205</v>
      </c>
    </row>
    <row r="36" spans="2:2" x14ac:dyDescent="0.3">
      <c r="B36">
        <v>8.6301369863013705E-2</v>
      </c>
    </row>
    <row r="37" spans="2:2" x14ac:dyDescent="0.3">
      <c r="B37">
        <v>0.32191780821917809</v>
      </c>
    </row>
    <row r="38" spans="2:2" x14ac:dyDescent="0.3">
      <c r="B38">
        <v>0.15616438356164383</v>
      </c>
    </row>
    <row r="39" spans="2:2" x14ac:dyDescent="0.3">
      <c r="B39">
        <v>0.25342465753424659</v>
      </c>
    </row>
    <row r="40" spans="2:2" x14ac:dyDescent="0.3">
      <c r="B40">
        <v>0.12328767123287671</v>
      </c>
    </row>
    <row r="41" spans="2:2" x14ac:dyDescent="0.3">
      <c r="B41">
        <v>0.15753424657534246</v>
      </c>
    </row>
    <row r="42" spans="2:2" x14ac:dyDescent="0.3">
      <c r="B42">
        <v>9.5890410958904104E-2</v>
      </c>
    </row>
    <row r="43" spans="2:2" x14ac:dyDescent="0.3">
      <c r="B43">
        <v>0.20547945205479451</v>
      </c>
    </row>
    <row r="44" spans="2:2" x14ac:dyDescent="0.3">
      <c r="B44">
        <v>0.17397260273972603</v>
      </c>
    </row>
    <row r="45" spans="2:2" x14ac:dyDescent="0.3">
      <c r="B45">
        <v>0.37671232876712329</v>
      </c>
    </row>
    <row r="46" spans="2:2" x14ac:dyDescent="0.3">
      <c r="B46">
        <v>0.13150684931506848</v>
      </c>
    </row>
    <row r="47" spans="2:2" x14ac:dyDescent="0.3">
      <c r="B47">
        <v>0.15479452054794521</v>
      </c>
    </row>
    <row r="48" spans="2:2" x14ac:dyDescent="0.3">
      <c r="B48">
        <v>0.22054794520547946</v>
      </c>
    </row>
    <row r="49" spans="2:2" x14ac:dyDescent="0.3">
      <c r="B49">
        <v>0.5383561643835616</v>
      </c>
    </row>
    <row r="50" spans="2:2" x14ac:dyDescent="0.3">
      <c r="B50">
        <v>4.3835616438356165E-2</v>
      </c>
    </row>
    <row r="51" spans="2:2" x14ac:dyDescent="0.3">
      <c r="B51">
        <v>5.6164383561643834E-2</v>
      </c>
    </row>
    <row r="52" spans="2:2" x14ac:dyDescent="0.3">
      <c r="B52">
        <v>0.13424657534246576</v>
      </c>
    </row>
    <row r="53" spans="2:2" x14ac:dyDescent="0.3">
      <c r="B53">
        <v>5.2054794520547946E-2</v>
      </c>
    </row>
    <row r="54" spans="2:2" x14ac:dyDescent="0.3">
      <c r="B54">
        <v>0.16301369863013698</v>
      </c>
    </row>
    <row r="55" spans="2:2" x14ac:dyDescent="0.3">
      <c r="B55">
        <v>0.16849315068493151</v>
      </c>
    </row>
    <row r="56" spans="2:2" x14ac:dyDescent="0.3">
      <c r="B56">
        <v>5.6164383561643834E-2</v>
      </c>
    </row>
    <row r="57" spans="2:2" x14ac:dyDescent="0.3">
      <c r="B57">
        <v>4.7945205479452052E-2</v>
      </c>
    </row>
    <row r="58" spans="2:2" x14ac:dyDescent="0.3">
      <c r="B58">
        <v>0.19726027397260273</v>
      </c>
    </row>
    <row r="59" spans="2:2" x14ac:dyDescent="0.3">
      <c r="B59">
        <v>0.64109589041095894</v>
      </c>
    </row>
    <row r="60" spans="2:2" x14ac:dyDescent="0.3">
      <c r="B60">
        <v>0.14383561643835616</v>
      </c>
    </row>
    <row r="61" spans="2:2" x14ac:dyDescent="0.3">
      <c r="B61">
        <v>6.9863013698630141E-2</v>
      </c>
    </row>
    <row r="62" spans="2:2" x14ac:dyDescent="0.3">
      <c r="B62">
        <v>6.7123287671232879E-2</v>
      </c>
    </row>
    <row r="63" spans="2:2" x14ac:dyDescent="0.3">
      <c r="B63">
        <v>3.9726027397260277E-2</v>
      </c>
    </row>
    <row r="64" spans="2:2" x14ac:dyDescent="0.3">
      <c r="B64">
        <v>9.0410958904109592E-2</v>
      </c>
    </row>
    <row r="65" spans="2:2" x14ac:dyDescent="0.3">
      <c r="B65">
        <v>4.1095890410958902E-2</v>
      </c>
    </row>
    <row r="66" spans="2:2" x14ac:dyDescent="0.3">
      <c r="B66">
        <v>0.33698630136986302</v>
      </c>
    </row>
    <row r="67" spans="2:2" x14ac:dyDescent="0.3">
      <c r="B67">
        <v>0.10410958904109589</v>
      </c>
    </row>
    <row r="68" spans="2:2" x14ac:dyDescent="0.3">
      <c r="B68">
        <v>0.10273972602739725</v>
      </c>
    </row>
    <row r="69" spans="2:2" x14ac:dyDescent="0.3">
      <c r="B69">
        <v>0.19726027397260273</v>
      </c>
    </row>
    <row r="70" spans="2:2" x14ac:dyDescent="0.3">
      <c r="B70">
        <f>SUM(B1:B69)</f>
        <v>18.917808219178077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evaluations</vt:lpstr>
      <vt:lpstr>e_10019</vt:lpstr>
      <vt:lpstr>e_10018</vt:lpstr>
      <vt:lpstr>e_10017</vt:lpstr>
      <vt:lpstr>e_10016</vt:lpstr>
      <vt:lpstr>evaluations_20023</vt:lpstr>
      <vt:lpstr>evaluations_20018</vt:lpstr>
      <vt:lpstr>e_10010</vt:lpstr>
      <vt:lpstr>e_10009</vt:lpstr>
      <vt:lpstr>e_10008</vt:lpstr>
      <vt:lpstr>e_10007</vt:lpstr>
      <vt:lpstr>e_10006</vt:lpstr>
      <vt:lpstr>e_10005</vt:lpstr>
      <vt:lpstr>e_10004</vt:lpstr>
      <vt:lpstr>evaluations_bak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鄭秀真</dc:creator>
  <cp:lastModifiedBy>鄭秀真</cp:lastModifiedBy>
  <dcterms:created xsi:type="dcterms:W3CDTF">2024-04-28T13:00:34Z</dcterms:created>
  <dcterms:modified xsi:type="dcterms:W3CDTF">2024-05-16T14:54:06Z</dcterms:modified>
</cp:coreProperties>
</file>
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0" yWindow="0" windowWidth="4545" windowHeight="5265" activeTab="1"/>
  </bookViews>
  <sheets>
    <sheet name="model" sheetId="33" r:id="rId1"/>
    <sheet name="Sheet1" sheetId="45" r:id="rId2"/>
    <sheet name="model_online" sheetId="42" r:id="rId3"/>
    <sheet name="실험1" sheetId="39" r:id="rId4"/>
    <sheet name="실험2" sheetId="41" r:id="rId5"/>
    <sheet name="model_bak3" sheetId="44" r:id="rId6"/>
    <sheet name="model_bak2" sheetId="43" r:id="rId7"/>
    <sheet name="model_bak" sheetId="38" r:id="rId8"/>
    <sheet name="work" sheetId="34" r:id="rId9"/>
    <sheet name="1,2,3桁betcnt,hitrate調査 (2)" sheetId="36" r:id="rId10"/>
    <sheet name="1,2,3桁betcnt,hitrate調査" sheetId="35" r:id="rId11"/>
    <sheet name="89100,79100,99100比較" sheetId="37" r:id="rId12"/>
    <sheet name="Sheet2" sheetId="40" r:id="rId13"/>
  </sheets>
  <definedNames>
    <definedName name="_xlnm._FilterDatabase" localSheetId="10" hidden="1">'1,2,3桁betcnt,hitrate調査'!$A$24:$H$132</definedName>
    <definedName name="_xlnm._FilterDatabase" localSheetId="9" hidden="1">'1,2,3桁betcnt,hitrate調査 (2)'!$J$12:$Q$48</definedName>
    <definedName name="_xlnm._FilterDatabase" localSheetId="0" hidden="1">model!$A$1:$T$40</definedName>
    <definedName name="_xlnm._FilterDatabase" localSheetId="7" hidden="1">model_bak!$A$1:$T$170</definedName>
    <definedName name="_xlnm._FilterDatabase" localSheetId="6" hidden="1">model_bak2!$A$1:$Q$104</definedName>
    <definedName name="_xlnm._FilterDatabase" localSheetId="5" hidden="1">model_bak3!$A$1:$T$105</definedName>
    <definedName name="_xlnm._FilterDatabase" localSheetId="2" hidden="1">model_online!$A$1:$Q$13</definedName>
    <definedName name="_xlnm._FilterDatabase" localSheetId="3" hidden="1">실험1!$B$2:$R$34</definedName>
  </definedNames>
  <calcPr calcId="152511"/>
</workbook>
</file>

<file path=xl/calcChain.xml><?xml version="1.0" encoding="utf-8"?>
<calcChain xmlns="http://schemas.openxmlformats.org/spreadsheetml/2006/main">
  <c r="B20" i="45" l="1"/>
  <c r="A27" i="45" l="1"/>
  <c r="I42" i="39" l="1"/>
  <c r="I41" i="39"/>
  <c r="I8" i="39"/>
  <c r="I7" i="39"/>
  <c r="I40" i="39"/>
  <c r="I39" i="39"/>
  <c r="I38" i="39"/>
  <c r="I37" i="39"/>
  <c r="I36" i="39"/>
  <c r="I35" i="39"/>
  <c r="I31" i="39"/>
  <c r="I32" i="39"/>
  <c r="I30" i="39"/>
  <c r="I28" i="39"/>
  <c r="I27" i="39"/>
  <c r="I25" i="39"/>
  <c r="I34" i="39"/>
  <c r="I33" i="39"/>
  <c r="I29" i="39"/>
  <c r="I26" i="39"/>
  <c r="I24" i="39"/>
  <c r="I23" i="39"/>
  <c r="I22" i="39"/>
  <c r="I21" i="39"/>
  <c r="I20" i="39"/>
  <c r="I19" i="39"/>
  <c r="I18" i="39"/>
  <c r="I17" i="39"/>
  <c r="I16" i="39"/>
  <c r="I15" i="39"/>
  <c r="I14" i="39"/>
  <c r="I13" i="39"/>
  <c r="I12" i="39"/>
  <c r="I11" i="39"/>
  <c r="I10" i="39"/>
  <c r="G122" i="40"/>
  <c r="H121" i="40" s="1"/>
  <c r="H118" i="40"/>
  <c r="H117" i="40"/>
  <c r="H116" i="40"/>
  <c r="H115" i="40"/>
  <c r="H114" i="40"/>
  <c r="H113" i="40"/>
  <c r="H112" i="40"/>
  <c r="H111" i="40"/>
  <c r="H110" i="40"/>
  <c r="H109" i="40"/>
  <c r="H108" i="40"/>
  <c r="H107" i="40"/>
  <c r="H106" i="40"/>
  <c r="H102" i="40"/>
  <c r="H101" i="40"/>
  <c r="H100" i="40"/>
  <c r="H99" i="40"/>
  <c r="H98" i="40"/>
  <c r="H97" i="40"/>
  <c r="H96" i="40"/>
  <c r="H95" i="40"/>
  <c r="H94" i="40"/>
  <c r="H93" i="40"/>
  <c r="H92" i="40"/>
  <c r="H91" i="40"/>
  <c r="H90" i="40"/>
  <c r="H86" i="40"/>
  <c r="H85" i="40"/>
  <c r="H84" i="40"/>
  <c r="H83" i="40"/>
  <c r="H82" i="40"/>
  <c r="H81" i="40"/>
  <c r="H80" i="40"/>
  <c r="H79" i="40"/>
  <c r="H78" i="40"/>
  <c r="H77" i="40"/>
  <c r="H76" i="40"/>
  <c r="H75" i="40"/>
  <c r="H74" i="40"/>
  <c r="H70" i="40"/>
  <c r="H69" i="40"/>
  <c r="H68" i="40"/>
  <c r="H67" i="40"/>
  <c r="H66" i="40"/>
  <c r="H65" i="40"/>
  <c r="H64" i="40"/>
  <c r="H63" i="40"/>
  <c r="H62" i="40"/>
  <c r="H61" i="40"/>
  <c r="H60" i="40"/>
  <c r="H59" i="40"/>
  <c r="H58" i="40"/>
  <c r="H54" i="40"/>
  <c r="H53" i="40"/>
  <c r="H52" i="40"/>
  <c r="H51" i="40"/>
  <c r="H50" i="40"/>
  <c r="H49" i="40"/>
  <c r="H48" i="40"/>
  <c r="H47" i="40"/>
  <c r="H46" i="40"/>
  <c r="H45" i="40"/>
  <c r="H44" i="40"/>
  <c r="H43" i="40"/>
  <c r="H42" i="40"/>
  <c r="H38" i="40"/>
  <c r="H37" i="40"/>
  <c r="H36" i="40"/>
  <c r="H35" i="40"/>
  <c r="H34" i="40"/>
  <c r="H33" i="40"/>
  <c r="H32" i="40"/>
  <c r="H31" i="40"/>
  <c r="H30" i="40"/>
  <c r="H29" i="40"/>
  <c r="H28" i="40"/>
  <c r="H27" i="40"/>
  <c r="H26" i="40"/>
  <c r="H22" i="40"/>
  <c r="H21" i="40"/>
  <c r="H20" i="40"/>
  <c r="H19" i="40"/>
  <c r="H18" i="40"/>
  <c r="H17" i="40"/>
  <c r="H16" i="40"/>
  <c r="H15" i="40"/>
  <c r="H14" i="40"/>
  <c r="H13" i="40"/>
  <c r="H12" i="40"/>
  <c r="H11" i="40"/>
  <c r="H10" i="40"/>
  <c r="H6" i="40"/>
  <c r="H5" i="40"/>
  <c r="H4" i="40"/>
  <c r="H3" i="40"/>
  <c r="I3" i="40" s="1"/>
  <c r="I4" i="40" s="1"/>
  <c r="I5" i="40" s="1"/>
  <c r="I6" i="40" s="1"/>
  <c r="H2" i="40"/>
  <c r="D4" i="40"/>
  <c r="D5" i="40" s="1"/>
  <c r="D6" i="40" s="1"/>
  <c r="D7" i="40" s="1"/>
  <c r="D8" i="40" s="1"/>
  <c r="D9" i="40" s="1"/>
  <c r="D10" i="40" s="1"/>
  <c r="D11" i="40" s="1"/>
  <c r="D12" i="40" s="1"/>
  <c r="D13" i="40" s="1"/>
  <c r="D14" i="40" s="1"/>
  <c r="D15" i="40" s="1"/>
  <c r="D16" i="40" s="1"/>
  <c r="D17" i="40" s="1"/>
  <c r="D18" i="40" s="1"/>
  <c r="D19" i="40" s="1"/>
  <c r="D20" i="40" s="1"/>
  <c r="D21" i="40" s="1"/>
  <c r="D22" i="40" s="1"/>
  <c r="D23" i="40" s="1"/>
  <c r="D24" i="40" s="1"/>
  <c r="D25" i="40" s="1"/>
  <c r="D26" i="40" s="1"/>
  <c r="D27" i="40" s="1"/>
  <c r="D28" i="40" s="1"/>
  <c r="D29" i="40" s="1"/>
  <c r="D30" i="40" s="1"/>
  <c r="D31" i="40" s="1"/>
  <c r="D32" i="40" s="1"/>
  <c r="D33" i="40" s="1"/>
  <c r="D34" i="40" s="1"/>
  <c r="D35" i="40" s="1"/>
  <c r="D36" i="40" s="1"/>
  <c r="D37" i="40" s="1"/>
  <c r="D38" i="40" s="1"/>
  <c r="D39" i="40" s="1"/>
  <c r="D40" i="40" s="1"/>
  <c r="D41" i="40" s="1"/>
  <c r="D42" i="40" s="1"/>
  <c r="D43" i="40" s="1"/>
  <c r="D44" i="40" s="1"/>
  <c r="D45" i="40" s="1"/>
  <c r="D46" i="40" s="1"/>
  <c r="D47" i="40" s="1"/>
  <c r="D48" i="40" s="1"/>
  <c r="D49" i="40" s="1"/>
  <c r="D50" i="40" s="1"/>
  <c r="D51" i="40" s="1"/>
  <c r="D52" i="40" s="1"/>
  <c r="D53" i="40" s="1"/>
  <c r="D54" i="40" s="1"/>
  <c r="D55" i="40" s="1"/>
  <c r="D56" i="40" s="1"/>
  <c r="D57" i="40" s="1"/>
  <c r="D58" i="40" s="1"/>
  <c r="D59" i="40" s="1"/>
  <c r="D60" i="40" s="1"/>
  <c r="D61" i="40" s="1"/>
  <c r="D62" i="40" s="1"/>
  <c r="D63" i="40" s="1"/>
  <c r="D64" i="40" s="1"/>
  <c r="D65" i="40" s="1"/>
  <c r="D66" i="40" s="1"/>
  <c r="D67" i="40" s="1"/>
  <c r="D68" i="40" s="1"/>
  <c r="D69" i="40" s="1"/>
  <c r="D70" i="40" s="1"/>
  <c r="D71" i="40" s="1"/>
  <c r="D72" i="40" s="1"/>
  <c r="D73" i="40" s="1"/>
  <c r="D74" i="40" s="1"/>
  <c r="D75" i="40" s="1"/>
  <c r="D76" i="40" s="1"/>
  <c r="D77" i="40" s="1"/>
  <c r="D78" i="40" s="1"/>
  <c r="D79" i="40" s="1"/>
  <c r="D80" i="40" s="1"/>
  <c r="D81" i="40" s="1"/>
  <c r="D82" i="40" s="1"/>
  <c r="D83" i="40" s="1"/>
  <c r="D84" i="40" s="1"/>
  <c r="D85" i="40" s="1"/>
  <c r="D86" i="40" s="1"/>
  <c r="D87" i="40" s="1"/>
  <c r="D88" i="40" s="1"/>
  <c r="D89" i="40" s="1"/>
  <c r="D90" i="40" s="1"/>
  <c r="D91" i="40" s="1"/>
  <c r="D92" i="40" s="1"/>
  <c r="D93" i="40" s="1"/>
  <c r="D94" i="40" s="1"/>
  <c r="D95" i="40" s="1"/>
  <c r="D96" i="40" s="1"/>
  <c r="D97" i="40" s="1"/>
  <c r="D98" i="40" s="1"/>
  <c r="D99" i="40" s="1"/>
  <c r="D100" i="40" s="1"/>
  <c r="D101" i="40" s="1"/>
  <c r="D102" i="40" s="1"/>
  <c r="D103" i="40" s="1"/>
  <c r="D104" i="40" s="1"/>
  <c r="D105" i="40" s="1"/>
  <c r="D106" i="40" s="1"/>
  <c r="D107" i="40" s="1"/>
  <c r="D108" i="40" s="1"/>
  <c r="D109" i="40" s="1"/>
  <c r="D110" i="40" s="1"/>
  <c r="D111" i="40" s="1"/>
  <c r="D112" i="40" s="1"/>
  <c r="D113" i="40" s="1"/>
  <c r="D114" i="40" s="1"/>
  <c r="D115" i="40" s="1"/>
  <c r="D116" i="40" s="1"/>
  <c r="D117" i="40" s="1"/>
  <c r="D118" i="40" s="1"/>
  <c r="D119" i="40" s="1"/>
  <c r="D120" i="40" s="1"/>
  <c r="D121" i="40" s="1"/>
  <c r="D3" i="40"/>
  <c r="C121" i="40"/>
  <c r="C120" i="40"/>
  <c r="C119" i="40"/>
  <c r="C118" i="40"/>
  <c r="C117" i="40"/>
  <c r="C116" i="40"/>
  <c r="C115" i="40"/>
  <c r="C114" i="40"/>
  <c r="C113" i="40"/>
  <c r="C112" i="40"/>
  <c r="C111" i="40"/>
  <c r="C110" i="40"/>
  <c r="C109" i="40"/>
  <c r="C108" i="40"/>
  <c r="C107" i="40"/>
  <c r="C106" i="40"/>
  <c r="C105" i="40"/>
  <c r="C104" i="40"/>
  <c r="C103" i="40"/>
  <c r="C102" i="40"/>
  <c r="C101" i="40"/>
  <c r="C100" i="40"/>
  <c r="C99" i="40"/>
  <c r="C98" i="40"/>
  <c r="C97" i="40"/>
  <c r="C96" i="40"/>
  <c r="C95" i="40"/>
  <c r="C94" i="40"/>
  <c r="C93" i="40"/>
  <c r="C92" i="40"/>
  <c r="C91" i="40"/>
  <c r="C90" i="40"/>
  <c r="C89" i="40"/>
  <c r="C88" i="40"/>
  <c r="C87" i="40"/>
  <c r="C86" i="40"/>
  <c r="C85" i="40"/>
  <c r="C84" i="40"/>
  <c r="C83" i="40"/>
  <c r="C82" i="40"/>
  <c r="C81" i="40"/>
  <c r="C80" i="40"/>
  <c r="C79" i="40"/>
  <c r="C78" i="40"/>
  <c r="C77" i="40"/>
  <c r="C76" i="40"/>
  <c r="C75" i="40"/>
  <c r="C74" i="40"/>
  <c r="C73" i="40"/>
  <c r="C72" i="40"/>
  <c r="C71" i="40"/>
  <c r="C70" i="40"/>
  <c r="C69" i="40"/>
  <c r="C68" i="40"/>
  <c r="C67" i="40"/>
  <c r="C66" i="40"/>
  <c r="C65" i="40"/>
  <c r="C64" i="40"/>
  <c r="C63" i="40"/>
  <c r="C62" i="40"/>
  <c r="C61" i="40"/>
  <c r="C60" i="40"/>
  <c r="C59" i="40"/>
  <c r="C58" i="40"/>
  <c r="C57" i="40"/>
  <c r="C56" i="40"/>
  <c r="C55" i="40"/>
  <c r="C54" i="40"/>
  <c r="C53" i="40"/>
  <c r="C52" i="40"/>
  <c r="C51" i="40"/>
  <c r="C50" i="40"/>
  <c r="C49" i="40"/>
  <c r="C48" i="40"/>
  <c r="C47" i="40"/>
  <c r="C46" i="40"/>
  <c r="C45" i="40"/>
  <c r="C44" i="40"/>
  <c r="C43" i="40"/>
  <c r="C42" i="40"/>
  <c r="C41" i="40"/>
  <c r="C40" i="40"/>
  <c r="C39" i="40"/>
  <c r="C38" i="40"/>
  <c r="C37" i="40"/>
  <c r="C36" i="40"/>
  <c r="C35" i="40"/>
  <c r="C34" i="40"/>
  <c r="C33" i="40"/>
  <c r="C32" i="40"/>
  <c r="C31" i="40"/>
  <c r="C30" i="40"/>
  <c r="C29" i="40"/>
  <c r="C28" i="40"/>
  <c r="C27" i="40"/>
  <c r="C26" i="40"/>
  <c r="C25" i="40"/>
  <c r="C24" i="40"/>
  <c r="C23" i="40"/>
  <c r="C22" i="40"/>
  <c r="C21" i="40"/>
  <c r="C20" i="40"/>
  <c r="C19" i="40"/>
  <c r="C18" i="40"/>
  <c r="C17" i="40"/>
  <c r="C16" i="40"/>
  <c r="C15" i="40"/>
  <c r="C14" i="40"/>
  <c r="C13" i="40"/>
  <c r="C12" i="40"/>
  <c r="C11" i="40"/>
  <c r="C10" i="40"/>
  <c r="C9" i="40"/>
  <c r="C8" i="40"/>
  <c r="C7" i="40"/>
  <c r="C6" i="40"/>
  <c r="C5" i="40"/>
  <c r="C4" i="40"/>
  <c r="C3" i="40"/>
  <c r="C2" i="40"/>
  <c r="B122" i="40"/>
  <c r="I6" i="39"/>
  <c r="I5" i="39"/>
  <c r="I4" i="39"/>
  <c r="I3" i="39"/>
  <c r="H7" i="40" l="1"/>
  <c r="I7" i="40" s="1"/>
  <c r="I8" i="40" s="1"/>
  <c r="I9" i="40" s="1"/>
  <c r="I10" i="40" s="1"/>
  <c r="I11" i="40" s="1"/>
  <c r="I12" i="40" s="1"/>
  <c r="I13" i="40" s="1"/>
  <c r="I14" i="40" s="1"/>
  <c r="I15" i="40" s="1"/>
  <c r="I16" i="40" s="1"/>
  <c r="I17" i="40" s="1"/>
  <c r="I18" i="40" s="1"/>
  <c r="I19" i="40" s="1"/>
  <c r="I20" i="40" s="1"/>
  <c r="I21" i="40" s="1"/>
  <c r="I22" i="40" s="1"/>
  <c r="I23" i="40" s="1"/>
  <c r="I24" i="40" s="1"/>
  <c r="I25" i="40" s="1"/>
  <c r="I26" i="40" s="1"/>
  <c r="I27" i="40" s="1"/>
  <c r="I28" i="40" s="1"/>
  <c r="I29" i="40" s="1"/>
  <c r="I30" i="40" s="1"/>
  <c r="I31" i="40" s="1"/>
  <c r="I32" i="40" s="1"/>
  <c r="I33" i="40" s="1"/>
  <c r="I34" i="40" s="1"/>
  <c r="I35" i="40" s="1"/>
  <c r="I36" i="40" s="1"/>
  <c r="I37" i="40" s="1"/>
  <c r="I38" i="40" s="1"/>
  <c r="I39" i="40" s="1"/>
  <c r="I40" i="40" s="1"/>
  <c r="I41" i="40" s="1"/>
  <c r="I42" i="40" s="1"/>
  <c r="I43" i="40" s="1"/>
  <c r="I44" i="40" s="1"/>
  <c r="I45" i="40" s="1"/>
  <c r="I46" i="40" s="1"/>
  <c r="I47" i="40" s="1"/>
  <c r="I48" i="40" s="1"/>
  <c r="I49" i="40" s="1"/>
  <c r="I50" i="40" s="1"/>
  <c r="I51" i="40" s="1"/>
  <c r="I52" i="40" s="1"/>
  <c r="I53" i="40" s="1"/>
  <c r="I54" i="40" s="1"/>
  <c r="I55" i="40" s="1"/>
  <c r="I56" i="40" s="1"/>
  <c r="I57" i="40" s="1"/>
  <c r="I58" i="40" s="1"/>
  <c r="I59" i="40" s="1"/>
  <c r="I60" i="40" s="1"/>
  <c r="I61" i="40" s="1"/>
  <c r="I62" i="40" s="1"/>
  <c r="I63" i="40" s="1"/>
  <c r="I64" i="40" s="1"/>
  <c r="I65" i="40" s="1"/>
  <c r="I66" i="40" s="1"/>
  <c r="I67" i="40" s="1"/>
  <c r="I68" i="40" s="1"/>
  <c r="I69" i="40" s="1"/>
  <c r="I70" i="40" s="1"/>
  <c r="I71" i="40" s="1"/>
  <c r="I72" i="40" s="1"/>
  <c r="I73" i="40" s="1"/>
  <c r="I74" i="40" s="1"/>
  <c r="I75" i="40" s="1"/>
  <c r="I76" i="40" s="1"/>
  <c r="I77" i="40" s="1"/>
  <c r="I78" i="40" s="1"/>
  <c r="I79" i="40" s="1"/>
  <c r="I80" i="40" s="1"/>
  <c r="I81" i="40" s="1"/>
  <c r="I82" i="40" s="1"/>
  <c r="I83" i="40" s="1"/>
  <c r="I84" i="40" s="1"/>
  <c r="I85" i="40" s="1"/>
  <c r="I86" i="40" s="1"/>
  <c r="I87" i="40" s="1"/>
  <c r="I88" i="40" s="1"/>
  <c r="I89" i="40" s="1"/>
  <c r="I90" i="40" s="1"/>
  <c r="I91" i="40" s="1"/>
  <c r="I92" i="40" s="1"/>
  <c r="I93" i="40" s="1"/>
  <c r="I94" i="40" s="1"/>
  <c r="I95" i="40" s="1"/>
  <c r="I96" i="40" s="1"/>
  <c r="I97" i="40" s="1"/>
  <c r="I98" i="40" s="1"/>
  <c r="I99" i="40" s="1"/>
  <c r="I100" i="40" s="1"/>
  <c r="I101" i="40" s="1"/>
  <c r="I102" i="40" s="1"/>
  <c r="I103" i="40" s="1"/>
  <c r="I104" i="40" s="1"/>
  <c r="I105" i="40" s="1"/>
  <c r="I106" i="40" s="1"/>
  <c r="I107" i="40" s="1"/>
  <c r="I108" i="40" s="1"/>
  <c r="I109" i="40" s="1"/>
  <c r="I110" i="40" s="1"/>
  <c r="I111" i="40" s="1"/>
  <c r="I112" i="40" s="1"/>
  <c r="I113" i="40" s="1"/>
  <c r="I114" i="40" s="1"/>
  <c r="I115" i="40" s="1"/>
  <c r="I116" i="40" s="1"/>
  <c r="I117" i="40" s="1"/>
  <c r="I118" i="40" s="1"/>
  <c r="I119" i="40" s="1"/>
  <c r="I120" i="40" s="1"/>
  <c r="I121" i="40" s="1"/>
  <c r="H23" i="40"/>
  <c r="H39" i="40"/>
  <c r="H55" i="40"/>
  <c r="H71" i="40"/>
  <c r="H87" i="40"/>
  <c r="H103" i="40"/>
  <c r="H119" i="40"/>
  <c r="H8" i="40"/>
  <c r="H24" i="40"/>
  <c r="H40" i="40"/>
  <c r="H56" i="40"/>
  <c r="H72" i="40"/>
  <c r="H88" i="40"/>
  <c r="H104" i="40"/>
  <c r="H120" i="40"/>
  <c r="H9" i="40"/>
  <c r="H25" i="40"/>
  <c r="H41" i="40"/>
  <c r="H57" i="40"/>
  <c r="H73" i="40"/>
  <c r="H89" i="40"/>
  <c r="H105" i="40"/>
</calcChain>
</file>

<file path=xl/comments1.xml><?xml version="1.0" encoding="utf-8"?>
<comments xmlns="http://schemas.openxmlformats.org/spreadsheetml/2006/main">
  <authors>
    <author>만든 이</author>
  </authors>
  <commentList>
    <comment ref="D1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H1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S1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만든 이</author>
  </authors>
  <commentList>
    <comment ref="D1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G1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P1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만든 이</author>
  </authors>
  <commentList>
    <comment ref="C10" authorId="0" shapeId="0">
      <text>
        <r>
          <rPr>
            <b/>
            <sz val="11"/>
            <color indexed="81"/>
            <rFont val="ＭＳ Ｐゴシック"/>
            <family val="2"/>
          </rPr>
          <t xml:space="preserve"> 99100</t>
        </r>
        <r>
          <rPr>
            <b/>
            <sz val="11"/>
            <color indexed="81"/>
            <rFont val="굴림"/>
            <family val="3"/>
            <charset val="129"/>
          </rPr>
          <t>을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첫자리</t>
        </r>
        <r>
          <rPr>
            <b/>
            <sz val="11"/>
            <color indexed="81"/>
            <rFont val="ＭＳ Ｐゴシック"/>
            <family val="2"/>
          </rPr>
          <t xml:space="preserve"> 1234</t>
        </r>
        <r>
          <rPr>
            <b/>
            <sz val="11"/>
            <color indexed="81"/>
            <rFont val="굴림"/>
            <family val="3"/>
            <charset val="129"/>
          </rPr>
          <t>제한</t>
        </r>
        <r>
          <rPr>
            <b/>
            <sz val="11"/>
            <color indexed="81"/>
            <rFont val="ＭＳ Ｐゴシック"/>
            <family val="2"/>
          </rPr>
          <t xml:space="preserve">, </t>
        </r>
        <r>
          <rPr>
            <b/>
            <sz val="11"/>
            <color indexed="81"/>
            <rFont val="굴림"/>
            <family val="3"/>
            <charset val="129"/>
          </rPr>
          <t>학습률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조정</t>
        </r>
      </text>
    </comment>
    <comment ref="C15" authorId="0" shapeId="0">
      <text>
        <r>
          <rPr>
            <b/>
            <sz val="11"/>
            <color indexed="81"/>
            <rFont val="ＭＳ Ｐゴシック"/>
            <family val="2"/>
          </rPr>
          <t>99103</t>
        </r>
        <r>
          <rPr>
            <b/>
            <sz val="11"/>
            <color indexed="81"/>
            <rFont val="굴림"/>
            <family val="3"/>
            <charset val="129"/>
          </rPr>
          <t>을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첫자리</t>
        </r>
        <r>
          <rPr>
            <b/>
            <sz val="11"/>
            <color indexed="81"/>
            <rFont val="ＭＳ Ｐゴシック"/>
            <family val="2"/>
          </rPr>
          <t xml:space="preserve"> 1234</t>
        </r>
        <r>
          <rPr>
            <b/>
            <sz val="11"/>
            <color indexed="81"/>
            <rFont val="굴림"/>
            <family val="3"/>
            <charset val="129"/>
          </rPr>
          <t>제한</t>
        </r>
        <r>
          <rPr>
            <b/>
            <sz val="11"/>
            <color indexed="81"/>
            <rFont val="ＭＳ Ｐゴシック"/>
            <family val="2"/>
          </rPr>
          <t xml:space="preserve">, </t>
        </r>
        <r>
          <rPr>
            <b/>
            <sz val="11"/>
            <color indexed="81"/>
            <rFont val="굴림"/>
            <family val="3"/>
            <charset val="129"/>
          </rPr>
          <t>학습률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조정</t>
        </r>
      </text>
    </comment>
    <comment ref="B36" authorId="0" shapeId="0">
      <text>
        <r>
          <rPr>
            <b/>
            <sz val="11"/>
            <color indexed="81"/>
            <rFont val="ＭＳ Ｐゴシック"/>
            <family val="2"/>
          </rPr>
          <t>枠番1,2,6</t>
        </r>
      </text>
    </comment>
    <comment ref="B41" authorId="0" shapeId="0">
      <text>
        <r>
          <rPr>
            <b/>
            <sz val="11"/>
            <color indexed="81"/>
            <rFont val="ＭＳ Ｐゴシック"/>
            <family val="2"/>
          </rPr>
          <t xml:space="preserve">選手傾向+en+nw 雑feature削除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만든 이</author>
  </authors>
  <commentList>
    <comment ref="D1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H1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S1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>
  <authors>
    <author>만든 이</author>
  </authors>
  <commentList>
    <comment ref="D1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G1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P1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만든 이</author>
  </authors>
  <commentList>
    <comment ref="D1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G1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S1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>
  <authors>
    <author>만든 이</author>
  </authors>
  <commentList>
    <comment ref="A94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A97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A109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  <comment ref="D114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G114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S114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  <comment ref="A116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17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18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19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0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1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2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3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4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5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</commentList>
</comments>
</file>

<file path=xl/sharedStrings.xml><?xml version="1.0" encoding="utf-8"?>
<sst xmlns="http://schemas.openxmlformats.org/spreadsheetml/2006/main" count="10792" uniqueCount="790">
  <si>
    <t>no</t>
    <phoneticPr fontId="5"/>
  </si>
  <si>
    <t>sanrentanprize</t>
  </si>
  <si>
    <t>model_start_ymd</t>
  </si>
  <si>
    <t>model_end_ymd</t>
  </si>
  <si>
    <t>model_data_days</t>
  </si>
  <si>
    <t>model_interval_days</t>
  </si>
  <si>
    <t>data_use_range</t>
  </si>
  <si>
    <t>outlier_method</t>
  </si>
  <si>
    <t>outlier_field</t>
  </si>
  <si>
    <t>features_rank1</t>
  </si>
  <si>
    <t>algorithm_rank1</t>
  </si>
  <si>
    <t>class_rank1</t>
  </si>
  <si>
    <t>features_rank2</t>
  </si>
  <si>
    <t>algorithm_rank2</t>
  </si>
  <si>
    <t>class_rank2</t>
  </si>
  <si>
    <t>features_rank3</t>
  </si>
  <si>
    <t>algorithm_rank3</t>
  </si>
  <si>
    <t>class_rank3</t>
  </si>
  <si>
    <t>grade_condition</t>
  </si>
  <si>
    <t>yes</t>
  </si>
  <si>
    <t>arff_sql_id</t>
  </si>
  <si>
    <t>classification_sql_id</t>
  </si>
  <si>
    <t>arff_1</t>
  </si>
  <si>
    <t>r1-123456</t>
    <phoneticPr fontId="5"/>
  </si>
  <si>
    <t>30</t>
    <phoneticPr fontId="5"/>
  </si>
  <si>
    <t>x</t>
    <phoneticPr fontId="5"/>
  </si>
  <si>
    <t>'ip', 'G1', 'G2', 'G3', 'SG'</t>
    <phoneticPr fontId="5"/>
  </si>
  <si>
    <t>cf_bayesnet_wk</t>
    <phoneticPr fontId="5"/>
  </si>
  <si>
    <t>cf_lgbm-1_py</t>
    <phoneticPr fontId="5"/>
  </si>
  <si>
    <t>fixed=1</t>
    <phoneticPr fontId="5"/>
  </si>
  <si>
    <t>20190101</t>
    <phoneticPr fontId="5"/>
  </si>
  <si>
    <t>99001</t>
    <phoneticPr fontId="5"/>
  </si>
  <si>
    <t>clf_1</t>
    <phoneticPr fontId="5"/>
  </si>
  <si>
    <t>'ip', 'G3', 'G2', 'G1', 'SG'</t>
    <phoneticPr fontId="5"/>
  </si>
  <si>
    <t>99002</t>
    <phoneticPr fontId="5"/>
  </si>
  <si>
    <t>99003</t>
    <phoneticPr fontId="5"/>
  </si>
  <si>
    <t>99004</t>
    <phoneticPr fontId="5"/>
  </si>
  <si>
    <t>99005</t>
    <phoneticPr fontId="5"/>
  </si>
  <si>
    <t>99006</t>
    <phoneticPr fontId="5"/>
  </si>
  <si>
    <t>99007</t>
    <phoneticPr fontId="5"/>
  </si>
  <si>
    <t>20211224</t>
    <phoneticPr fontId="5"/>
  </si>
  <si>
    <r>
      <t>## category feature</t>
    </r>
    <r>
      <rPr>
        <sz val="12"/>
        <color theme="1"/>
        <rFont val="맑은 고딕"/>
        <family val="3"/>
        <charset val="129"/>
        <scheme val="minor"/>
      </rPr>
      <t>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경우</t>
    </r>
    <phoneticPr fontId="5"/>
  </si>
  <si>
    <r>
      <t>## numeric feature</t>
    </r>
    <r>
      <rPr>
        <sz val="12"/>
        <color theme="1"/>
        <rFont val="맑은 고딕"/>
        <family val="3"/>
        <charset val="129"/>
        <scheme val="minor"/>
      </rPr>
      <t>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경우</t>
    </r>
    <phoneticPr fontId="5"/>
  </si>
  <si>
    <r>
      <t>## category. numeric feature</t>
    </r>
    <r>
      <rPr>
        <sz val="12"/>
        <color theme="1"/>
        <rFont val="맑은 고딕"/>
        <family val="3"/>
        <charset val="129"/>
        <scheme val="minor"/>
      </rPr>
      <t>혼합의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경우</t>
    </r>
    <phoneticPr fontId="5"/>
  </si>
  <si>
    <t>## ML없이 강제투표한 경우</t>
    <phoneticPr fontId="5"/>
  </si>
  <si>
    <t>model_no</t>
    <phoneticPr fontId="5"/>
  </si>
  <si>
    <t>cf_lgbm-2_py</t>
    <phoneticPr fontId="5"/>
  </si>
  <si>
    <t>cf_lgbm-3_py</t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</si>
  <si>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혼합</t>
    </r>
    <r>
      <rPr>
        <sz val="12"/>
        <color theme="1"/>
        <rFont val="맑은 고딕"/>
        <family val="2"/>
        <scheme val="minor"/>
      </rPr>
      <t>fearure   0.01, 0.001</t>
    </r>
    <phoneticPr fontId="5"/>
  </si>
  <si>
    <t>cf_lgbm-4_py</t>
    <phoneticPr fontId="5"/>
  </si>
  <si>
    <t>cf_lgbm-5_py</t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</si>
  <si>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혼합</t>
    </r>
    <r>
      <rPr>
        <sz val="12"/>
        <color theme="1"/>
        <rFont val="맑은 고딕"/>
        <family val="2"/>
        <scheme val="minor"/>
      </rPr>
      <t>fearure  0.2, 0.4</t>
    </r>
    <phoneticPr fontId="5"/>
  </si>
  <si>
    <r>
      <t># lgbm</t>
    </r>
    <r>
      <rPr>
        <b/>
        <sz val="12"/>
        <color theme="1"/>
        <rFont val="맑은 고딕"/>
        <family val="3"/>
        <charset val="129"/>
        <scheme val="minor"/>
      </rPr>
      <t>의</t>
    </r>
    <r>
      <rPr>
        <b/>
        <sz val="12"/>
        <color theme="1"/>
        <rFont val="맑은 고딕"/>
        <family val="2"/>
        <scheme val="minor"/>
      </rPr>
      <t xml:space="preserve"> learning-rate </t>
    </r>
    <r>
      <rPr>
        <b/>
        <sz val="12"/>
        <color theme="1"/>
        <rFont val="맑은 고딕"/>
        <family val="3"/>
        <charset val="129"/>
        <scheme val="minor"/>
      </rPr>
      <t>비교</t>
    </r>
    <phoneticPr fontId="5"/>
  </si>
  <si>
    <r>
      <t># bayes-weka</t>
    </r>
    <r>
      <rPr>
        <b/>
        <sz val="12"/>
        <color theme="1"/>
        <rFont val="맑은 고딕"/>
        <family val="3"/>
        <charset val="129"/>
        <scheme val="minor"/>
      </rPr>
      <t>와</t>
    </r>
    <r>
      <rPr>
        <b/>
        <sz val="12"/>
        <color theme="1"/>
        <rFont val="맑은 고딕"/>
        <family val="2"/>
        <scheme val="minor"/>
      </rPr>
      <t xml:space="preserve"> lgbm</t>
    </r>
    <r>
      <rPr>
        <b/>
        <sz val="12"/>
        <color theme="1"/>
        <rFont val="맑은 고딕"/>
        <family val="3"/>
        <charset val="129"/>
        <scheme val="minor"/>
      </rPr>
      <t>의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비교</t>
    </r>
    <r>
      <rPr>
        <b/>
        <sz val="12"/>
        <color theme="1"/>
        <rFont val="맑은 고딕"/>
        <family val="2"/>
        <scheme val="minor"/>
      </rPr>
      <t xml:space="preserve">. </t>
    </r>
    <phoneticPr fontId="5"/>
  </si>
  <si>
    <t>20180601</t>
    <phoneticPr fontId="5"/>
  </si>
  <si>
    <t>## jyo,race,turn,grade,raty,femcnt,alvt,time,fixent,wa12,en1,en2,en3,en4,en5,en6</t>
    <phoneticPr fontId="5"/>
  </si>
  <si>
    <t>## en1,en2,en3,en4,en5,en6</t>
    <phoneticPr fontId="5"/>
  </si>
  <si>
    <t>## en1…en6, lv1…lv6</t>
    <phoneticPr fontId="5"/>
  </si>
  <si>
    <t>## nw1..nw6</t>
    <phoneticPr fontId="5"/>
  </si>
  <si>
    <t>## nw1..nw6, n2w1…n2w6</t>
    <phoneticPr fontId="5"/>
  </si>
  <si>
    <t>en</t>
    <phoneticPr fontId="5"/>
  </si>
  <si>
    <t>nw</t>
    <phoneticPr fontId="5"/>
  </si>
  <si>
    <t>fixed</t>
    <phoneticPr fontId="5"/>
  </si>
  <si>
    <t>en_nw_ext_1</t>
  </si>
  <si>
    <t>en_ext_1</t>
  </si>
  <si>
    <t>en_lv</t>
  </si>
  <si>
    <t>nw_n2w</t>
  </si>
  <si>
    <t>## en1..en6, nw1…nw6</t>
    <phoneticPr fontId="5"/>
  </si>
  <si>
    <t>en_nw</t>
    <phoneticPr fontId="5"/>
  </si>
  <si>
    <r>
      <t># feature</t>
    </r>
    <r>
      <rPr>
        <b/>
        <sz val="12"/>
        <color theme="1"/>
        <rFont val="맑은 고딕"/>
        <family val="3"/>
        <charset val="129"/>
        <scheme val="minor"/>
      </rPr>
      <t>를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확장해서</t>
    </r>
    <r>
      <rPr>
        <b/>
        <sz val="12"/>
        <color theme="1"/>
        <rFont val="맑은 고딕"/>
        <family val="2"/>
        <scheme val="minor"/>
      </rPr>
      <t xml:space="preserve"> bayes weka</t>
    </r>
    <r>
      <rPr>
        <b/>
        <sz val="12"/>
        <color theme="1"/>
        <rFont val="맑은 고딕"/>
        <family val="3"/>
        <charset val="129"/>
        <scheme val="minor"/>
      </rPr>
      <t>와</t>
    </r>
    <r>
      <rPr>
        <b/>
        <sz val="12"/>
        <color theme="1"/>
        <rFont val="맑은 고딕"/>
        <family val="2"/>
        <scheme val="minor"/>
      </rPr>
      <t xml:space="preserve"> lgbm</t>
    </r>
    <r>
      <rPr>
        <b/>
        <sz val="12"/>
        <color theme="1"/>
        <rFont val="맑은 고딕"/>
        <family val="3"/>
        <charset val="129"/>
        <scheme val="minor"/>
      </rPr>
      <t>을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비교</t>
    </r>
    <r>
      <rPr>
        <b/>
        <sz val="12"/>
        <color theme="1"/>
        <rFont val="맑은 고딕"/>
        <family val="2"/>
        <scheme val="minor"/>
      </rPr>
      <t xml:space="preserve">, </t>
    </r>
    <r>
      <rPr>
        <b/>
        <sz val="12"/>
        <color theme="1"/>
        <rFont val="맑은 고딕"/>
        <family val="3"/>
        <charset val="129"/>
        <scheme val="minor"/>
      </rPr>
      <t>이하부터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날짜범위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바뀜</t>
    </r>
    <phoneticPr fontId="5"/>
  </si>
  <si>
    <t>## jyo,race,turn,grade,raty,femcnt,alvt,time,fixent,wa12,nw1,nw2,nw3,nw4,nw5,nw6</t>
    <phoneticPr fontId="5"/>
  </si>
  <si>
    <t>nw_ext_1</t>
    <phoneticPr fontId="5"/>
  </si>
  <si>
    <t>en_lv</t>
    <phoneticPr fontId="5"/>
  </si>
  <si>
    <t>en_ext_1</t>
    <phoneticPr fontId="5"/>
  </si>
  <si>
    <t>nw_ext_1</t>
    <phoneticPr fontId="5"/>
  </si>
  <si>
    <t>r1-1x</t>
  </si>
  <si>
    <t>r1-2x</t>
    <phoneticPr fontId="5"/>
  </si>
  <si>
    <r>
      <t># lgbm</t>
    </r>
    <r>
      <rPr>
        <b/>
        <sz val="12"/>
        <color theme="1"/>
        <rFont val="맑은 고딕"/>
        <family val="3"/>
        <charset val="129"/>
        <scheme val="minor"/>
      </rPr>
      <t>분석</t>
    </r>
    <phoneticPr fontId="5"/>
  </si>
  <si>
    <r>
      <t xml:space="preserve">## lgbm ex_ext_1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양자택일식</t>
    </r>
    <r>
      <rPr>
        <sz val="12"/>
        <color theme="1"/>
        <rFont val="맑은 고딕"/>
        <family val="2"/>
        <scheme val="minor"/>
      </rPr>
      <t xml:space="preserve"> class</t>
    </r>
    <r>
      <rPr>
        <sz val="12"/>
        <color theme="1"/>
        <rFont val="맑은 고딕"/>
        <family val="3"/>
        <charset val="129"/>
        <scheme val="minor"/>
      </rPr>
      <t>확인</t>
    </r>
    <r>
      <rPr>
        <sz val="12"/>
        <color theme="1"/>
        <rFont val="맑은 고딕"/>
        <family val="2"/>
        <scheme val="minor"/>
      </rPr>
      <t xml:space="preserve">  </t>
    </r>
    <phoneticPr fontId="5"/>
  </si>
  <si>
    <r>
      <t xml:space="preserve">## lgbm ex_ext_1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학습기간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조정</t>
    </r>
    <phoneticPr fontId="5"/>
  </si>
  <si>
    <t>1095</t>
    <phoneticPr fontId="5"/>
  </si>
  <si>
    <t>2555</t>
    <phoneticPr fontId="5"/>
  </si>
  <si>
    <r>
      <t xml:space="preserve">## lgbm ex_ext_1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outlier </t>
    </r>
    <r>
      <rPr>
        <sz val="12"/>
        <color theme="1"/>
        <rFont val="맑은 고딕"/>
        <family val="3"/>
        <charset val="129"/>
        <scheme val="minor"/>
      </rPr>
      <t>적용</t>
    </r>
    <phoneticPr fontId="5"/>
  </si>
  <si>
    <t>quartile</t>
    <phoneticPr fontId="5"/>
  </si>
  <si>
    <r>
      <t xml:space="preserve">## lgbm ex_ext_1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data_use_range</t>
    </r>
    <r>
      <rPr>
        <sz val="12"/>
        <color theme="1"/>
        <rFont val="맑은 고딕"/>
        <family val="3"/>
        <charset val="129"/>
        <scheme val="minor"/>
      </rPr>
      <t>해제</t>
    </r>
    <phoneticPr fontId="5"/>
  </si>
  <si>
    <t>no</t>
    <phoneticPr fontId="5"/>
  </si>
  <si>
    <t>en_nw_ext_2</t>
    <phoneticPr fontId="5"/>
  </si>
  <si>
    <r>
      <t xml:space="preserve">## lgbm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en_nw_ext2</t>
    </r>
    <r>
      <rPr>
        <sz val="12"/>
        <color theme="1"/>
        <rFont val="맑은 고딕"/>
        <family val="3"/>
        <charset val="129"/>
        <scheme val="minor"/>
      </rPr>
      <t>추가</t>
    </r>
    <phoneticPr fontId="5"/>
  </si>
  <si>
    <r>
      <t>## feature</t>
    </r>
    <r>
      <rPr>
        <sz val="12"/>
        <color theme="1"/>
        <rFont val="맑은 고딕"/>
        <family val="3"/>
        <charset val="129"/>
        <scheme val="minor"/>
      </rPr>
      <t>추가</t>
    </r>
    <phoneticPr fontId="5"/>
  </si>
  <si>
    <t>en_ext_5</t>
    <phoneticPr fontId="5"/>
  </si>
  <si>
    <t>nw_ext_5</t>
    <phoneticPr fontId="5"/>
  </si>
  <si>
    <t>en_nw_ext_5</t>
    <phoneticPr fontId="5"/>
  </si>
  <si>
    <r>
      <t># lgbm</t>
    </r>
    <r>
      <rPr>
        <b/>
        <sz val="12"/>
        <color theme="1"/>
        <rFont val="맑은 고딕"/>
        <family val="3"/>
        <charset val="129"/>
        <scheme val="minor"/>
      </rPr>
      <t>에서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선출한</t>
    </r>
    <r>
      <rPr>
        <b/>
        <sz val="12"/>
        <color theme="1"/>
        <rFont val="맑은 고딕"/>
        <family val="2"/>
        <scheme val="minor"/>
      </rPr>
      <t xml:space="preserve"> featureset</t>
    </r>
    <r>
      <rPr>
        <b/>
        <sz val="12"/>
        <color theme="1"/>
        <rFont val="맑은 고딕"/>
        <family val="3"/>
        <charset val="129"/>
        <scheme val="minor"/>
      </rPr>
      <t>으로</t>
    </r>
    <r>
      <rPr>
        <b/>
        <sz val="12"/>
        <color theme="1"/>
        <rFont val="맑은 고딕"/>
        <family val="2"/>
        <scheme val="minor"/>
      </rPr>
      <t xml:space="preserve"> rank1,2,3</t>
    </r>
    <r>
      <rPr>
        <b/>
        <sz val="12"/>
        <color theme="1"/>
        <rFont val="맑은 고딕"/>
        <family val="3"/>
        <charset val="129"/>
        <scheme val="minor"/>
      </rPr>
      <t>을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조합해서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출력</t>
    </r>
    <phoneticPr fontId="5"/>
  </si>
  <si>
    <t>r2-123456</t>
  </si>
  <si>
    <t>r3-123456</t>
  </si>
  <si>
    <t>99035=(r1-123456)</t>
    <phoneticPr fontId="5"/>
  </si>
  <si>
    <t>r2-1-23456</t>
  </si>
  <si>
    <t>r3-12-3456</t>
  </si>
  <si>
    <t>r2-2x</t>
  </si>
  <si>
    <t>r3-3x</t>
  </si>
  <si>
    <r>
      <t>## featureset</t>
    </r>
    <r>
      <rPr>
        <sz val="12"/>
        <color theme="1"/>
        <rFont val="맑은 고딕"/>
        <family val="3"/>
        <charset val="129"/>
        <scheme val="minor"/>
      </rPr>
      <t>고정하여</t>
    </r>
    <r>
      <rPr>
        <sz val="12"/>
        <color theme="1"/>
        <rFont val="맑은 고딕"/>
        <family val="2"/>
        <scheme val="minor"/>
      </rPr>
      <t xml:space="preserve"> class</t>
    </r>
    <r>
      <rPr>
        <sz val="12"/>
        <color theme="1"/>
        <rFont val="맑은 고딕"/>
        <family val="3"/>
        <charset val="129"/>
        <scheme val="minor"/>
      </rPr>
      <t>조합</t>
    </r>
    <r>
      <rPr>
        <sz val="12"/>
        <color theme="1"/>
        <rFont val="맑은 고딕"/>
        <family val="2"/>
        <scheme val="minor"/>
      </rPr>
      <t>, 1,12,123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비교해보자</t>
    </r>
    <phoneticPr fontId="5"/>
  </si>
  <si>
    <t>r123x-type1</t>
  </si>
  <si>
    <t>r12-all</t>
    <phoneticPr fontId="5"/>
  </si>
  <si>
    <t>nw_ext_6</t>
    <phoneticPr fontId="5"/>
  </si>
  <si>
    <t>nw_ext_7</t>
    <phoneticPr fontId="5"/>
  </si>
  <si>
    <t>nw_ext_8</t>
    <phoneticPr fontId="5"/>
  </si>
  <si>
    <r>
      <t># nw_ext</t>
    </r>
    <r>
      <rPr>
        <b/>
        <sz val="12"/>
        <color theme="1"/>
        <rFont val="맑은 고딕"/>
        <family val="3"/>
        <charset val="129"/>
        <scheme val="minor"/>
      </rPr>
      <t>의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적중율을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높여서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완성형으로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예측</t>
    </r>
    <phoneticPr fontId="5"/>
  </si>
  <si>
    <t>r1-1x</t>
    <phoneticPr fontId="5"/>
  </si>
  <si>
    <t>r123-all</t>
    <phoneticPr fontId="5"/>
  </si>
  <si>
    <t>99043=(r1-123456)</t>
    <phoneticPr fontId="5"/>
  </si>
  <si>
    <r>
      <t># nw_ext</t>
    </r>
    <r>
      <rPr>
        <b/>
        <sz val="12"/>
        <color theme="1"/>
        <rFont val="맑은 고딕"/>
        <family val="3"/>
        <charset val="129"/>
        <scheme val="minor"/>
      </rPr>
      <t>의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적중율을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높여서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조합형으로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예측</t>
    </r>
    <phoneticPr fontId="5"/>
  </si>
  <si>
    <r>
      <t>#  regresssion</t>
    </r>
    <r>
      <rPr>
        <sz val="12"/>
        <color theme="1"/>
        <rFont val="맑은 고딕"/>
        <family val="3"/>
        <charset val="129"/>
        <scheme val="minor"/>
      </rPr>
      <t>연구</t>
    </r>
    <phoneticPr fontId="5"/>
  </si>
  <si>
    <t>x</t>
    <phoneticPr fontId="5"/>
  </si>
  <si>
    <t>x</t>
    <phoneticPr fontId="5"/>
  </si>
  <si>
    <t>arff_rg_1</t>
  </si>
  <si>
    <t>rg-3T-123</t>
    <phoneticPr fontId="5"/>
  </si>
  <si>
    <t>rgbet-1T-1</t>
    <phoneticPr fontId="5"/>
  </si>
  <si>
    <t>rgbet-2T-12</t>
    <phoneticPr fontId="5"/>
  </si>
  <si>
    <t>rgbet-3T-123</t>
    <phoneticPr fontId="5"/>
  </si>
  <si>
    <t>arff_rgbet_1</t>
    <phoneticPr fontId="5"/>
  </si>
  <si>
    <r>
      <t>## odds monitor</t>
    </r>
    <r>
      <rPr>
        <sz val="12"/>
        <color theme="1"/>
        <rFont val="맑은 고딕"/>
        <family val="3"/>
        <charset val="129"/>
        <scheme val="minor"/>
      </rPr>
      <t>리그레션에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대한</t>
    </r>
    <r>
      <rPr>
        <sz val="12"/>
        <color theme="1"/>
        <rFont val="맑은 고딕"/>
        <family val="2"/>
        <scheme val="minor"/>
      </rPr>
      <t xml:space="preserve"> featureset</t>
    </r>
    <r>
      <rPr>
        <sz val="12"/>
        <color theme="1"/>
        <rFont val="맑은 고딕"/>
        <family val="3"/>
        <charset val="129"/>
        <scheme val="minor"/>
      </rPr>
      <t>성능비교</t>
    </r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</si>
  <si>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구미방별</t>
    </r>
    <r>
      <rPr>
        <sz val="12"/>
        <color theme="1"/>
        <rFont val="맑은 고딕"/>
        <family val="2"/>
        <scheme val="minor"/>
      </rPr>
      <t xml:space="preserve"> odds monitor</t>
    </r>
    <r>
      <rPr>
        <sz val="12"/>
        <color theme="1"/>
        <rFont val="맑은 고딕"/>
        <family val="3"/>
        <charset val="129"/>
        <scheme val="minor"/>
      </rPr>
      <t>리그레션을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투표로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바로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연결</t>
    </r>
    <phoneticPr fontId="5"/>
  </si>
  <si>
    <t>odds_mon</t>
  </si>
  <si>
    <t>20210907</t>
    <phoneticPr fontId="5"/>
  </si>
  <si>
    <t>rg_lgbm-1_py</t>
    <phoneticPr fontId="5"/>
  </si>
  <si>
    <t>rg_lgbm-1_py</t>
    <phoneticPr fontId="5"/>
  </si>
  <si>
    <t>rg-1T-1</t>
    <phoneticPr fontId="5"/>
  </si>
  <si>
    <t>rg-2T-12</t>
    <phoneticPr fontId="5"/>
  </si>
  <si>
    <t>en_nw_ext_9</t>
  </si>
  <si>
    <t>99045=(r1-123456)</t>
    <phoneticPr fontId="5"/>
  </si>
  <si>
    <t>99047=(r1-123456)</t>
    <phoneticPr fontId="5"/>
  </si>
  <si>
    <t>nw_ext_9</t>
    <phoneticPr fontId="5"/>
  </si>
  <si>
    <r>
      <t xml:space="preserve">## featureset </t>
    </r>
    <r>
      <rPr>
        <sz val="12"/>
        <color theme="1"/>
        <rFont val="맑은 고딕"/>
        <family val="3"/>
        <charset val="129"/>
        <scheme val="minor"/>
      </rPr>
      <t>두가지로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고정하고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조합형및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완성형으로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예측</t>
    </r>
    <phoneticPr fontId="5"/>
  </si>
  <si>
    <t>nw_ext_24</t>
    <phoneticPr fontId="5"/>
  </si>
  <si>
    <r>
      <t>## featureset nw_ext_24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고정하고</t>
    </r>
    <r>
      <rPr>
        <sz val="12"/>
        <color theme="1"/>
        <rFont val="맑은 고딕"/>
        <family val="2"/>
        <scheme val="minor"/>
      </rPr>
      <t xml:space="preserve"> class</t>
    </r>
    <r>
      <rPr>
        <sz val="12"/>
        <color theme="1"/>
        <rFont val="맑은 고딕"/>
        <family val="3"/>
        <charset val="129"/>
        <scheme val="minor"/>
      </rPr>
      <t>변형</t>
    </r>
    <phoneticPr fontId="5"/>
  </si>
  <si>
    <t>99049=(r1-123456)</t>
    <phoneticPr fontId="5"/>
  </si>
  <si>
    <t>r3-12-3x</t>
  </si>
  <si>
    <t>99053=(r1-1x)</t>
  </si>
  <si>
    <t>99053=(r1-1x)</t>
    <phoneticPr fontId="5"/>
  </si>
  <si>
    <t>99053=(r2-2x)</t>
    <phoneticPr fontId="5"/>
  </si>
  <si>
    <t>r3-4x</t>
    <phoneticPr fontId="5"/>
  </si>
  <si>
    <t>r3-12-4x</t>
    <phoneticPr fontId="5"/>
  </si>
  <si>
    <t>r2-1x</t>
    <phoneticPr fontId="5"/>
  </si>
  <si>
    <t>99053=(r3-3x)</t>
    <phoneticPr fontId="5"/>
  </si>
  <si>
    <t>99055=(r1-2x)</t>
    <phoneticPr fontId="5"/>
  </si>
  <si>
    <t>r2-2-1x</t>
    <phoneticPr fontId="5"/>
  </si>
  <si>
    <t>r3-21-3x</t>
    <phoneticPr fontId="5"/>
  </si>
  <si>
    <t>99056=(r2-1-2x)</t>
    <phoneticPr fontId="5"/>
  </si>
  <si>
    <t>r3-1-23456</t>
    <phoneticPr fontId="5"/>
  </si>
  <si>
    <t>99050=(r2-1-23456)</t>
    <phoneticPr fontId="5"/>
  </si>
  <si>
    <t>99049=(r2-123456)</t>
    <phoneticPr fontId="5"/>
  </si>
  <si>
    <t>99049=(r3-123456)</t>
    <phoneticPr fontId="5"/>
  </si>
  <si>
    <t>99050=(r3-12-3456)</t>
    <phoneticPr fontId="5"/>
  </si>
  <si>
    <t>r3-2-13456</t>
    <phoneticPr fontId="5"/>
  </si>
  <si>
    <t>r3-21-3456</t>
    <phoneticPr fontId="5"/>
  </si>
  <si>
    <t>r2-3-12456</t>
    <phoneticPr fontId="5"/>
  </si>
  <si>
    <t>r3-3-12456</t>
    <phoneticPr fontId="5"/>
  </si>
  <si>
    <t>r3-31-2456</t>
    <phoneticPr fontId="5"/>
  </si>
  <si>
    <t>r3-13-2456</t>
    <phoneticPr fontId="5"/>
  </si>
  <si>
    <t>r3-14-2356</t>
    <phoneticPr fontId="5"/>
  </si>
  <si>
    <t>arff_1x_99053</t>
    <phoneticPr fontId="5"/>
  </si>
  <si>
    <t>99065=(r1-123456)</t>
    <phoneticPr fontId="5"/>
  </si>
  <si>
    <t>r2-123456</t>
    <phoneticPr fontId="5"/>
  </si>
  <si>
    <t>r3-123456</t>
    <phoneticPr fontId="5"/>
  </si>
  <si>
    <t>r2-2-13456</t>
    <phoneticPr fontId="5"/>
  </si>
  <si>
    <t>99066=(r2-2-13456)</t>
    <phoneticPr fontId="5"/>
  </si>
  <si>
    <t>99068=(r2-3-12456)</t>
    <phoneticPr fontId="5"/>
  </si>
  <si>
    <t>99070=(r2-2-13456)</t>
    <phoneticPr fontId="5"/>
  </si>
  <si>
    <t>99072=(r2-3-12456)</t>
    <phoneticPr fontId="5"/>
  </si>
  <si>
    <r>
      <t xml:space="preserve">### </t>
    </r>
    <r>
      <rPr>
        <sz val="12"/>
        <color theme="1"/>
        <rFont val="맑은 고딕"/>
        <family val="3"/>
        <charset val="129"/>
        <scheme val="minor"/>
      </rPr>
      <t>종속적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추가형</t>
    </r>
    <phoneticPr fontId="5"/>
  </si>
  <si>
    <r>
      <t>## 99503</t>
    </r>
    <r>
      <rPr>
        <sz val="12"/>
        <color theme="1"/>
        <rFont val="맑은 고딕"/>
        <family val="3"/>
        <charset val="129"/>
        <scheme val="minor"/>
      </rPr>
      <t>의</t>
    </r>
    <r>
      <rPr>
        <sz val="12"/>
        <color theme="1"/>
        <rFont val="맑은 고딕"/>
        <family val="2"/>
        <scheme val="minor"/>
      </rPr>
      <t xml:space="preserve"> r1-1x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arff 1,2,3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</t>
    </r>
    <phoneticPr fontId="5"/>
  </si>
  <si>
    <t>r1-23456</t>
    <phoneticPr fontId="5"/>
  </si>
  <si>
    <r>
      <t>### 2,3,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class </t>
    </r>
    <r>
      <rPr>
        <sz val="12"/>
        <color theme="1"/>
        <rFont val="맑은 고딕"/>
        <family val="3"/>
        <charset val="129"/>
        <scheme val="minor"/>
      </rPr>
      <t>상세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</t>
    </r>
    <phoneticPr fontId="5"/>
  </si>
  <si>
    <t>arff_1_99053</t>
    <phoneticPr fontId="5"/>
  </si>
  <si>
    <t>99049=(r2-123456)</t>
    <phoneticPr fontId="5"/>
  </si>
  <si>
    <r>
      <t>## r1-1x (99503)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arff 1,2,3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</t>
    </r>
    <phoneticPr fontId="5"/>
  </si>
  <si>
    <r>
      <t>## r1-1x (99503)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arff </t>
    </r>
    <r>
      <rPr>
        <sz val="12"/>
        <color theme="1"/>
        <rFont val="맑은 고딕"/>
        <family val="3"/>
        <charset val="129"/>
        <scheme val="minor"/>
      </rPr>
      <t>첫자리를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 2,3</t>
    </r>
    <r>
      <rPr>
        <sz val="12"/>
        <color theme="1"/>
        <rFont val="맑은 고딕"/>
        <family val="3"/>
        <charset val="129"/>
        <scheme val="minor"/>
      </rPr>
      <t>자리는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종래의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 xml:space="preserve">, </t>
    </r>
    <phoneticPr fontId="5"/>
  </si>
  <si>
    <t>r2-123456-ect1</t>
    <phoneticPr fontId="5"/>
  </si>
  <si>
    <t>r3-123456-ect1</t>
    <phoneticPr fontId="5"/>
  </si>
  <si>
    <t>99061=(r1-123456)</t>
    <phoneticPr fontId="5"/>
  </si>
  <si>
    <t>99060=(r1-23456)</t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</si>
  <si>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애초의</t>
    </r>
    <r>
      <rPr>
        <sz val="12"/>
        <color theme="1"/>
        <rFont val="맑은 고딕"/>
        <family val="2"/>
        <scheme val="minor"/>
      </rPr>
      <t xml:space="preserve"> arff</t>
    </r>
    <r>
      <rPr>
        <sz val="12"/>
        <color theme="1"/>
        <rFont val="맑은 고딕"/>
        <family val="3"/>
        <charset val="129"/>
        <scheme val="minor"/>
      </rPr>
      <t>에서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아예</t>
    </r>
    <r>
      <rPr>
        <sz val="12"/>
        <color theme="1"/>
        <rFont val="맑은 고딕"/>
        <family val="2"/>
        <scheme val="minor"/>
      </rPr>
      <t xml:space="preserve"> 1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제외해버린다</t>
    </r>
    <r>
      <rPr>
        <sz val="12"/>
        <color theme="1"/>
        <rFont val="맑은 고딕"/>
        <family val="2"/>
        <scheme val="minor"/>
      </rPr>
      <t>.2,3</t>
    </r>
    <r>
      <rPr>
        <sz val="12"/>
        <color theme="1"/>
        <rFont val="맑은 고딕"/>
        <family val="3"/>
        <charset val="129"/>
        <scheme val="minor"/>
      </rPr>
      <t>자리는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종래의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 xml:space="preserve">, </t>
    </r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</si>
  <si>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애초의</t>
    </r>
    <r>
      <rPr>
        <sz val="12"/>
        <color theme="1"/>
        <rFont val="맑은 고딕"/>
        <family val="2"/>
        <scheme val="minor"/>
      </rPr>
      <t xml:space="preserve"> arff</t>
    </r>
    <r>
      <rPr>
        <sz val="12"/>
        <color theme="1"/>
        <rFont val="맑은 고딕"/>
        <family val="3"/>
        <charset val="129"/>
        <scheme val="minor"/>
      </rPr>
      <t>에서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아예</t>
    </r>
    <r>
      <rPr>
        <sz val="12"/>
        <color theme="1"/>
        <rFont val="맑은 고딕"/>
        <family val="2"/>
        <scheme val="minor"/>
      </rPr>
      <t xml:space="preserve"> 1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제외해버리는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조건으로</t>
    </r>
    <r>
      <rPr>
        <sz val="12"/>
        <color theme="1"/>
        <rFont val="맑은 고딕"/>
        <family val="2"/>
        <scheme val="minor"/>
      </rPr>
      <t xml:space="preserve"> 1,2,3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</t>
    </r>
    <phoneticPr fontId="5"/>
  </si>
  <si>
    <r>
      <t>## r1-1x (99503)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3"/>
        <charset val="129"/>
        <scheme val="minor"/>
      </rPr>
      <t xml:space="preserve"> arff </t>
    </r>
    <r>
      <rPr>
        <sz val="12"/>
        <color theme="1"/>
        <rFont val="맑은 고딕"/>
        <family val="3"/>
        <charset val="129"/>
        <scheme val="minor"/>
      </rPr>
      <t>첫자리를</t>
    </r>
    <r>
      <rPr>
        <sz val="12"/>
        <color theme="1"/>
        <rFont val="맑은 고딕"/>
        <family val="3"/>
        <charset val="129"/>
        <scheme val="minor"/>
      </rPr>
      <t xml:space="preserve"> 1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3"/>
        <charset val="129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제한해버리는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조건으로</t>
    </r>
    <r>
      <rPr>
        <sz val="12"/>
        <color theme="1"/>
        <rFont val="맑은 고딕"/>
        <family val="2"/>
        <scheme val="minor"/>
      </rPr>
      <t xml:space="preserve"> 1,2,3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</t>
    </r>
    <phoneticPr fontId="5"/>
  </si>
  <si>
    <t>r2-123456-inc1</t>
    <phoneticPr fontId="5"/>
  </si>
  <si>
    <t>r3-123456-inc1</t>
    <phoneticPr fontId="5"/>
  </si>
  <si>
    <t>99053=(r1-1x)</t>
    <phoneticPr fontId="5"/>
  </si>
  <si>
    <r>
      <t>## r1-1x (99503)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arff </t>
    </r>
    <r>
      <rPr>
        <sz val="12"/>
        <color theme="1"/>
        <rFont val="맑은 고딕"/>
        <family val="3"/>
        <charset val="129"/>
        <scheme val="minor"/>
      </rPr>
      <t>첫자리를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 2,3</t>
    </r>
    <r>
      <rPr>
        <sz val="12"/>
        <color theme="1"/>
        <rFont val="맑은 고딕"/>
        <family val="3"/>
        <charset val="129"/>
        <scheme val="minor"/>
      </rPr>
      <t>자리는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종래의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>,    (r1-123456</t>
    </r>
    <r>
      <rPr>
        <sz val="12"/>
        <color theme="1"/>
        <rFont val="맑은 고딕"/>
        <family val="3"/>
        <charset val="129"/>
        <scheme val="minor"/>
      </rPr>
      <t>에서</t>
    </r>
    <r>
      <rPr>
        <sz val="12"/>
        <color theme="1"/>
        <rFont val="맑은 고딕"/>
        <family val="2"/>
        <scheme val="minor"/>
      </rPr>
      <t xml:space="preserve"> 1T-1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너무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많이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베팅되어버리므로</t>
    </r>
    <r>
      <rPr>
        <sz val="12"/>
        <color theme="1"/>
        <rFont val="맑은 고딕"/>
        <family val="2"/>
        <scheme val="minor"/>
      </rPr>
      <t xml:space="preserve">. </t>
    </r>
    <r>
      <rPr>
        <sz val="12"/>
        <color theme="1"/>
        <rFont val="맑은 고딕"/>
        <family val="3"/>
        <charset val="129"/>
        <scheme val="minor"/>
      </rPr>
      <t>첫자리예측을</t>
    </r>
    <r>
      <rPr>
        <sz val="12"/>
        <color theme="1"/>
        <rFont val="맑은 고딕"/>
        <family val="2"/>
        <scheme val="minor"/>
      </rPr>
      <t xml:space="preserve"> r1-1x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1-23456x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나누고</t>
    </r>
    <r>
      <rPr>
        <sz val="12"/>
        <color theme="1"/>
        <rFont val="맑은 고딕"/>
        <family val="2"/>
        <scheme val="minor"/>
      </rPr>
      <t xml:space="preserve"> 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class </t>
    </r>
    <r>
      <rPr>
        <sz val="12"/>
        <color theme="1"/>
        <rFont val="맑은 고딕"/>
        <family val="3"/>
        <charset val="129"/>
        <scheme val="minor"/>
      </rPr>
      <t>변형</t>
    </r>
    <r>
      <rPr>
        <sz val="12"/>
        <color theme="1"/>
        <rFont val="맑은 고딕"/>
        <family val="2"/>
        <scheme val="minor"/>
      </rPr>
      <t>)</t>
    </r>
    <phoneticPr fontId="5"/>
  </si>
  <si>
    <t>en_nw_ext_24</t>
    <phoneticPr fontId="5"/>
  </si>
  <si>
    <t>99063=(r2-123456)</t>
    <phoneticPr fontId="5"/>
  </si>
  <si>
    <t>99063=(r3-123456)</t>
    <phoneticPr fontId="5"/>
  </si>
  <si>
    <t>r3-12-3456</t>
    <phoneticPr fontId="5"/>
  </si>
  <si>
    <t>r123x-type1</t>
    <phoneticPr fontId="5"/>
  </si>
  <si>
    <t>r2-1-2x</t>
    <phoneticPr fontId="5"/>
  </si>
  <si>
    <t>nw_ext_25</t>
    <phoneticPr fontId="5"/>
  </si>
  <si>
    <t>nw_ext_26</t>
    <phoneticPr fontId="5"/>
  </si>
  <si>
    <t>nw_ext_27</t>
    <phoneticPr fontId="5"/>
  </si>
  <si>
    <t>r1-123456</t>
    <phoneticPr fontId="5"/>
  </si>
  <si>
    <t>r1-123456</t>
    <phoneticPr fontId="5"/>
  </si>
  <si>
    <r>
      <t>## en_</t>
    </r>
    <r>
      <rPr>
        <sz val="12"/>
        <color theme="1"/>
        <rFont val="맑은 고딕"/>
        <family val="3"/>
        <charset val="129"/>
        <scheme val="minor"/>
      </rPr>
      <t>nw_ext도 확장해보자</t>
    </r>
    <phoneticPr fontId="5"/>
  </si>
  <si>
    <r>
      <t>## nw_ext_24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간소화</t>
    </r>
    <r>
      <rPr>
        <sz val="12"/>
        <color theme="1"/>
        <rFont val="맑은 고딕"/>
        <family val="2"/>
        <scheme val="minor"/>
      </rPr>
      <t xml:space="preserve"> (importance</t>
    </r>
    <r>
      <rPr>
        <sz val="12"/>
        <color theme="1"/>
        <rFont val="맑은 고딕"/>
        <family val="3"/>
        <charset val="129"/>
        <scheme val="minor"/>
      </rPr>
      <t>낮은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것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정리</t>
    </r>
    <r>
      <rPr>
        <sz val="12"/>
        <color theme="1"/>
        <rFont val="맑은 고딕"/>
        <family val="2"/>
        <scheme val="minor"/>
      </rPr>
      <t>)</t>
    </r>
    <phoneticPr fontId="5"/>
  </si>
  <si>
    <r>
      <t>## nw_ext_25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importance</t>
    </r>
    <r>
      <rPr>
        <sz val="12"/>
        <color theme="1"/>
        <rFont val="맑은 고딕"/>
        <family val="3"/>
        <charset val="129"/>
        <scheme val="minor"/>
      </rPr>
      <t>높은</t>
    </r>
    <r>
      <rPr>
        <sz val="12"/>
        <color theme="1"/>
        <rFont val="맑은 고딕"/>
        <family val="2"/>
        <scheme val="minor"/>
      </rPr>
      <t xml:space="preserve"> category feature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추가하고</t>
    </r>
    <r>
      <rPr>
        <sz val="12"/>
        <color theme="1"/>
        <rFont val="맑은 고딕"/>
        <family val="2"/>
        <scheme val="minor"/>
      </rPr>
      <t xml:space="preserve"> lv1n…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삭제</t>
    </r>
    <phoneticPr fontId="5"/>
  </si>
  <si>
    <r>
      <t>## nw_ext_26</t>
    </r>
    <r>
      <rPr>
        <sz val="12"/>
        <color theme="1"/>
        <rFont val="맑은 고딕"/>
        <family val="3"/>
        <charset val="129"/>
        <scheme val="minor"/>
      </rPr>
      <t>에서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오피셜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컴퓨터예측은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제거</t>
    </r>
    <r>
      <rPr>
        <sz val="12"/>
        <color theme="1"/>
        <rFont val="맑은 고딕"/>
        <family val="2"/>
        <scheme val="minor"/>
      </rPr>
      <t xml:space="preserve"> </t>
    </r>
    <phoneticPr fontId="5"/>
  </si>
  <si>
    <r>
      <t># weka</t>
    </r>
    <r>
      <rPr>
        <sz val="12"/>
        <color theme="1"/>
        <rFont val="맑은 고딕"/>
        <family val="3"/>
        <charset val="129"/>
        <scheme val="minor"/>
      </rPr>
      <t>에대해서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실험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계속</t>
    </r>
    <phoneticPr fontId="5"/>
  </si>
  <si>
    <t>en_nw_ext_25</t>
    <phoneticPr fontId="5"/>
  </si>
  <si>
    <t>en_ext_27</t>
    <phoneticPr fontId="5"/>
  </si>
  <si>
    <t>cf_bayesnet-filtered-1_wk</t>
  </si>
  <si>
    <t>cf_randomforest_wk</t>
  </si>
  <si>
    <t>cf_j48_wk</t>
  </si>
  <si>
    <t>cf_logistic_wk</t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</si>
  <si>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추가적인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알고리즘을</t>
    </r>
    <r>
      <rPr>
        <sz val="12"/>
        <color theme="1"/>
        <rFont val="맑은 고딕"/>
        <family val="2"/>
        <scheme val="minor"/>
      </rPr>
      <t xml:space="preserve"> en_nw_ext25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en_ext_27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시행해보고</t>
    </r>
    <r>
      <rPr>
        <sz val="12"/>
        <color theme="1"/>
        <rFont val="맑은 고딕"/>
        <family val="2"/>
        <scheme val="minor"/>
      </rPr>
      <t xml:space="preserve"> bayes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다르게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특별한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점이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없다면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제외하자</t>
    </r>
    <phoneticPr fontId="5"/>
  </si>
  <si>
    <r>
      <t># old_expr10</t>
    </r>
    <r>
      <rPr>
        <sz val="12"/>
        <color theme="1"/>
        <rFont val="맑은 고딕"/>
        <family val="3"/>
        <charset val="129"/>
        <scheme val="minor"/>
      </rPr>
      <t>의</t>
    </r>
    <r>
      <rPr>
        <sz val="12"/>
        <color theme="1"/>
        <rFont val="맑은 고딕"/>
        <family val="2"/>
        <scheme val="minor"/>
      </rPr>
      <t xml:space="preserve"> selected result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근거로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최소화한</t>
    </r>
    <r>
      <rPr>
        <sz val="12"/>
        <color theme="1"/>
        <rFont val="맑은 고딕"/>
        <family val="2"/>
        <scheme val="minor"/>
      </rPr>
      <t xml:space="preserve"> featureset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정의하고</t>
    </r>
    <r>
      <rPr>
        <sz val="12"/>
        <color theme="1"/>
        <rFont val="맑은 고딕"/>
        <family val="2"/>
        <scheme val="minor"/>
      </rPr>
      <t xml:space="preserve"> weka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lgbm</t>
    </r>
    <r>
      <rPr>
        <sz val="12"/>
        <color theme="1"/>
        <rFont val="맑은 고딕"/>
        <family val="3"/>
        <charset val="129"/>
        <scheme val="minor"/>
      </rPr>
      <t>모델을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생성하자</t>
    </r>
  </si>
  <si>
    <t>99015=(r1-123456)</t>
    <phoneticPr fontId="5"/>
  </si>
  <si>
    <t>99014=(r1-123456)</t>
    <phoneticPr fontId="5"/>
  </si>
  <si>
    <t>99019=(r1-123456)</t>
    <phoneticPr fontId="5"/>
  </si>
  <si>
    <t>99018=(r1-123456)</t>
    <phoneticPr fontId="5"/>
  </si>
  <si>
    <t>99023=(r1-123456)</t>
    <phoneticPr fontId="5"/>
  </si>
  <si>
    <t>99022=(r1-123456)</t>
    <phoneticPr fontId="5"/>
  </si>
  <si>
    <t>en_nw</t>
    <phoneticPr fontId="5"/>
  </si>
  <si>
    <t>r1-123456</t>
    <phoneticPr fontId="5"/>
  </si>
  <si>
    <t>en_30</t>
    <phoneticPr fontId="5"/>
  </si>
  <si>
    <t>nw_30</t>
    <phoneticPr fontId="5"/>
  </si>
  <si>
    <t>en_nw_30</t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</si>
  <si>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아마도</t>
    </r>
    <r>
      <rPr>
        <sz val="12"/>
        <color theme="1"/>
        <rFont val="맑은 고딕"/>
        <family val="2"/>
        <scheme val="minor"/>
      </rPr>
      <t xml:space="preserve"> en, nw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혼합하면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중복성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피쳐일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가능성이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커보이므로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일단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보류한다</t>
    </r>
    <r>
      <rPr>
        <sz val="12"/>
        <color theme="1"/>
        <rFont val="맑은 고딕"/>
        <family val="2"/>
        <scheme val="minor"/>
      </rPr>
      <t>.</t>
    </r>
    <phoneticPr fontId="5"/>
  </si>
  <si>
    <t>#</t>
    <phoneticPr fontId="5"/>
  </si>
  <si>
    <t>#</t>
    <phoneticPr fontId="5"/>
  </si>
  <si>
    <t>#</t>
    <phoneticPr fontId="5"/>
  </si>
  <si>
    <t>en_nw_ext_25</t>
    <phoneticPr fontId="5"/>
  </si>
  <si>
    <t>nw_ext_25</t>
    <phoneticPr fontId="5"/>
  </si>
  <si>
    <t>cf_bayesnet-filtered-1_wk</t>
    <phoneticPr fontId="5"/>
  </si>
  <si>
    <t>99073=(r1-123456)</t>
    <phoneticPr fontId="5"/>
  </si>
  <si>
    <t>99072=(r1-123456)</t>
    <phoneticPr fontId="5"/>
  </si>
  <si>
    <t>99071=(r1-123456)</t>
    <phoneticPr fontId="5"/>
  </si>
  <si>
    <t>cf_lgbm-1_py</t>
  </si>
  <si>
    <t>en_nw_ext_24</t>
  </si>
  <si>
    <r>
      <t># hitrate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betcnt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고려한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 xml:space="preserve"> bayes-filter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제외하고</t>
    </r>
    <phoneticPr fontId="5"/>
  </si>
  <si>
    <t>99069=(r2-123456)</t>
    <phoneticPr fontId="5"/>
  </si>
  <si>
    <t>cf_bayesnet_wk</t>
    <phoneticPr fontId="5"/>
  </si>
  <si>
    <t>99089=(r3-123456)</t>
    <phoneticPr fontId="5"/>
  </si>
  <si>
    <t>nw_30</t>
  </si>
  <si>
    <r>
      <t># hitrate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betcnt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고려한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뽑아보니</t>
    </r>
    <r>
      <rPr>
        <sz val="12"/>
        <color theme="1"/>
        <rFont val="맑은 고딕"/>
        <family val="2"/>
        <scheme val="minor"/>
      </rPr>
      <t xml:space="preserve"> bayes-fileter</t>
    </r>
    <r>
      <rPr>
        <sz val="12"/>
        <color theme="1"/>
        <rFont val="맑은 고딕"/>
        <family val="3"/>
        <charset val="129"/>
        <scheme val="minor"/>
      </rPr>
      <t>이다</t>
    </r>
    <r>
      <rPr>
        <sz val="12"/>
        <color theme="1"/>
        <rFont val="맑은 고딕"/>
        <family val="2"/>
        <scheme val="minor"/>
      </rPr>
      <t xml:space="preserve">.  </t>
    </r>
    <r>
      <rPr>
        <sz val="12"/>
        <color theme="1"/>
        <rFont val="맑은 고딕"/>
        <family val="3"/>
        <charset val="129"/>
        <scheme val="minor"/>
      </rPr>
      <t>개별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수익률이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나쁜데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어떤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이유일까</t>
    </r>
  </si>
  <si>
    <r>
      <t># en_nw</t>
    </r>
    <r>
      <rPr>
        <sz val="12"/>
        <color theme="1"/>
        <rFont val="맑은 고딕"/>
        <family val="3"/>
        <charset val="129"/>
        <scheme val="minor"/>
      </rPr>
      <t>계도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생성하자</t>
    </r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</si>
  <si>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앙상블</t>
    </r>
    <r>
      <rPr>
        <sz val="12"/>
        <color theme="1"/>
        <rFont val="맑은 고딕"/>
        <family val="2"/>
        <scheme val="minor"/>
      </rPr>
      <t xml:space="preserve"> featureset</t>
    </r>
    <phoneticPr fontId="5"/>
  </si>
  <si>
    <t>１桁</t>
    <rPh sb="1" eb="2">
      <t>ケタ</t>
    </rPh>
    <phoneticPr fontId="5"/>
  </si>
  <si>
    <t>digit</t>
  </si>
  <si>
    <t>mno</t>
  </si>
  <si>
    <t>betcnt</t>
  </si>
  <si>
    <t>hitcnt</t>
  </si>
  <si>
    <t>hitrate</t>
  </si>
  <si>
    <t>digit1</t>
  </si>
  <si>
    <t>99083</t>
  </si>
  <si>
    <t>nw</t>
  </si>
  <si>
    <t>99089</t>
  </si>
  <si>
    <t>99063</t>
  </si>
  <si>
    <t>99094</t>
  </si>
  <si>
    <t>en_nw_30</t>
  </si>
  <si>
    <t>99080</t>
  </si>
  <si>
    <t>en</t>
  </si>
  <si>
    <t>99086</t>
  </si>
  <si>
    <t>en_30</t>
  </si>
  <si>
    <t>prediction</t>
  </si>
  <si>
    <t>1</t>
  </si>
  <si>
    <t>2</t>
  </si>
  <si>
    <t>3</t>
  </si>
  <si>
    <t>4</t>
  </si>
  <si>
    <t>5</t>
  </si>
  <si>
    <t>6</t>
  </si>
  <si>
    <t>2桁</t>
    <rPh sb="1" eb="2">
      <t>ケタ</t>
    </rPh>
    <phoneticPr fontId="5"/>
  </si>
  <si>
    <t>algorithm</t>
  </si>
  <si>
    <t>feature</t>
  </si>
  <si>
    <t>digit2</t>
  </si>
  <si>
    <t>3桁</t>
    <rPh sb="1" eb="2">
      <t>ケタ</t>
    </rPh>
    <phoneticPr fontId="5"/>
  </si>
  <si>
    <t>digit3</t>
  </si>
  <si>
    <t>99084</t>
  </si>
  <si>
    <t>cf_bayesnet_wk</t>
  </si>
  <si>
    <t>99081</t>
  </si>
  <si>
    <t>99090</t>
  </si>
  <si>
    <t>99087</t>
  </si>
  <si>
    <t>99095</t>
  </si>
  <si>
    <t>99069</t>
  </si>
  <si>
    <t>en_nw_ext_25</t>
  </si>
  <si>
    <t>99096</t>
  </si>
  <si>
    <t>99072</t>
  </si>
  <si>
    <t>99091</t>
  </si>
  <si>
    <t>99088</t>
  </si>
  <si>
    <t>99085</t>
  </si>
  <si>
    <t>99082</t>
  </si>
  <si>
    <t>２桁</t>
    <rPh sb="1" eb="2">
      <t>ケタ</t>
    </rPh>
    <phoneticPr fontId="5"/>
  </si>
  <si>
    <t>３桁</t>
    <rPh sb="1" eb="2">
      <t>ケタ</t>
    </rPh>
    <phoneticPr fontId="5"/>
  </si>
  <si>
    <t>99096=(r1-123456)</t>
    <phoneticPr fontId="5"/>
  </si>
  <si>
    <t>99069=(r1-123456)</t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</si>
  <si>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착순각각의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적중율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최우선　</t>
    </r>
    <r>
      <rPr>
        <sz val="12"/>
        <color theme="1"/>
        <rFont val="맑은 고딕"/>
        <family val="2"/>
        <scheme val="minor"/>
      </rPr>
      <t>(overall)</t>
    </r>
    <phoneticPr fontId="5"/>
  </si>
  <si>
    <t>99089=(r1-123456)</t>
    <phoneticPr fontId="5"/>
  </si>
  <si>
    <t>99083=(r1-123456)</t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</si>
  <si>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착순각각의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적중율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최우선　</t>
    </r>
    <r>
      <rPr>
        <sz val="12"/>
        <color theme="1"/>
        <rFont val="맑은 고딕"/>
        <family val="2"/>
        <scheme val="minor"/>
      </rPr>
      <t xml:space="preserve">(1-2-3) </t>
    </r>
    <r>
      <rPr>
        <sz val="12"/>
        <color theme="1"/>
        <rFont val="맑은 고딕"/>
        <family val="3"/>
        <charset val="129"/>
        <scheme val="minor"/>
      </rPr>
      <t>특정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구미방</t>
    </r>
    <phoneticPr fontId="5"/>
  </si>
  <si>
    <r>
      <t xml:space="preserve"># 단일 feature set  </t>
    </r>
    <r>
      <rPr>
        <sz val="12"/>
        <color rgb="FFFF0000"/>
        <rFont val="맑은 고딕"/>
        <family val="3"/>
        <charset val="129"/>
        <scheme val="minor"/>
      </rPr>
      <t>주의</t>
    </r>
    <r>
      <rPr>
        <sz val="12"/>
        <color rgb="FFFF0000"/>
        <rFont val="맑은 고딕"/>
        <family val="2"/>
        <scheme val="minor"/>
      </rPr>
      <t>!!   90092,90093</t>
    </r>
    <r>
      <rPr>
        <sz val="12"/>
        <color rgb="FFFF0000"/>
        <rFont val="맑은 고딕"/>
        <family val="3"/>
        <charset val="129"/>
        <scheme val="minor"/>
      </rPr>
      <t>제외했으므로</t>
    </r>
    <r>
      <rPr>
        <sz val="12"/>
        <color rgb="FFFF0000"/>
        <rFont val="맑은 고딕"/>
        <family val="2"/>
        <scheme val="minor"/>
      </rPr>
      <t xml:space="preserve"> evaluation select</t>
    </r>
    <r>
      <rPr>
        <sz val="12"/>
        <color rgb="FFFF0000"/>
        <rFont val="맑은 고딕"/>
        <family val="3"/>
        <charset val="129"/>
        <scheme val="minor"/>
      </rPr>
      <t>할때도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제외해야한다</t>
    </r>
    <r>
      <rPr>
        <sz val="12"/>
        <color rgb="FFFF0000"/>
        <rFont val="맑은 고딕"/>
        <family val="2"/>
        <scheme val="minor"/>
      </rPr>
      <t xml:space="preserve">. </t>
    </r>
    <phoneticPr fontId="5"/>
  </si>
  <si>
    <t>99063=(r1-123456)</t>
    <phoneticPr fontId="5"/>
  </si>
  <si>
    <t>99080=(r1-123456)</t>
    <phoneticPr fontId="5"/>
  </si>
  <si>
    <t>99094=(r1-123456)</t>
    <phoneticPr fontId="5"/>
  </si>
  <si>
    <r>
      <t># bayes계열도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제외하였다</t>
    </r>
    <r>
      <rPr>
        <sz val="12"/>
        <color rgb="FFFF0000"/>
        <rFont val="맑은 고딕"/>
        <family val="2"/>
        <scheme val="minor"/>
      </rPr>
      <t xml:space="preserve">.  </t>
    </r>
    <r>
      <rPr>
        <sz val="12"/>
        <color rgb="FFFF0000"/>
        <rFont val="맑은 고딕"/>
        <family val="3"/>
        <charset val="129"/>
        <scheme val="minor"/>
      </rPr>
      <t>해보고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안되면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다시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생각하자</t>
    </r>
    <r>
      <rPr>
        <sz val="12"/>
        <color rgb="FFFF0000"/>
        <rFont val="맑은 고딕"/>
        <family val="2"/>
        <scheme val="minor"/>
      </rPr>
      <t>.</t>
    </r>
    <phoneticPr fontId="5"/>
  </si>
  <si>
    <r>
      <t>#</t>
    </r>
    <r>
      <rPr>
        <sz val="12"/>
        <color rgb="FFFF0000"/>
        <rFont val="맑은 고딕"/>
        <family val="3"/>
        <charset val="129"/>
        <scheme val="minor"/>
      </rPr>
      <t>아래의</t>
    </r>
    <r>
      <rPr>
        <sz val="12"/>
        <color rgb="FFFF0000"/>
        <rFont val="맑은 고딕"/>
        <family val="3"/>
        <charset val="129"/>
        <scheme val="minor"/>
      </rPr>
      <t xml:space="preserve"> bayes</t>
    </r>
    <r>
      <rPr>
        <sz val="12"/>
        <color rgb="FFFF0000"/>
        <rFont val="맑은 고딕"/>
        <family val="3"/>
        <charset val="129"/>
        <scheme val="minor"/>
      </rPr>
      <t>계열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제외하였다</t>
    </r>
    <r>
      <rPr>
        <sz val="12"/>
        <color rgb="FFFF0000"/>
        <rFont val="맑은 고딕"/>
        <family val="2"/>
        <scheme val="minor"/>
      </rPr>
      <t xml:space="preserve">.  </t>
    </r>
    <r>
      <rPr>
        <sz val="12"/>
        <color rgb="FFFF0000"/>
        <rFont val="맑은 고딕"/>
        <family val="3"/>
        <charset val="129"/>
        <scheme val="minor"/>
      </rPr>
      <t>해보고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안되면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다시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생각하자</t>
    </r>
    <r>
      <rPr>
        <sz val="12"/>
        <color rgb="FFFF0000"/>
        <rFont val="맑은 고딕"/>
        <family val="2"/>
        <scheme val="minor"/>
      </rPr>
      <t>.</t>
    </r>
    <phoneticPr fontId="5"/>
  </si>
  <si>
    <r>
      <t xml:space="preserve"># </t>
    </r>
    <r>
      <rPr>
        <b/>
        <sz val="12"/>
        <color theme="1"/>
        <rFont val="맑은 고딕"/>
        <family val="3"/>
        <charset val="129"/>
        <scheme val="minor"/>
      </rPr>
      <t>선정모델들</t>
    </r>
    <r>
      <rPr>
        <b/>
        <sz val="12"/>
        <color theme="1"/>
        <rFont val="맑은 고딕"/>
        <family val="2"/>
        <scheme val="minor"/>
      </rPr>
      <t xml:space="preserve"> 2022/2/17</t>
    </r>
    <phoneticPr fontId="5"/>
  </si>
  <si>
    <r>
      <t xml:space="preserve"># 2022/3/10 </t>
    </r>
    <r>
      <rPr>
        <sz val="12"/>
        <color theme="1"/>
        <rFont val="맑은 고딕"/>
        <family val="3"/>
        <charset val="129"/>
        <scheme val="minor"/>
      </rPr>
      <t>위</t>
    </r>
    <r>
      <rPr>
        <sz val="12"/>
        <color theme="1"/>
        <rFont val="맑은 고딕"/>
        <family val="2"/>
        <scheme val="minor"/>
      </rPr>
      <t>99063-99098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추가생성</t>
    </r>
    <r>
      <rPr>
        <sz val="12"/>
        <color theme="1"/>
        <rFont val="맑은 고딕"/>
        <family val="2"/>
        <scheme val="minor"/>
      </rPr>
      <t xml:space="preserve"> 20180601~20211224  +  20220123~20220310</t>
    </r>
    <phoneticPr fontId="5"/>
  </si>
  <si>
    <t>#99098</t>
    <phoneticPr fontId="5"/>
  </si>
  <si>
    <t>#99097</t>
    <phoneticPr fontId="5"/>
  </si>
  <si>
    <t>#99063</t>
    <phoneticPr fontId="5"/>
  </si>
  <si>
    <t>#99080</t>
    <phoneticPr fontId="5"/>
  </si>
  <si>
    <t>#99083</t>
    <phoneticPr fontId="5"/>
  </si>
  <si>
    <t>#99086</t>
    <phoneticPr fontId="5"/>
  </si>
  <si>
    <t>#99089</t>
    <phoneticPr fontId="5"/>
  </si>
  <si>
    <t>#99094</t>
    <phoneticPr fontId="5"/>
  </si>
  <si>
    <t>#99015</t>
    <phoneticPr fontId="5"/>
  </si>
  <si>
    <t>#99019</t>
    <phoneticPr fontId="5"/>
  </si>
  <si>
    <t>20220122</t>
    <phoneticPr fontId="5"/>
  </si>
  <si>
    <t>20211225</t>
    <phoneticPr fontId="5"/>
  </si>
  <si>
    <r>
      <t># ml_result</t>
    </r>
    <r>
      <rPr>
        <sz val="12"/>
        <color theme="1"/>
        <rFont val="맑은 고딕"/>
        <family val="3"/>
        <charset val="129"/>
        <scheme val="minor"/>
      </rPr>
      <t>에대한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수익률을</t>
    </r>
    <r>
      <rPr>
        <sz val="12"/>
        <color theme="1"/>
        <rFont val="맑은 고딕"/>
        <family val="2"/>
        <scheme val="minor"/>
      </rPr>
      <t xml:space="preserve"> regression</t>
    </r>
    <r>
      <rPr>
        <sz val="12"/>
        <color theme="1"/>
        <rFont val="맑은 고딕"/>
        <family val="3"/>
        <charset val="129"/>
        <scheme val="minor"/>
      </rPr>
      <t>학습</t>
    </r>
    <phoneticPr fontId="5"/>
  </si>
  <si>
    <t>rgsim-1T-1</t>
    <phoneticPr fontId="5"/>
  </si>
  <si>
    <t>x</t>
    <phoneticPr fontId="5"/>
  </si>
  <si>
    <t>rg_lgbm-1_py</t>
  </si>
  <si>
    <t>rg_sim_1</t>
    <phoneticPr fontId="5"/>
  </si>
  <si>
    <t>x</t>
    <phoneticPr fontId="5"/>
  </si>
  <si>
    <t>arff_rgsim_1</t>
    <phoneticPr fontId="5"/>
  </si>
  <si>
    <t>clf_rgsim_1</t>
    <phoneticPr fontId="5"/>
  </si>
  <si>
    <t>20211201</t>
    <phoneticPr fontId="5"/>
  </si>
  <si>
    <t>180</t>
    <phoneticPr fontId="5"/>
  </si>
  <si>
    <t>180</t>
    <phoneticPr fontId="5"/>
  </si>
  <si>
    <t>20220309</t>
    <phoneticPr fontId="5"/>
  </si>
  <si>
    <t xml:space="preserve"> </t>
    <phoneticPr fontId="5"/>
  </si>
  <si>
    <r>
      <t xml:space="preserve"># </t>
    </r>
    <r>
      <rPr>
        <b/>
        <sz val="12"/>
        <color theme="1"/>
        <rFont val="맑은 고딕"/>
        <family val="3"/>
        <charset val="129"/>
        <scheme val="minor"/>
      </rPr>
      <t>직전정보를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제외한</t>
    </r>
    <r>
      <rPr>
        <b/>
        <sz val="12"/>
        <color theme="1"/>
        <rFont val="맑은 고딕"/>
        <family val="2"/>
        <scheme val="minor"/>
      </rPr>
      <t xml:space="preserve"> featureset</t>
    </r>
    <r>
      <rPr>
        <b/>
        <sz val="12"/>
        <color theme="1"/>
        <rFont val="맑은 고딕"/>
        <family val="3"/>
        <charset val="129"/>
        <scheme val="minor"/>
      </rPr>
      <t>으로</t>
    </r>
    <r>
      <rPr>
        <b/>
        <sz val="12"/>
        <color theme="1"/>
        <rFont val="맑은 고딕"/>
        <family val="2"/>
        <scheme val="minor"/>
      </rPr>
      <t xml:space="preserve"> 99063</t>
    </r>
    <r>
      <rPr>
        <b/>
        <sz val="12"/>
        <color theme="1"/>
        <rFont val="맑은 고딕"/>
        <family val="3"/>
        <charset val="129"/>
        <scheme val="minor"/>
      </rPr>
      <t>을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대신할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모델</t>
    </r>
    <phoneticPr fontId="5"/>
  </si>
  <si>
    <t>en_nw_ext_25</t>
    <phoneticPr fontId="5"/>
  </si>
  <si>
    <t>r123x-type1</t>
    <phoneticPr fontId="5"/>
  </si>
  <si>
    <t>#</t>
    <phoneticPr fontId="5"/>
  </si>
  <si>
    <r>
      <t xml:space="preserve"># </t>
    </r>
    <r>
      <rPr>
        <sz val="12"/>
        <color rgb="FFFF0000"/>
        <rFont val="맑은 고딕"/>
        <family val="3"/>
        <charset val="129"/>
        <scheme val="minor"/>
      </rPr>
      <t>주의</t>
    </r>
    <r>
      <rPr>
        <sz val="12"/>
        <color rgb="FFFF0000"/>
        <rFont val="맑은 고딕"/>
        <family val="2"/>
        <scheme val="minor"/>
      </rPr>
      <t xml:space="preserve">!!!   </t>
    </r>
    <r>
      <rPr>
        <sz val="12"/>
        <color rgb="FFFF0000"/>
        <rFont val="맑은 고딕"/>
        <family val="3"/>
        <charset val="129"/>
        <scheme val="minor"/>
      </rPr>
      <t>온라인용</t>
    </r>
    <r>
      <rPr>
        <sz val="12"/>
        <color rgb="FFFF0000"/>
        <rFont val="맑은 고딕"/>
        <family val="2"/>
        <scheme val="minor"/>
      </rPr>
      <t xml:space="preserve"> model_config.tsv</t>
    </r>
    <r>
      <rPr>
        <sz val="12"/>
        <color rgb="FFFF0000"/>
        <rFont val="맑은 고딕"/>
        <family val="3"/>
        <charset val="129"/>
        <scheme val="minor"/>
      </rPr>
      <t>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옮길시에는</t>
    </r>
    <r>
      <rPr>
        <sz val="12"/>
        <color rgb="FFFF0000"/>
        <rFont val="맑은 고딕"/>
        <family val="2"/>
        <scheme val="minor"/>
      </rPr>
      <t xml:space="preserve"> clf_1</t>
    </r>
    <r>
      <rPr>
        <sz val="12"/>
        <color rgb="FFFF0000"/>
        <rFont val="맑은 고딕"/>
        <family val="3"/>
        <charset val="129"/>
        <scheme val="minor"/>
      </rPr>
      <t>을</t>
    </r>
    <r>
      <rPr>
        <sz val="12"/>
        <color rgb="FFFF0000"/>
        <rFont val="맑은 고딕"/>
        <family val="2"/>
        <scheme val="minor"/>
      </rPr>
      <t xml:space="preserve"> clf_online</t>
    </r>
    <r>
      <rPr>
        <sz val="12"/>
        <color rgb="FFFF0000"/>
        <rFont val="맑은 고딕"/>
        <family val="3"/>
        <charset val="129"/>
        <scheme val="minor"/>
      </rPr>
      <t>으로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수정해주어야한다</t>
    </r>
    <r>
      <rPr>
        <sz val="12"/>
        <color rgb="FFFF0000"/>
        <rFont val="맑은 고딕"/>
        <family val="2"/>
        <scheme val="minor"/>
      </rPr>
      <t>.</t>
    </r>
    <phoneticPr fontId="5"/>
  </si>
  <si>
    <t>20220828</t>
    <phoneticPr fontId="5"/>
  </si>
  <si>
    <t>20220922</t>
    <phoneticPr fontId="5"/>
  </si>
  <si>
    <t>r1-pork</t>
  </si>
  <si>
    <t>pork_25</t>
    <phoneticPr fontId="5"/>
  </si>
  <si>
    <t>arff_prok_99100</t>
    <phoneticPr fontId="5"/>
  </si>
  <si>
    <t>clf_prok_99100</t>
  </si>
  <si>
    <t>20220401</t>
    <phoneticPr fontId="5"/>
  </si>
  <si>
    <t>20220901</t>
    <phoneticPr fontId="5"/>
  </si>
  <si>
    <r>
      <t># bork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rork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예측한다</t>
    </r>
    <r>
      <rPr>
        <sz val="12"/>
        <color theme="1"/>
        <rFont val="맑은 고딕"/>
        <family val="2"/>
        <scheme val="minor"/>
      </rPr>
      <t>..   bork</t>
    </r>
    <r>
      <rPr>
        <sz val="12"/>
        <color theme="1"/>
        <rFont val="맑은 고딕"/>
        <family val="3"/>
        <charset val="129"/>
        <scheme val="minor"/>
      </rPr>
      <t>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없었던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기간의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데이터의</t>
    </r>
    <r>
      <rPr>
        <sz val="12"/>
        <color theme="1"/>
        <rFont val="맑은 고딕"/>
        <family val="2"/>
        <scheme val="minor"/>
      </rPr>
      <t xml:space="preserve"> rork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bork</t>
    </r>
    <r>
      <rPr>
        <sz val="12"/>
        <color theme="1"/>
        <rFont val="맑은 고딕"/>
        <family val="3"/>
        <charset val="129"/>
        <scheme val="minor"/>
      </rPr>
      <t>흑자범위를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예측해보기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위해</t>
    </r>
    <phoneticPr fontId="5"/>
  </si>
  <si>
    <t>20220601</t>
    <phoneticPr fontId="5"/>
  </si>
  <si>
    <t>r1-12x</t>
    <phoneticPr fontId="5"/>
  </si>
  <si>
    <t>bork_25</t>
    <phoneticPr fontId="5"/>
  </si>
  <si>
    <t>arff_2</t>
    <phoneticPr fontId="5"/>
  </si>
  <si>
    <t>clf_2</t>
    <phoneticPr fontId="5"/>
  </si>
  <si>
    <t>363</t>
    <phoneticPr fontId="5"/>
  </si>
  <si>
    <t>363</t>
    <phoneticPr fontId="5"/>
  </si>
  <si>
    <t>20221031</t>
    <phoneticPr fontId="5"/>
  </si>
  <si>
    <t>cf_lgbm-6_py</t>
    <phoneticPr fontId="5"/>
  </si>
  <si>
    <t># class_weight=balanced</t>
    <phoneticPr fontId="5"/>
  </si>
  <si>
    <t>20221106</t>
    <phoneticPr fontId="5"/>
  </si>
  <si>
    <t>#99201</t>
    <phoneticPr fontId="5"/>
  </si>
  <si>
    <t>#99301</t>
    <phoneticPr fontId="5"/>
  </si>
  <si>
    <t>20221130</t>
    <phoneticPr fontId="5"/>
  </si>
  <si>
    <r>
      <t># 7</t>
    </r>
    <r>
      <rPr>
        <sz val="12"/>
        <color theme="1"/>
        <rFont val="맑은 고딕"/>
        <family val="3"/>
        <charset val="129"/>
        <scheme val="minor"/>
      </rPr>
      <t>년전부터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시작해서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데이터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누적</t>
    </r>
    <r>
      <rPr>
        <sz val="12"/>
        <color theme="1"/>
        <rFont val="맑은 고딕"/>
        <family val="2"/>
        <scheme val="minor"/>
      </rPr>
      <t>. 1</t>
    </r>
    <r>
      <rPr>
        <sz val="12"/>
        <color theme="1"/>
        <rFont val="맑은 고딕"/>
        <family val="3"/>
        <charset val="129"/>
        <scheme val="minor"/>
      </rPr>
      <t>년단위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갱신</t>
    </r>
    <phoneticPr fontId="5"/>
  </si>
  <si>
    <t>no</t>
    <phoneticPr fontId="5"/>
  </si>
  <si>
    <t>2555</t>
    <phoneticPr fontId="5"/>
  </si>
  <si>
    <t>90</t>
    <phoneticPr fontId="5"/>
  </si>
  <si>
    <t>20221101</t>
    <phoneticPr fontId="5"/>
  </si>
  <si>
    <t>20221105</t>
    <phoneticPr fontId="5"/>
  </si>
  <si>
    <t>arff_3</t>
    <phoneticPr fontId="5"/>
  </si>
  <si>
    <t>clf_3</t>
    <phoneticPr fontId="5"/>
  </si>
  <si>
    <t>'ip', 'G3', 'G2'</t>
    <phoneticPr fontId="5"/>
  </si>
  <si>
    <r>
      <t># wk1</t>
    </r>
    <r>
      <rPr>
        <sz val="12"/>
        <color theme="1"/>
        <rFont val="맑은 고딕"/>
        <family val="3"/>
        <charset val="129"/>
        <scheme val="minor"/>
      </rPr>
      <t>이</t>
    </r>
    <r>
      <rPr>
        <sz val="12"/>
        <color theme="1"/>
        <rFont val="맑은 고딕"/>
        <family val="2"/>
        <scheme val="minor"/>
      </rPr>
      <t xml:space="preserve"> B1</t>
    </r>
    <r>
      <rPr>
        <sz val="12"/>
        <color theme="1"/>
        <rFont val="맑은 고딕"/>
        <family val="3"/>
        <charset val="129"/>
        <scheme val="minor"/>
      </rPr>
      <t>인것만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학습해본다</t>
    </r>
    <r>
      <rPr>
        <sz val="12"/>
        <color theme="1"/>
        <rFont val="맑은 고딕"/>
        <family val="2"/>
        <scheme val="minor"/>
      </rPr>
      <t>. ip,G3,G2</t>
    </r>
    <r>
      <rPr>
        <sz val="12"/>
        <color theme="1"/>
        <rFont val="맑은 고딕"/>
        <family val="3"/>
        <charset val="129"/>
        <scheme val="minor"/>
      </rPr>
      <t>대상</t>
    </r>
    <r>
      <rPr>
        <sz val="12"/>
        <color theme="1"/>
        <rFont val="맑은 고딕"/>
        <family val="2"/>
        <scheme val="minor"/>
      </rPr>
      <t xml:space="preserve">  -&gt; python BoatLGBMClassifierTest</t>
    </r>
    <r>
      <rPr>
        <sz val="12"/>
        <color theme="1"/>
        <rFont val="맑은 고딕"/>
        <family val="3"/>
        <charset val="129"/>
        <scheme val="minor"/>
      </rPr>
      <t>실행해보니</t>
    </r>
    <r>
      <rPr>
        <sz val="12"/>
        <color theme="1"/>
        <rFont val="맑은 고딕"/>
        <family val="2"/>
        <scheme val="minor"/>
      </rPr>
      <t xml:space="preserve"> precision</t>
    </r>
    <r>
      <rPr>
        <sz val="12"/>
        <color theme="1"/>
        <rFont val="맑은 고딕"/>
        <family val="3"/>
        <charset val="129"/>
        <scheme val="minor"/>
      </rPr>
      <t>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낮아서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포기</t>
    </r>
    <phoneticPr fontId="5"/>
  </si>
  <si>
    <r>
      <t># 99100</t>
    </r>
    <r>
      <rPr>
        <sz val="12"/>
        <color theme="1"/>
        <rFont val="맑은 고딕"/>
        <family val="3"/>
        <charset val="129"/>
        <scheme val="minor"/>
      </rPr>
      <t>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재현성이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가장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높지만</t>
    </r>
    <r>
      <rPr>
        <sz val="12"/>
        <color theme="1"/>
        <rFont val="맑은 고딕"/>
        <family val="2"/>
        <scheme val="minor"/>
      </rPr>
      <t xml:space="preserve"> 99080</t>
    </r>
    <r>
      <rPr>
        <sz val="12"/>
        <color theme="1"/>
        <rFont val="맑은 고딕"/>
        <family val="3"/>
        <charset val="129"/>
        <scheme val="minor"/>
      </rPr>
      <t>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수익성이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좋아보인다</t>
    </r>
    <r>
      <rPr>
        <sz val="12"/>
        <color theme="1"/>
        <rFont val="맑은 고딕"/>
        <family val="2"/>
        <scheme val="minor"/>
      </rPr>
      <t xml:space="preserve">. </t>
    </r>
    <r>
      <rPr>
        <sz val="12"/>
        <color theme="1"/>
        <rFont val="맑은 고딕"/>
        <family val="3"/>
        <charset val="129"/>
        <scheme val="minor"/>
      </rPr>
      <t>따라서</t>
    </r>
    <r>
      <rPr>
        <sz val="12"/>
        <color theme="1"/>
        <rFont val="맑은 고딕"/>
        <family val="2"/>
        <scheme val="minor"/>
      </rPr>
      <t xml:space="preserve"> 99080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안정성을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더해보기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위해</t>
    </r>
    <r>
      <rPr>
        <sz val="12"/>
        <color theme="1"/>
        <rFont val="맑은 고딕"/>
        <family val="2"/>
        <scheme val="minor"/>
      </rPr>
      <t xml:space="preserve"> en_nw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생성해서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결과까지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만들어보자</t>
    </r>
    <r>
      <rPr>
        <sz val="12"/>
        <color theme="1"/>
        <rFont val="맑은 고딕"/>
        <family val="2"/>
        <scheme val="minor"/>
      </rPr>
      <t>. 2023/2/19</t>
    </r>
    <phoneticPr fontId="5"/>
  </si>
  <si>
    <t>20210602</t>
    <phoneticPr fontId="5"/>
  </si>
  <si>
    <t>20221130</t>
    <phoneticPr fontId="5"/>
  </si>
  <si>
    <t>classifyr1</t>
    <phoneticPr fontId="5"/>
  </si>
  <si>
    <t>classifyr2</t>
    <phoneticPr fontId="5"/>
  </si>
  <si>
    <t>classifyr3</t>
    <phoneticPr fontId="5"/>
  </si>
  <si>
    <t>arff_4</t>
    <phoneticPr fontId="5"/>
  </si>
  <si>
    <t>1095</t>
    <phoneticPr fontId="5"/>
  </si>
  <si>
    <t>Training set score: 0.7764</t>
  </si>
  <si>
    <t>Test set score: 0.5570</t>
  </si>
  <si>
    <t xml:space="preserve">              precision    recall  f1-score   support</t>
  </si>
  <si>
    <t xml:space="preserve">           1       0.62      0.88      0.73     44922</t>
  </si>
  <si>
    <t xml:space="preserve">           2       0.37      0.24      0.29     11689</t>
  </si>
  <si>
    <t xml:space="preserve">           3       0.32      0.16      0.21      9663</t>
  </si>
  <si>
    <t xml:space="preserve">           4       0.30      0.12      0.17      7883</t>
  </si>
  <si>
    <t xml:space="preserve">           5       0.21      0.06      0.10      4337</t>
  </si>
  <si>
    <t xml:space="preserve">           6       0.22      0.05      0.09      2459</t>
  </si>
  <si>
    <t xml:space="preserve">    accuracy                           0.56     80953</t>
  </si>
  <si>
    <t xml:space="preserve">   macro avg       0.34      0.25      0.26     80953</t>
  </si>
  <si>
    <t>weighted avg       0.48      0.56      0.49     80953</t>
  </si>
  <si>
    <t>rank1</t>
    <phoneticPr fontId="5"/>
  </si>
  <si>
    <t>Training set score: 0.5794</t>
  </si>
  <si>
    <t>Test set score: 0.5701</t>
  </si>
  <si>
    <t xml:space="preserve">           1       0.60      0.95      0.73     27125</t>
  </si>
  <si>
    <t xml:space="preserve">           2       0.40      0.18      0.24      6992</t>
  </si>
  <si>
    <t xml:space="preserve">           3       0.34      0.08      0.13      5876</t>
  </si>
  <si>
    <t xml:space="preserve">           4       0.34      0.07      0.11      4677</t>
  </si>
  <si>
    <t xml:space="preserve">           5       0.25      0.01      0.02      2541</t>
  </si>
  <si>
    <t xml:space="preserve">           6       0.23      0.01      0.02      1444</t>
  </si>
  <si>
    <t xml:space="preserve">    accuracy                           0.57     48655</t>
  </si>
  <si>
    <t xml:space="preserve">   macro avg       0.36      0.22      0.21     48655</t>
  </si>
  <si>
    <t>weighted avg       0.48      0.57      0.47     48655</t>
  </si>
  <si>
    <t>Training set score: 0.8857</t>
  </si>
  <si>
    <t>Test set score: 0.5465</t>
  </si>
  <si>
    <t xml:space="preserve">           1       0.62      0.86      0.72     27125</t>
  </si>
  <si>
    <t xml:space="preserve">           2       0.34      0.23      0.27      6992</t>
  </si>
  <si>
    <t xml:space="preserve">           3       0.29      0.14      0.19      5876</t>
  </si>
  <si>
    <t xml:space="preserve">           4       0.26      0.12      0.17      4677</t>
  </si>
  <si>
    <t xml:space="preserve">           5       0.19      0.06      0.09      2541</t>
  </si>
  <si>
    <t xml:space="preserve">           6       0.17      0.05      0.08      1444</t>
  </si>
  <si>
    <t xml:space="preserve">    accuracy                           0.55     48655</t>
  </si>
  <si>
    <t xml:space="preserve">   macro avg       0.31      0.24      0.25     48655</t>
  </si>
  <si>
    <t>weighted avg       0.47      0.55      0.49     48655</t>
  </si>
  <si>
    <t>rank2</t>
    <phoneticPr fontId="5"/>
  </si>
  <si>
    <t>Training set score: 0.6948</t>
  </si>
  <si>
    <t>Test set score: 0.2629</t>
  </si>
  <si>
    <t xml:space="preserve">           1       0.21      0.18      0.19     13998</t>
  </si>
  <si>
    <t xml:space="preserve">           2       0.31      0.42      0.36     20552</t>
  </si>
  <si>
    <t xml:space="preserve">           3       0.27      0.30      0.29     16945</t>
  </si>
  <si>
    <t xml:space="preserve">           4       0.25      0.22      0.23     13572</t>
  </si>
  <si>
    <t xml:space="preserve">           5       0.21      0.13      0.16      9429</t>
  </si>
  <si>
    <t xml:space="preserve">           6       0.19      0.12      0.15      6457</t>
  </si>
  <si>
    <t xml:space="preserve">    accuracy                           0.26     80953</t>
  </si>
  <si>
    <t xml:space="preserve">   macro avg       0.24      0.23      0.23     80953</t>
  </si>
  <si>
    <t>weighted avg       0.25      0.26      0.25     80953</t>
  </si>
  <si>
    <t>Training set score: 0.3388</t>
  </si>
  <si>
    <t>Test set score: 0.2770</t>
  </si>
  <si>
    <t xml:space="preserve">           1       0.20      0.03      0.05      8388</t>
  </si>
  <si>
    <t xml:space="preserve">           2       0.29      0.67      0.41     12406</t>
  </si>
  <si>
    <t xml:space="preserve">           3       0.27      0.30      0.29     10271</t>
  </si>
  <si>
    <t xml:space="preserve">           4       0.25      0.16      0.19      8149</t>
  </si>
  <si>
    <t xml:space="preserve">           5       0.23      0.06      0.09      5645</t>
  </si>
  <si>
    <t xml:space="preserve">           6       0.22      0.05      0.08      3796</t>
  </si>
  <si>
    <t xml:space="preserve">    accuracy                           0.28     48655</t>
  </si>
  <si>
    <t xml:space="preserve">   macro avg       0.24      0.21      0.19     48655</t>
  </si>
  <si>
    <t>weighted avg       0.25      0.28      0.22     48655</t>
  </si>
  <si>
    <t>Training set score: 0.8414</t>
  </si>
  <si>
    <t>Test set score: 0.2508</t>
  </si>
  <si>
    <t xml:space="preserve">           1       0.20      0.16      0.18      8388</t>
  </si>
  <si>
    <t xml:space="preserve">           2       0.30      0.41      0.35     12406</t>
  </si>
  <si>
    <t xml:space="preserve">           3       0.26      0.28      0.27     10271</t>
  </si>
  <si>
    <t xml:space="preserve">           4       0.23      0.20      0.21      8149</t>
  </si>
  <si>
    <t xml:space="preserve">           5       0.19      0.14      0.16      5645</t>
  </si>
  <si>
    <t xml:space="preserve">           6       0.17      0.11      0.13      3796</t>
  </si>
  <si>
    <t xml:space="preserve">    accuracy                           0.25     48655</t>
  </si>
  <si>
    <t xml:space="preserve">   macro avg       0.22      0.22      0.22     48655</t>
  </si>
  <si>
    <t>rank3</t>
    <phoneticPr fontId="5"/>
  </si>
  <si>
    <t>Training set score: 0.6494</t>
  </si>
  <si>
    <t>Test set score: 0.2194</t>
  </si>
  <si>
    <t xml:space="preserve">           1       0.11      0.06      0.08      6738</t>
  </si>
  <si>
    <t xml:space="preserve">           2       0.20      0.20      0.20     14864</t>
  </si>
  <si>
    <t xml:space="preserve">           3       0.23      0.25      0.24     16520</t>
  </si>
  <si>
    <t xml:space="preserve">           4       0.23      0.26      0.25     16114</t>
  </si>
  <si>
    <t xml:space="preserve">           5       0.22      0.22      0.22     14040</t>
  </si>
  <si>
    <t xml:space="preserve">           6       0.23      0.22      0.23     12677</t>
  </si>
  <si>
    <t xml:space="preserve">    accuracy                           0.22     80953</t>
  </si>
  <si>
    <t xml:space="preserve">   macro avg       0.21      0.20      0.20     80953</t>
  </si>
  <si>
    <t>weighted avg       0.21      0.22      0.22     80953</t>
  </si>
  <si>
    <t>Training set score: 0.3332</t>
  </si>
  <si>
    <t>Test set score: 0.2213</t>
  </si>
  <si>
    <t xml:space="preserve">           1       0.13      0.00      0.01      4067</t>
  </si>
  <si>
    <t xml:space="preserve">           2       0.20      0.07      0.10      8943</t>
  </si>
  <si>
    <t xml:space="preserve">           3       0.22      0.27      0.24      9835</t>
  </si>
  <si>
    <t xml:space="preserve">           4       0.23      0.35      0.28      9794</t>
  </si>
  <si>
    <t xml:space="preserve">           5       0.22      0.23      0.22      8483</t>
  </si>
  <si>
    <t xml:space="preserve">           6       0.22      0.28      0.25      7533</t>
  </si>
  <si>
    <t xml:space="preserve">    accuracy                           0.22     48655</t>
  </si>
  <si>
    <t xml:space="preserve">   macro avg       0.20      0.20      0.18     48655</t>
  </si>
  <si>
    <t>weighted avg       0.21      0.22      0.20     48655</t>
  </si>
  <si>
    <t>no</t>
    <phoneticPr fontId="5"/>
  </si>
  <si>
    <r>
      <t>#2</t>
    </r>
    <r>
      <rPr>
        <sz val="12"/>
        <color theme="1"/>
        <rFont val="맑은 고딕"/>
        <family val="3"/>
        <charset val="129"/>
        <scheme val="minor"/>
      </rPr>
      <t>차적으</t>
    </r>
    <r>
      <rPr>
        <sz val="12"/>
        <color theme="1"/>
        <rFont val="맑은 고딕"/>
        <family val="2"/>
        <scheme val="minor"/>
      </rPr>
      <t>,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ml_classification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학습시키는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만들어보자</t>
    </r>
    <phoneticPr fontId="5"/>
  </si>
  <si>
    <t>clf_4</t>
    <phoneticPr fontId="5"/>
  </si>
  <si>
    <t>20221201</t>
  </si>
  <si>
    <t>20221201</t>
    <phoneticPr fontId="5"/>
  </si>
  <si>
    <t>20230331</t>
    <phoneticPr fontId="5"/>
  </si>
  <si>
    <r>
      <t># !!!</t>
    </r>
    <r>
      <rPr>
        <sz val="12"/>
        <color rgb="FFFF0000"/>
        <rFont val="맑은 고딕"/>
        <family val="3"/>
        <charset val="129"/>
        <scheme val="minor"/>
      </rPr>
      <t>주의</t>
    </r>
    <r>
      <rPr>
        <sz val="12"/>
        <color rgb="FFFF0000"/>
        <rFont val="맑은 고딕"/>
        <family val="2"/>
        <scheme val="minor"/>
      </rPr>
      <t xml:space="preserve"> 99100</t>
    </r>
    <r>
      <rPr>
        <sz val="12"/>
        <color rgb="FFFF0000"/>
        <rFont val="맑은 고딕"/>
        <family val="3"/>
        <charset val="129"/>
        <scheme val="minor"/>
      </rPr>
      <t>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대해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먼저</t>
    </r>
    <r>
      <rPr>
        <sz val="12"/>
        <color rgb="FFFF0000"/>
        <rFont val="맑은 고딕"/>
        <family val="2"/>
        <scheme val="minor"/>
      </rPr>
      <t xml:space="preserve"> ml_classify</t>
    </r>
    <r>
      <rPr>
        <sz val="12"/>
        <color rgb="FFFF0000"/>
        <rFont val="맑은 고딕"/>
        <family val="3"/>
        <charset val="129"/>
        <scheme val="minor"/>
      </rPr>
      <t>까지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끝난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후에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모델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만들어야한다</t>
    </r>
    <r>
      <rPr>
        <sz val="12"/>
        <color rgb="FFFF0000"/>
        <rFont val="맑은 고딕"/>
        <family val="2"/>
        <scheme val="minor"/>
      </rPr>
      <t xml:space="preserve">.  </t>
    </r>
    <r>
      <rPr>
        <sz val="12"/>
        <color rgb="FFFF0000"/>
        <rFont val="맑은 고딕"/>
        <family val="3"/>
        <charset val="129"/>
        <scheme val="minor"/>
      </rPr>
      <t>시작일자는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늘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최초</t>
    </r>
    <r>
      <rPr>
        <sz val="12"/>
        <color rgb="FFFF0000"/>
        <rFont val="맑은 고딕"/>
        <family val="2"/>
        <scheme val="minor"/>
      </rPr>
      <t>(20210602)</t>
    </r>
    <r>
      <rPr>
        <sz val="12"/>
        <color rgb="FFFF0000"/>
        <rFont val="맑은 고딕"/>
        <family val="3"/>
        <charset val="129"/>
        <scheme val="minor"/>
      </rPr>
      <t>여야한다</t>
    </r>
    <r>
      <rPr>
        <sz val="12"/>
        <color rgb="FFFF0000"/>
        <rFont val="맑은 고딕"/>
        <family val="2"/>
        <scheme val="minor"/>
      </rPr>
      <t>.(</t>
    </r>
    <r>
      <rPr>
        <sz val="12"/>
        <color rgb="FFFF0000"/>
        <rFont val="맑은 고딕"/>
        <family val="3"/>
        <charset val="129"/>
        <scheme val="minor"/>
      </rPr>
      <t>누적해서</t>
    </r>
    <r>
      <rPr>
        <sz val="12"/>
        <color rgb="FFFF0000"/>
        <rFont val="맑은 고딕"/>
        <family val="2"/>
        <scheme val="minor"/>
      </rPr>
      <t xml:space="preserve"> arff</t>
    </r>
    <r>
      <rPr>
        <sz val="12"/>
        <color rgb="FFFF0000"/>
        <rFont val="맑은 고딕"/>
        <family val="3"/>
        <charset val="129"/>
        <scheme val="minor"/>
      </rPr>
      <t>생성해야하므로</t>
    </r>
    <r>
      <rPr>
        <sz val="12"/>
        <color rgb="FFFF0000"/>
        <rFont val="맑은 고딕"/>
        <family val="2"/>
        <scheme val="minor"/>
      </rPr>
      <t>)</t>
    </r>
    <phoneticPr fontId="5"/>
  </si>
  <si>
    <r>
      <t># 99100</t>
    </r>
    <r>
      <rPr>
        <sz val="12"/>
        <color rgb="FFFF0000"/>
        <rFont val="맑은 고딕"/>
        <family val="3"/>
        <charset val="129"/>
        <scheme val="minor"/>
      </rPr>
      <t>의</t>
    </r>
    <r>
      <rPr>
        <sz val="12"/>
        <color rgb="FFFF0000"/>
        <rFont val="맑은 고딕"/>
        <family val="2"/>
        <scheme val="minor"/>
      </rPr>
      <t>; classification</t>
    </r>
    <r>
      <rPr>
        <sz val="12"/>
        <color rgb="FFFF0000"/>
        <rFont val="맑은 고딕"/>
        <family val="3"/>
        <charset val="129"/>
        <scheme val="minor"/>
      </rPr>
      <t>이</t>
    </r>
    <r>
      <rPr>
        <sz val="12"/>
        <color rgb="FFFF0000"/>
        <rFont val="맑은 고딕"/>
        <family val="2"/>
        <scheme val="minor"/>
      </rPr>
      <t xml:space="preserve"> 20180601</t>
    </r>
    <r>
      <rPr>
        <sz val="12"/>
        <color rgb="FFFF0000"/>
        <rFont val="맑은 고딕"/>
        <family val="3"/>
        <charset val="129"/>
        <scheme val="minor"/>
      </rPr>
      <t>부터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시작하고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그로부터</t>
    </r>
    <r>
      <rPr>
        <sz val="12"/>
        <color rgb="FFFF0000"/>
        <rFont val="맑은 고딕"/>
        <family val="2"/>
        <scheme val="minor"/>
      </rPr>
      <t xml:space="preserve"> 3</t>
    </r>
    <r>
      <rPr>
        <sz val="12"/>
        <color rgb="FFFF0000"/>
        <rFont val="맑은 고딕"/>
        <family val="3"/>
        <charset val="129"/>
        <scheme val="minor"/>
      </rPr>
      <t>년치부터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학습하기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위해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시작은</t>
    </r>
    <r>
      <rPr>
        <sz val="12"/>
        <color rgb="FFFF0000"/>
        <rFont val="맑은 고딕"/>
        <family val="2"/>
        <scheme val="minor"/>
      </rPr>
      <t xml:space="preserve"> 20210602</t>
    </r>
    <r>
      <rPr>
        <sz val="12"/>
        <color rgb="FFFF0000"/>
        <rFont val="맑은 고딕"/>
        <family val="3"/>
        <charset val="129"/>
        <scheme val="minor"/>
      </rPr>
      <t>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되어야한다</t>
    </r>
    <phoneticPr fontId="5"/>
  </si>
  <si>
    <t>classifyr123</t>
    <phoneticPr fontId="5"/>
  </si>
  <si>
    <t>20210602</t>
    <phoneticPr fontId="5"/>
  </si>
  <si>
    <t>en_nw_ext_25</t>
    <phoneticPr fontId="5"/>
  </si>
  <si>
    <t>classifyr123</t>
    <phoneticPr fontId="5"/>
  </si>
  <si>
    <t>20220602</t>
    <phoneticPr fontId="5"/>
  </si>
  <si>
    <t>20230331</t>
    <phoneticPr fontId="5"/>
  </si>
  <si>
    <t>79101_pop</t>
    <phoneticPr fontId="5"/>
  </si>
  <si>
    <t>arff_5</t>
    <phoneticPr fontId="5"/>
  </si>
  <si>
    <t>clf_5</t>
    <phoneticPr fontId="5"/>
  </si>
  <si>
    <t>365</t>
    <phoneticPr fontId="5"/>
  </si>
  <si>
    <r>
      <t># !!!</t>
    </r>
    <r>
      <rPr>
        <sz val="12"/>
        <color rgb="FFFF0000"/>
        <rFont val="맑은 고딕"/>
        <family val="3"/>
        <charset val="129"/>
        <scheme val="minor"/>
      </rPr>
      <t>주의</t>
    </r>
    <r>
      <rPr>
        <sz val="12"/>
        <color rgb="FFFF0000"/>
        <rFont val="맑은 고딕"/>
        <family val="2"/>
        <scheme val="minor"/>
      </rPr>
      <t xml:space="preserve"> 79101</t>
    </r>
    <r>
      <rPr>
        <sz val="12"/>
        <color rgb="FFFF0000"/>
        <rFont val="맑은 고딕"/>
        <family val="3"/>
        <charset val="129"/>
        <scheme val="minor"/>
      </rPr>
      <t>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대해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먼저</t>
    </r>
    <r>
      <rPr>
        <sz val="12"/>
        <color rgb="FFFF0000"/>
        <rFont val="맑은 고딕"/>
        <family val="2"/>
        <scheme val="minor"/>
      </rPr>
      <t xml:space="preserve"> ml_classify</t>
    </r>
    <r>
      <rPr>
        <sz val="12"/>
        <color rgb="FFFF0000"/>
        <rFont val="맑은 고딕"/>
        <family val="3"/>
        <charset val="129"/>
        <scheme val="minor"/>
      </rPr>
      <t>까지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끝난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후에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모델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만들어야한다</t>
    </r>
    <r>
      <rPr>
        <sz val="12"/>
        <color rgb="FFFF0000"/>
        <rFont val="맑은 고딕"/>
        <family val="2"/>
        <scheme val="minor"/>
      </rPr>
      <t xml:space="preserve">.  </t>
    </r>
    <r>
      <rPr>
        <sz val="12"/>
        <color rgb="FFFF0000"/>
        <rFont val="맑은 고딕"/>
        <family val="3"/>
        <charset val="129"/>
        <scheme val="minor"/>
      </rPr>
      <t>시작일자는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늘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최초</t>
    </r>
    <r>
      <rPr>
        <sz val="12"/>
        <color rgb="FFFF0000"/>
        <rFont val="맑은 고딕"/>
        <family val="2"/>
        <scheme val="minor"/>
      </rPr>
      <t>(20220602)</t>
    </r>
    <r>
      <rPr>
        <sz val="12"/>
        <color rgb="FFFF0000"/>
        <rFont val="맑은 고딕"/>
        <family val="3"/>
        <charset val="129"/>
        <scheme val="minor"/>
      </rPr>
      <t>여야한다</t>
    </r>
    <r>
      <rPr>
        <sz val="12"/>
        <color rgb="FFFF0000"/>
        <rFont val="맑은 고딕"/>
        <family val="2"/>
        <scheme val="minor"/>
      </rPr>
      <t>.(</t>
    </r>
    <r>
      <rPr>
        <sz val="12"/>
        <color rgb="FFFF0000"/>
        <rFont val="맑은 고딕"/>
        <family val="3"/>
        <charset val="129"/>
        <scheme val="minor"/>
      </rPr>
      <t>누적해서</t>
    </r>
    <r>
      <rPr>
        <sz val="12"/>
        <color rgb="FFFF0000"/>
        <rFont val="맑은 고딕"/>
        <family val="2"/>
        <scheme val="minor"/>
      </rPr>
      <t xml:space="preserve"> arff</t>
    </r>
    <r>
      <rPr>
        <sz val="12"/>
        <color rgb="FFFF0000"/>
        <rFont val="맑은 고딕"/>
        <family val="3"/>
        <charset val="129"/>
        <scheme val="minor"/>
      </rPr>
      <t>생성해야하므로</t>
    </r>
    <r>
      <rPr>
        <sz val="12"/>
        <color rgb="FFFF0000"/>
        <rFont val="맑은 고딕"/>
        <family val="2"/>
        <scheme val="minor"/>
      </rPr>
      <t>)</t>
    </r>
    <phoneticPr fontId="5"/>
  </si>
  <si>
    <t>r1-1234x</t>
    <phoneticPr fontId="5"/>
  </si>
  <si>
    <t>r12-1234x</t>
  </si>
  <si>
    <t>r123-1234x</t>
  </si>
  <si>
    <t>cf_lgbm-0.01_py</t>
    <phoneticPr fontId="5"/>
  </si>
  <si>
    <t>cf_lgbm-0.02_py</t>
    <phoneticPr fontId="5"/>
  </si>
  <si>
    <t>20210715</t>
    <phoneticPr fontId="5"/>
  </si>
  <si>
    <t>#70101</t>
    <phoneticPr fontId="5"/>
  </si>
  <si>
    <t>#70200</t>
    <phoneticPr fontId="5"/>
  </si>
  <si>
    <t>arff_4_2</t>
    <phoneticPr fontId="5"/>
  </si>
  <si>
    <t>r1-123456</t>
    <phoneticPr fontId="5"/>
  </si>
  <si>
    <t>#79100</t>
    <phoneticPr fontId="5"/>
  </si>
  <si>
    <t>#70100</t>
    <phoneticPr fontId="5"/>
  </si>
  <si>
    <r>
      <t># ml_test_py_one</t>
    </r>
    <r>
      <rPr>
        <sz val="12"/>
        <color theme="1"/>
        <rFont val="맑은 고딕"/>
        <family val="3"/>
        <charset val="129"/>
        <scheme val="minor"/>
      </rPr>
      <t>으로</t>
    </r>
    <r>
      <rPr>
        <sz val="12"/>
        <color theme="1"/>
        <rFont val="맑은 고딕"/>
        <family val="2"/>
        <scheme val="minor"/>
      </rPr>
      <t xml:space="preserve"> rank1,rank2</t>
    </r>
    <r>
      <rPr>
        <sz val="12"/>
        <color theme="1"/>
        <rFont val="맑은 고딕"/>
        <family val="3"/>
        <charset val="129"/>
        <scheme val="minor"/>
      </rPr>
      <t>비교해본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결과</t>
    </r>
    <r>
      <rPr>
        <sz val="12"/>
        <color theme="1"/>
        <rFont val="맑은 고딕"/>
        <family val="2"/>
        <scheme val="minor"/>
      </rPr>
      <t xml:space="preserve"> 79101,70101</t>
    </r>
    <r>
      <rPr>
        <sz val="12"/>
        <color theme="1"/>
        <rFont val="맑은 고딕"/>
        <family val="3"/>
        <charset val="129"/>
        <scheme val="minor"/>
      </rPr>
      <t>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거의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똑같으므로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제외한다</t>
    </r>
    <r>
      <rPr>
        <sz val="12"/>
        <color theme="1"/>
        <rFont val="맑은 고딕"/>
        <family val="2"/>
        <scheme val="minor"/>
      </rPr>
      <t>.</t>
    </r>
    <phoneticPr fontId="5"/>
  </si>
  <si>
    <t>classify103</t>
    <phoneticPr fontId="5"/>
  </si>
  <si>
    <t>classifyr123_2</t>
    <phoneticPr fontId="5"/>
  </si>
  <si>
    <t>20180601</t>
  </si>
  <si>
    <t>79201</t>
    <phoneticPr fontId="5"/>
  </si>
  <si>
    <t>pop_10</t>
    <phoneticPr fontId="5"/>
  </si>
  <si>
    <t>data_use_range</t>
    <phoneticPr fontId="5"/>
  </si>
  <si>
    <t>mbo_20</t>
    <phoneticPr fontId="5"/>
  </si>
  <si>
    <t>20220602</t>
  </si>
  <si>
    <t>#90102</t>
    <phoneticPr fontId="5"/>
  </si>
  <si>
    <r>
      <t># 99103</t>
    </r>
    <r>
      <rPr>
        <b/>
        <sz val="12"/>
        <color theme="1"/>
        <rFont val="맑은 고딕"/>
        <family val="3"/>
        <charset val="129"/>
        <scheme val="minor"/>
      </rPr>
      <t>을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첫자리</t>
    </r>
    <r>
      <rPr>
        <b/>
        <sz val="12"/>
        <color theme="1"/>
        <rFont val="맑은 고딕"/>
        <family val="3"/>
        <charset val="129"/>
        <scheme val="minor"/>
      </rPr>
      <t xml:space="preserve"> 1234</t>
    </r>
    <r>
      <rPr>
        <b/>
        <sz val="12"/>
        <color theme="1"/>
        <rFont val="맑은 고딕"/>
        <family val="3"/>
        <charset val="129"/>
        <scheme val="minor"/>
      </rPr>
      <t>제한</t>
    </r>
    <r>
      <rPr>
        <b/>
        <sz val="12"/>
        <color theme="1"/>
        <rFont val="맑은 고딕"/>
        <family val="3"/>
        <charset val="129"/>
        <scheme val="minor"/>
      </rPr>
      <t xml:space="preserve">  </t>
    </r>
    <phoneticPr fontId="5"/>
  </si>
  <si>
    <r>
      <t># 99102</t>
    </r>
    <r>
      <rPr>
        <b/>
        <sz val="12"/>
        <color theme="1"/>
        <rFont val="맑은 고딕"/>
        <family val="3"/>
        <charset val="129"/>
        <scheme val="minor"/>
      </rPr>
      <t>를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첫자리</t>
    </r>
    <r>
      <rPr>
        <b/>
        <sz val="12"/>
        <color theme="1"/>
        <rFont val="맑은 고딕"/>
        <family val="3"/>
        <charset val="129"/>
        <scheme val="minor"/>
      </rPr>
      <t xml:space="preserve"> 1234</t>
    </r>
    <r>
      <rPr>
        <b/>
        <sz val="12"/>
        <color theme="1"/>
        <rFont val="맑은 고딕"/>
        <family val="3"/>
        <charset val="129"/>
        <scheme val="minor"/>
      </rPr>
      <t>제한</t>
    </r>
    <r>
      <rPr>
        <b/>
        <sz val="12"/>
        <color theme="1"/>
        <rFont val="맑은 고딕"/>
        <family val="3"/>
        <charset val="129"/>
        <scheme val="minor"/>
      </rPr>
      <t xml:space="preserve">, </t>
    </r>
    <r>
      <rPr>
        <b/>
        <sz val="12"/>
        <color theme="1"/>
        <rFont val="맑은 고딕"/>
        <family val="3"/>
        <charset val="129"/>
        <scheme val="minor"/>
      </rPr>
      <t>학습율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조정</t>
    </r>
    <r>
      <rPr>
        <b/>
        <sz val="12"/>
        <color theme="1"/>
        <rFont val="맑은 고딕"/>
        <family val="3"/>
        <charset val="129"/>
        <scheme val="minor"/>
      </rPr>
      <t xml:space="preserve">. </t>
    </r>
    <r>
      <rPr>
        <b/>
        <sz val="12"/>
        <color theme="1"/>
        <rFont val="맑은 고딕"/>
        <family val="3"/>
        <charset val="129"/>
        <scheme val="minor"/>
      </rPr>
      <t>두자리예측모델은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세자리예측모델로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대체하는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것으로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하고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일단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버린다</t>
    </r>
    <r>
      <rPr>
        <b/>
        <sz val="12"/>
        <color theme="1"/>
        <rFont val="맑은 고딕"/>
        <family val="3"/>
        <charset val="129"/>
        <scheme val="minor"/>
      </rPr>
      <t>.</t>
    </r>
    <phoneticPr fontId="5"/>
  </si>
  <si>
    <r>
      <t># 70103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2"/>
        <scheme val="minor"/>
      </rPr>
      <t xml:space="preserve">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2"/>
        <scheme val="minor"/>
      </rPr>
      <t xml:space="preserve"> 3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phoneticPr fontId="5"/>
  </si>
  <si>
    <r>
      <t># 70101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bodds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3</t>
    </r>
    <r>
      <rPr>
        <sz val="12"/>
        <color theme="1"/>
        <rFont val="맑은 고딕"/>
        <family val="3"/>
        <charset val="129"/>
        <scheme val="minor"/>
      </rPr>
      <t>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</t>
    </r>
    <r>
      <rPr>
        <sz val="12"/>
        <color theme="1"/>
        <rFont val="맑은 고딕"/>
        <family val="2"/>
        <scheme val="minor"/>
      </rPr>
      <t xml:space="preserve"> 79201</t>
    </r>
    <r>
      <rPr>
        <sz val="12"/>
        <color theme="1"/>
        <rFont val="맑은 고딕"/>
        <family val="3"/>
        <charset val="129"/>
        <scheme val="minor"/>
      </rPr>
      <t>보다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성능이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좋다</t>
    </r>
    <r>
      <rPr>
        <sz val="12"/>
        <color theme="1"/>
        <rFont val="맑은 고딕"/>
        <family val="2"/>
        <scheme val="minor"/>
      </rPr>
      <t xml:space="preserve">  -&gt; </t>
    </r>
    <r>
      <rPr>
        <sz val="12"/>
        <color theme="1"/>
        <rFont val="맑은 고딕"/>
        <family val="3"/>
        <charset val="129"/>
        <scheme val="minor"/>
      </rPr>
      <t>최초모델을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바로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추가학습하지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말고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최초모델에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및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조정한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후에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추가학습하는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것이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좋다</t>
    </r>
    <phoneticPr fontId="5"/>
  </si>
  <si>
    <r>
      <t># 99100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바로</t>
    </r>
    <r>
      <rPr>
        <sz val="12"/>
        <rFont val="맑은 고딕"/>
        <family val="3"/>
        <charset val="129"/>
        <scheme val="minor"/>
      </rPr>
      <t xml:space="preserve"> probabilities +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3"/>
        <charset val="129"/>
        <scheme val="minor"/>
      </rPr>
      <t xml:space="preserve"> 2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phoneticPr fontId="5"/>
  </si>
  <si>
    <r>
      <t># 99103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바로</t>
    </r>
    <r>
      <rPr>
        <sz val="12"/>
        <rFont val="맑은 고딕"/>
        <family val="3"/>
        <charset val="129"/>
        <scheme val="minor"/>
      </rPr>
      <t xml:space="preserve">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3"/>
        <charset val="129"/>
        <scheme val="minor"/>
      </rPr>
      <t xml:space="preserve"> 2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phoneticPr fontId="5"/>
  </si>
  <si>
    <r>
      <t># 99100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바로</t>
    </r>
    <r>
      <rPr>
        <sz val="12"/>
        <rFont val="맑은 고딕"/>
        <family val="3"/>
        <charset val="129"/>
        <scheme val="minor"/>
      </rPr>
      <t xml:space="preserve">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3"/>
        <charset val="129"/>
        <scheme val="minor"/>
      </rPr>
      <t xml:space="preserve"> 2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r>
      <rPr>
        <sz val="12"/>
        <rFont val="맑은 고딕"/>
        <family val="3"/>
        <charset val="129"/>
        <scheme val="minor"/>
      </rPr>
      <t>,</t>
    </r>
    <phoneticPr fontId="5"/>
  </si>
  <si>
    <r>
      <t># 99103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바로</t>
    </r>
    <r>
      <rPr>
        <sz val="12"/>
        <rFont val="맑은 고딕"/>
        <family val="3"/>
        <charset val="129"/>
        <scheme val="minor"/>
      </rPr>
      <t xml:space="preserve"> probabilities +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3"/>
        <charset val="129"/>
        <scheme val="minor"/>
      </rPr>
      <t xml:space="preserve"> 2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phoneticPr fontId="5"/>
  </si>
  <si>
    <r>
      <t># 99100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첫자리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. </t>
    </r>
    <r>
      <rPr>
        <sz val="12"/>
        <color theme="1"/>
        <rFont val="맑은 고딕"/>
        <family val="3"/>
        <charset val="129"/>
        <scheme val="minor"/>
      </rPr>
      <t>학습률조정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시기는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위의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결과후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진로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결정</t>
    </r>
    <phoneticPr fontId="5"/>
  </si>
  <si>
    <r>
      <t># 99103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첫자리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. </t>
    </r>
    <r>
      <rPr>
        <sz val="12"/>
        <color theme="1"/>
        <rFont val="맑은 고딕"/>
        <family val="3"/>
        <charset val="129"/>
        <scheme val="minor"/>
      </rPr>
      <t>학습률조정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시기는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위의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결과후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진로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결정</t>
    </r>
    <r>
      <rPr>
        <sz val="12"/>
        <color theme="1"/>
        <rFont val="맑은 고딕"/>
        <family val="2"/>
        <scheme val="minor"/>
      </rPr>
      <t>+</t>
    </r>
    <phoneticPr fontId="5"/>
  </si>
  <si>
    <t>rank123</t>
    <phoneticPr fontId="5"/>
  </si>
  <si>
    <t>precision</t>
    <phoneticPr fontId="5"/>
  </si>
  <si>
    <t xml:space="preserve">rank1-1 </t>
    <phoneticPr fontId="5"/>
  </si>
  <si>
    <t xml:space="preserve">rank2-2 </t>
    <phoneticPr fontId="5"/>
  </si>
  <si>
    <t xml:space="preserve">rank3-3 </t>
    <phoneticPr fontId="5"/>
  </si>
  <si>
    <t>recall</t>
    <phoneticPr fontId="5"/>
  </si>
  <si>
    <t>score-difference</t>
    <phoneticPr fontId="5"/>
  </si>
  <si>
    <t>learning-rate-r1</t>
    <phoneticPr fontId="5"/>
  </si>
  <si>
    <t>modelno</t>
    <phoneticPr fontId="5"/>
  </si>
  <si>
    <r>
      <t>1</t>
    </r>
    <r>
      <rPr>
        <sz val="12"/>
        <color theme="1"/>
        <rFont val="맑은 고딕"/>
        <family val="3"/>
        <charset val="129"/>
        <scheme val="minor"/>
      </rPr>
      <t>차</t>
    </r>
    <phoneticPr fontId="5"/>
  </si>
  <si>
    <r>
      <t>2</t>
    </r>
    <r>
      <rPr>
        <sz val="12"/>
        <color theme="1"/>
        <rFont val="맑은 고딕"/>
        <family val="3"/>
        <charset val="129"/>
        <scheme val="minor"/>
      </rPr>
      <t>차</t>
    </r>
    <phoneticPr fontId="5"/>
  </si>
  <si>
    <r>
      <t>3</t>
    </r>
    <r>
      <rPr>
        <sz val="12"/>
        <color theme="1"/>
        <rFont val="맑은 고딕"/>
        <family val="3"/>
        <charset val="129"/>
        <scheme val="minor"/>
      </rPr>
      <t>차</t>
    </r>
    <phoneticPr fontId="5"/>
  </si>
  <si>
    <t>arff_2_79101</t>
    <phoneticPr fontId="5"/>
  </si>
  <si>
    <t>clf_2_79101</t>
    <phoneticPr fontId="5"/>
  </si>
  <si>
    <t>clf_2_70101</t>
    <phoneticPr fontId="5"/>
  </si>
  <si>
    <t>arff_2_70101</t>
    <phoneticPr fontId="5"/>
  </si>
  <si>
    <t>arff_2_70103</t>
    <phoneticPr fontId="5"/>
  </si>
  <si>
    <t>clf_2_70103</t>
    <phoneticPr fontId="5"/>
  </si>
  <si>
    <t>arff_3_79201</t>
    <phoneticPr fontId="5"/>
  </si>
  <si>
    <t>clf_3_79201</t>
    <phoneticPr fontId="5"/>
  </si>
  <si>
    <t>arff_3_70203</t>
    <phoneticPr fontId="5"/>
  </si>
  <si>
    <t>clf_3_70203</t>
    <phoneticPr fontId="5"/>
  </si>
  <si>
    <t>arff_3_70201</t>
    <phoneticPr fontId="5"/>
  </si>
  <si>
    <t>clf_3_70201</t>
    <phoneticPr fontId="5"/>
  </si>
  <si>
    <t>ml_classification</t>
    <phoneticPr fontId="5"/>
  </si>
  <si>
    <t>O</t>
    <phoneticPr fontId="5"/>
  </si>
  <si>
    <t># featureset fs_1</t>
    <phoneticPr fontId="5"/>
  </si>
  <si>
    <t>20210602</t>
    <phoneticPr fontId="5"/>
  </si>
  <si>
    <t>arff_1</t>
    <phoneticPr fontId="5"/>
  </si>
  <si>
    <t>1825</t>
    <phoneticPr fontId="5"/>
  </si>
  <si>
    <t>yes</t>
    <phoneticPr fontId="5"/>
  </si>
  <si>
    <t>fs_2</t>
    <phoneticPr fontId="5"/>
  </si>
  <si>
    <t>fs_3</t>
    <phoneticPr fontId="5"/>
  </si>
  <si>
    <t>fs_4</t>
    <phoneticPr fontId="5"/>
  </si>
  <si>
    <t>fs_5</t>
    <phoneticPr fontId="5"/>
  </si>
  <si>
    <t>fs_6</t>
    <phoneticPr fontId="5"/>
  </si>
  <si>
    <t>kumiban</t>
    <phoneticPr fontId="5"/>
  </si>
  <si>
    <t>cnt</t>
    <phoneticPr fontId="5"/>
  </si>
  <si>
    <t>sum</t>
    <phoneticPr fontId="5"/>
  </si>
  <si>
    <t>r1-123x</t>
    <phoneticPr fontId="5"/>
  </si>
  <si>
    <t>#99999</t>
    <phoneticPr fontId="5"/>
  </si>
  <si>
    <t>r123-1x</t>
    <phoneticPr fontId="5"/>
  </si>
  <si>
    <t>x</t>
    <phoneticPr fontId="5"/>
  </si>
  <si>
    <t>r123-12x</t>
    <phoneticPr fontId="5"/>
  </si>
  <si>
    <t>r123-123x</t>
    <phoneticPr fontId="5"/>
  </si>
  <si>
    <t>r123-1234x</t>
    <phoneticPr fontId="5"/>
  </si>
  <si>
    <t>rank124</t>
    <phoneticPr fontId="5"/>
  </si>
  <si>
    <t>rank126</t>
    <phoneticPr fontId="5"/>
  </si>
  <si>
    <t>rank124</t>
    <phoneticPr fontId="5"/>
  </si>
  <si>
    <t>support</t>
    <phoneticPr fontId="5"/>
  </si>
  <si>
    <t>train-score(rank1)</t>
    <phoneticPr fontId="5"/>
  </si>
  <si>
    <t>test-score(rank1)</t>
    <phoneticPr fontId="5"/>
  </si>
  <si>
    <t>score</t>
    <phoneticPr fontId="5"/>
  </si>
  <si>
    <t>classifyr123</t>
    <phoneticPr fontId="5"/>
  </si>
  <si>
    <t>cf_lgbm-0.05_py</t>
    <phoneticPr fontId="5"/>
  </si>
  <si>
    <t>20230420</t>
  </si>
  <si>
    <t>20230420</t>
    <phoneticPr fontId="5"/>
  </si>
  <si>
    <t>fs_7</t>
    <phoneticPr fontId="5"/>
  </si>
  <si>
    <t>fs_9</t>
    <phoneticPr fontId="5"/>
  </si>
  <si>
    <t>#枠番1,2,6</t>
    <rPh sb="1" eb="3">
      <t>ワクバン</t>
    </rPh>
    <phoneticPr fontId="5"/>
  </si>
  <si>
    <t>#枠番1,2,3,4</t>
    <rPh sb="1" eb="3">
      <t>ワクバン</t>
    </rPh>
    <phoneticPr fontId="5"/>
  </si>
  <si>
    <t>11402</t>
    <phoneticPr fontId="5"/>
  </si>
  <si>
    <t>13402</t>
    <phoneticPr fontId="5"/>
  </si>
  <si>
    <t>20230331</t>
    <phoneticPr fontId="5"/>
  </si>
  <si>
    <t>original</t>
    <phoneticPr fontId="5"/>
  </si>
  <si>
    <t>kumiban</t>
    <phoneticPr fontId="5"/>
  </si>
  <si>
    <t>같은 기간의 베팅수 분포</t>
    <phoneticPr fontId="5"/>
  </si>
  <si>
    <t>arff_11</t>
    <phoneticPr fontId="5"/>
  </si>
  <si>
    <t>clf_11</t>
    <phoneticPr fontId="5"/>
  </si>
  <si>
    <t>fs_10</t>
    <phoneticPr fontId="5"/>
  </si>
  <si>
    <t>fs_11</t>
    <phoneticPr fontId="5"/>
  </si>
  <si>
    <t>#選手傾向 + nw</t>
    <rPh sb="1" eb="3">
      <t>センシュ</t>
    </rPh>
    <rPh sb="3" eb="5">
      <t>ケイコウ</t>
    </rPh>
    <phoneticPr fontId="5"/>
  </si>
  <si>
    <t># 選手傾向 + nw + en</t>
    <phoneticPr fontId="5"/>
  </si>
  <si>
    <t># 選手傾向 + en</t>
    <phoneticPr fontId="5"/>
  </si>
  <si>
    <t># 選手傾向 only</t>
    <phoneticPr fontId="5"/>
  </si>
  <si>
    <t>fs_12</t>
    <phoneticPr fontId="5"/>
  </si>
  <si>
    <t>fs_13</t>
    <phoneticPr fontId="5"/>
  </si>
  <si>
    <t>11605</t>
    <phoneticPr fontId="5"/>
  </si>
  <si>
    <t>11606</t>
    <phoneticPr fontId="5"/>
  </si>
  <si>
    <t>11607</t>
    <phoneticPr fontId="5"/>
  </si>
  <si>
    <t>11608</t>
    <phoneticPr fontId="5"/>
  </si>
  <si>
    <t>99080</t>
    <phoneticPr fontId="5"/>
  </si>
  <si>
    <t>99083</t>
    <phoneticPr fontId="5"/>
  </si>
  <si>
    <t># 選手傾向 + nw + en、削除：slope全体, motor, sex, age, late, avgst</t>
  </si>
  <si>
    <t>fs_14</t>
    <phoneticPr fontId="5"/>
  </si>
  <si>
    <t>20180601</t>
    <phoneticPr fontId="5"/>
  </si>
  <si>
    <t>●</t>
    <phoneticPr fontId="5"/>
  </si>
  <si>
    <t>11609</t>
    <phoneticPr fontId="5"/>
  </si>
  <si>
    <t>13609</t>
    <phoneticPr fontId="5"/>
  </si>
  <si>
    <t>31609</t>
    <phoneticPr fontId="5"/>
  </si>
  <si>
    <t>fs_15</t>
    <phoneticPr fontId="5"/>
  </si>
  <si>
    <t>arff_3_31609</t>
  </si>
  <si>
    <t>arff_3_33609</t>
    <phoneticPr fontId="5"/>
  </si>
  <si>
    <t>fs_16</t>
    <phoneticPr fontId="5"/>
  </si>
  <si>
    <t xml:space="preserve"># 11609結果 + probabilities + bodds </t>
    <phoneticPr fontId="5"/>
  </si>
  <si>
    <t xml:space="preserve"># 13609結果  + bodds </t>
    <phoneticPr fontId="5"/>
  </si>
  <si>
    <t>clf_3_31609</t>
    <phoneticPr fontId="5"/>
  </si>
  <si>
    <t>clf_3_33609</t>
    <phoneticPr fontId="5"/>
  </si>
  <si>
    <t># 11609結果 + bodds</t>
    <phoneticPr fontId="5"/>
  </si>
  <si>
    <t>fs_17</t>
    <phoneticPr fontId="5"/>
  </si>
  <si>
    <t>fs_18</t>
    <phoneticPr fontId="5"/>
  </si>
  <si>
    <t>arff_2_21609</t>
    <phoneticPr fontId="5"/>
  </si>
  <si>
    <t>clf_2_21609</t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</si>
  <si>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최초모델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디폴트</t>
    </r>
    <r>
      <rPr>
        <sz val="12"/>
        <color theme="1"/>
        <rFont val="맑은 고딕"/>
        <family val="2"/>
        <scheme val="minor"/>
      </rPr>
      <t xml:space="preserve"> 0.1</t>
    </r>
    <phoneticPr fontId="5"/>
  </si>
  <si>
    <r>
      <t># 99100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첫자리</t>
    </r>
    <r>
      <rPr>
        <sz val="12"/>
        <color theme="1"/>
        <rFont val="맑은 고딕"/>
        <family val="2"/>
        <scheme val="minor"/>
      </rPr>
      <t xml:space="preserve"> 1234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, </t>
    </r>
    <r>
      <rPr>
        <sz val="12"/>
        <color theme="1"/>
        <rFont val="맑은 고딕"/>
        <family val="3"/>
        <charset val="129"/>
        <scheme val="minor"/>
      </rPr>
      <t>학습률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조정</t>
    </r>
    <phoneticPr fontId="5"/>
  </si>
  <si>
    <r>
      <t># 99103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첫자리</t>
    </r>
    <r>
      <rPr>
        <sz val="12"/>
        <color theme="1"/>
        <rFont val="맑은 고딕"/>
        <family val="2"/>
        <scheme val="minor"/>
      </rPr>
      <t xml:space="preserve"> 1234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, </t>
    </r>
    <r>
      <rPr>
        <sz val="12"/>
        <color theme="1"/>
        <rFont val="맑은 고딕"/>
        <family val="3"/>
        <charset val="129"/>
        <scheme val="minor"/>
      </rPr>
      <t>학습률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조정</t>
    </r>
    <phoneticPr fontId="5"/>
  </si>
  <si>
    <r>
      <t># 90100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probabilities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2</t>
    </r>
    <r>
      <rPr>
        <sz val="12"/>
        <color theme="1"/>
        <rFont val="맑은 고딕"/>
        <family val="3"/>
        <charset val="129"/>
        <scheme val="minor"/>
      </rPr>
      <t>차학습</t>
    </r>
    <r>
      <rPr>
        <sz val="12"/>
        <color theme="1"/>
        <rFont val="맑은 고딕"/>
        <family val="2"/>
        <scheme val="minor"/>
      </rPr>
      <t xml:space="preserve">  79101</t>
    </r>
    <r>
      <rPr>
        <sz val="12"/>
        <color theme="1"/>
        <rFont val="맑은 고딕"/>
        <family val="3"/>
        <charset val="129"/>
        <scheme val="minor"/>
      </rPr>
      <t>보다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미세하게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성능이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좋다</t>
    </r>
    <phoneticPr fontId="5"/>
  </si>
  <si>
    <r>
      <t># 90103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probabilities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2</t>
    </r>
    <r>
      <rPr>
        <sz val="12"/>
        <color theme="1"/>
        <rFont val="맑은 고딕"/>
        <family val="3"/>
        <charset val="129"/>
        <scheme val="minor"/>
      </rPr>
      <t>차학습</t>
    </r>
    <r>
      <rPr>
        <sz val="12"/>
        <color theme="1"/>
        <rFont val="맑은 고딕"/>
        <family val="2"/>
        <scheme val="minor"/>
      </rPr>
      <t xml:space="preserve"> </t>
    </r>
    <phoneticPr fontId="5"/>
  </si>
  <si>
    <r>
      <t># 79101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bodds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3</t>
    </r>
    <r>
      <rPr>
        <sz val="12"/>
        <color theme="1"/>
        <rFont val="맑은 고딕"/>
        <family val="3"/>
        <charset val="129"/>
        <scheme val="minor"/>
      </rPr>
      <t>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</t>
    </r>
    <phoneticPr fontId="5"/>
  </si>
  <si>
    <r>
      <t xml:space="preserve"># </t>
    </r>
    <r>
      <rPr>
        <sz val="12"/>
        <rFont val="맑은 고딕"/>
        <family val="3"/>
        <charset val="129"/>
        <scheme val="minor"/>
      </rPr>
      <t>모델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번호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첫자리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학습차수</t>
    </r>
    <r>
      <rPr>
        <sz val="12"/>
        <rFont val="맑은 고딕"/>
        <family val="2"/>
        <scheme val="minor"/>
      </rPr>
      <t xml:space="preserve">,   </t>
    </r>
    <r>
      <rPr>
        <sz val="12"/>
        <rFont val="맑은 고딕"/>
        <family val="3"/>
        <charset val="129"/>
        <scheme val="minor"/>
      </rPr>
      <t>두자리</t>
    </r>
    <r>
      <rPr>
        <sz val="12"/>
        <rFont val="맑은 고딕"/>
        <family val="2"/>
        <scheme val="minor"/>
      </rPr>
      <t xml:space="preserve"> 1=rank</t>
    </r>
    <r>
      <rPr>
        <sz val="12"/>
        <rFont val="맑은 고딕"/>
        <family val="3"/>
        <charset val="129"/>
        <scheme val="minor"/>
      </rPr>
      <t>한자리</t>
    </r>
    <r>
      <rPr>
        <sz val="12"/>
        <rFont val="맑은 고딕"/>
        <family val="2"/>
        <scheme val="minor"/>
      </rPr>
      <t xml:space="preserve">  3=rank3</t>
    </r>
    <r>
      <rPr>
        <sz val="12"/>
        <rFont val="맑은 고딕"/>
        <family val="3"/>
        <charset val="129"/>
        <scheme val="minor"/>
      </rPr>
      <t>자리</t>
    </r>
    <r>
      <rPr>
        <sz val="12"/>
        <rFont val="맑은 고딕"/>
        <family val="2"/>
        <scheme val="minor"/>
      </rPr>
      <t xml:space="preserve">,    </t>
    </r>
    <r>
      <rPr>
        <sz val="12"/>
        <rFont val="맑은 고딕"/>
        <family val="3"/>
        <charset val="129"/>
        <scheme val="minor"/>
      </rPr>
      <t>세번째자리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구미방제한방법</t>
    </r>
    <r>
      <rPr>
        <sz val="12"/>
        <rFont val="맑은 고딕"/>
        <family val="2"/>
        <scheme val="minor"/>
      </rPr>
      <t xml:space="preserve"> 6=123456,  2=12, 0=</t>
    </r>
    <r>
      <rPr>
        <sz val="12"/>
        <rFont val="맑은 고딕"/>
        <family val="3"/>
        <charset val="129"/>
        <scheme val="minor"/>
      </rPr>
      <t>분포수</t>
    </r>
    <phoneticPr fontId="5"/>
  </si>
  <si>
    <t>r2-2345</t>
    <phoneticPr fontId="5"/>
  </si>
  <si>
    <t>r3-3456</t>
    <phoneticPr fontId="5"/>
  </si>
  <si>
    <t>11100=(r1-1x)</t>
    <phoneticPr fontId="5"/>
  </si>
  <si>
    <t>99064=(r1-1x)</t>
    <phoneticPr fontId="5"/>
  </si>
  <si>
    <t>11102=(r1-1x)</t>
    <phoneticPr fontId="5"/>
  </si>
  <si>
    <r>
      <t># 99100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probabilities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2</t>
    </r>
    <r>
      <rPr>
        <sz val="12"/>
        <color theme="1"/>
        <rFont val="맑은 고딕"/>
        <family val="3"/>
        <charset val="129"/>
        <scheme val="minor"/>
      </rPr>
      <t>차학습</t>
    </r>
    <phoneticPr fontId="5"/>
  </si>
  <si>
    <r>
      <t># 11609結果 + probabilities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2</t>
    </r>
    <r>
      <rPr>
        <sz val="12"/>
        <color theme="1"/>
        <rFont val="맑은 고딕"/>
        <family val="3"/>
        <charset val="129"/>
        <scheme val="minor"/>
      </rPr>
      <t>차학습</t>
    </r>
    <phoneticPr fontId="5"/>
  </si>
  <si>
    <t>rk-1</t>
    <phoneticPr fontId="5"/>
  </si>
  <si>
    <t>x</t>
    <phoneticPr fontId="5"/>
  </si>
  <si>
    <t>rk_catb-1_py</t>
    <phoneticPr fontId="5"/>
  </si>
  <si>
    <t>clf_rk_1</t>
    <phoneticPr fontId="5"/>
  </si>
  <si>
    <t>arff_rk_1</t>
    <phoneticPr fontId="5"/>
  </si>
  <si>
    <t>fs_14</t>
    <phoneticPr fontId="5"/>
  </si>
  <si>
    <t>rk_1</t>
    <phoneticPr fontId="5"/>
  </si>
  <si>
    <t>20210603</t>
    <phoneticPr fontId="5"/>
  </si>
  <si>
    <t>rk_2</t>
    <phoneticPr fontId="5"/>
  </si>
  <si>
    <t>arff_rk_2</t>
    <phoneticPr fontId="5"/>
  </si>
  <si>
    <t>clf_rk_2</t>
    <phoneticPr fontId="5"/>
  </si>
  <si>
    <t>20230630</t>
  </si>
  <si>
    <t>fs_19</t>
    <phoneticPr fontId="5"/>
  </si>
  <si>
    <t>183</t>
  </si>
  <si>
    <t>#CatboostRanker 공식피쳐 + 트렌드피쳐</t>
    <phoneticPr fontId="5"/>
  </si>
  <si>
    <t>#CatboostRanker 공식피쳐</t>
    <phoneticPr fontId="5"/>
  </si>
  <si>
    <t>#LGBMClasssifier 공식피쳐 + 트렌드피쳐</t>
    <phoneticPr fontId="5"/>
  </si>
  <si>
    <t>class_rank4</t>
    <phoneticPr fontId="5"/>
  </si>
  <si>
    <t>algorithm_rank4</t>
    <phoneticPr fontId="5"/>
  </si>
  <si>
    <t>features_rank4</t>
    <phoneticPr fontId="5"/>
  </si>
  <si>
    <t>#LGBMClasssifier 공식피쳐 + 트렌드피쳐 rankcnt=4</t>
    <phoneticPr fontId="5"/>
  </si>
  <si>
    <t>cf_lgbm-7_py</t>
    <phoneticPr fontId="5"/>
  </si>
  <si>
    <t>#LGBMClasssifier Class Balanced en_nw_ext_25</t>
    <phoneticPr fontId="5"/>
  </si>
  <si>
    <t>#LGBMClasssifier fs_20피쳐</t>
    <phoneticPr fontId="5"/>
  </si>
  <si>
    <t>fs_20</t>
    <phoneticPr fontId="5"/>
  </si>
  <si>
    <t>#LGBMClasssifier fs_21피쳐</t>
    <phoneticPr fontId="5"/>
  </si>
  <si>
    <t>fs_21</t>
    <phoneticPr fontId="5"/>
  </si>
  <si>
    <t>fs_21</t>
    <phoneticPr fontId="5"/>
  </si>
  <si>
    <t>cf_lgbm-8_py</t>
    <phoneticPr fontId="5"/>
  </si>
  <si>
    <t>#LGBMRanker 공식피쳐 + 트렌드피쳐 + 랭크 피쳐</t>
    <phoneticPr fontId="5"/>
  </si>
  <si>
    <t>rk_lgbm-1_py</t>
    <phoneticPr fontId="5"/>
  </si>
  <si>
    <t>rk_3</t>
    <phoneticPr fontId="5"/>
  </si>
  <si>
    <t>rk-ip-1</t>
  </si>
  <si>
    <t>rk-ipSG-1</t>
    <phoneticPr fontId="5"/>
  </si>
  <si>
    <t>#CatboostRanker + ip SG + class_weight X + learning rate=0.01</t>
    <phoneticPr fontId="5"/>
  </si>
  <si>
    <t>#LGBMRanker + ip,G3 only + class_weight X + learning rate=0.01</t>
    <phoneticPr fontId="5"/>
  </si>
  <si>
    <t>#LGBMRanker + ip~ SG + class_weight X + learning rate=0.01</t>
    <phoneticPr fontId="5"/>
  </si>
  <si>
    <t>#LGBMRanker + ip,G3 only + class_weight O + learning rate=0.01</t>
    <phoneticPr fontId="5"/>
  </si>
  <si>
    <t>#LGBMRanker + ip~ SG + class_weight O + learning rate=0.01</t>
    <phoneticPr fontId="5"/>
  </si>
  <si>
    <t>#CatboostRanker + ip,G3 only + class_weight X + learning rate=0.01</t>
    <phoneticPr fontId="5"/>
  </si>
  <si>
    <t>rk-ip-2</t>
    <phoneticPr fontId="5"/>
  </si>
  <si>
    <t>#LGBMRanker + ip only + class_weight X + learning rate=0.1</t>
    <phoneticPr fontId="5"/>
  </si>
  <si>
    <t>#CatboostRanker + ip only + class_weight X + learning rate=0.1</t>
    <phoneticPr fontId="5"/>
  </si>
  <si>
    <t>#LGBMRanker + B1 only + class_weight X + learning rate=0.1</t>
    <phoneticPr fontId="5"/>
  </si>
  <si>
    <t>rk-B1</t>
    <phoneticPr fontId="5"/>
  </si>
  <si>
    <t>clf_rk_B1</t>
    <phoneticPr fontId="5"/>
  </si>
  <si>
    <t>20210603</t>
    <phoneticPr fontId="5"/>
  </si>
  <si>
    <t>#LGBMRanker + ip only + class_weight X + learning rate=0.1  6개월단위</t>
    <phoneticPr fontId="5"/>
  </si>
  <si>
    <t>#LGBMRanker + ip only + class_weight X + learning rate=0.1  1개월단위</t>
    <phoneticPr fontId="5"/>
  </si>
  <si>
    <t>30</t>
    <phoneticPr fontId="5"/>
  </si>
  <si>
    <t>#LGBMRanker + ip only + class_weight X + learning rate=0.1  1주단위</t>
    <phoneticPr fontId="5"/>
  </si>
  <si>
    <t>7</t>
    <phoneticPr fontId="5"/>
  </si>
  <si>
    <t>20231031</t>
    <phoneticPr fontId="5"/>
  </si>
  <si>
    <t>20210602</t>
    <phoneticPr fontId="5"/>
  </si>
  <si>
    <t>20220603</t>
    <phoneticPr fontId="5"/>
  </si>
  <si>
    <t>20230211</t>
    <phoneticPr fontId="5"/>
  </si>
  <si>
    <t>#LGBMRanker + B1 only + class_weight X + learning rate=0.1 1주단위</t>
    <phoneticPr fontId="5"/>
  </si>
  <si>
    <t>#LGBMRanker + ip only + class_weight X + learning rate=0.01  1개월단위</t>
    <phoneticPr fontId="5"/>
  </si>
  <si>
    <t>20210603</t>
    <phoneticPr fontId="5"/>
  </si>
  <si>
    <t>rk_4</t>
    <phoneticPr fontId="5"/>
  </si>
  <si>
    <t>arff_rk_3</t>
    <phoneticPr fontId="5"/>
  </si>
  <si>
    <t>clf_rk_3</t>
    <phoneticPr fontId="5"/>
  </si>
  <si>
    <t>20230602</t>
    <phoneticPr fontId="5"/>
  </si>
  <si>
    <t>730</t>
    <phoneticPr fontId="5"/>
  </si>
  <si>
    <t>#LGBMRanker + ip SG + class_weight X + learning rate=0.2  bodds,stexhi</t>
    <phoneticPr fontId="5"/>
  </si>
  <si>
    <t>#LGBMRanker + ip SG + class_weight X + learning rate=0.2  bodds rank,stexhi</t>
    <phoneticPr fontId="5"/>
  </si>
  <si>
    <t>rk_5</t>
    <phoneticPr fontId="5"/>
  </si>
  <si>
    <t>20231031</t>
    <phoneticPr fontId="5"/>
  </si>
  <si>
    <t>r12-all-ip</t>
    <phoneticPr fontId="5"/>
  </si>
  <si>
    <t>r123-all-ip</t>
    <phoneticPr fontId="5"/>
  </si>
  <si>
    <t>cf_lgbm-7_py</t>
    <phoneticPr fontId="5"/>
  </si>
  <si>
    <t># 다시 생성 fs_22 + ip only + class_weight O + learning rate=0.1  1개월단위</t>
    <phoneticPr fontId="5"/>
  </si>
  <si>
    <t>20210603</t>
    <phoneticPr fontId="5"/>
  </si>
  <si>
    <t>rk-ipSG-1</t>
    <phoneticPr fontId="5"/>
  </si>
  <si>
    <t>rk_2</t>
    <phoneticPr fontId="5"/>
  </si>
  <si>
    <t>fs_19</t>
    <phoneticPr fontId="5"/>
  </si>
  <si>
    <t>20210603</t>
    <phoneticPr fontId="5"/>
  </si>
  <si>
    <t>#LGBMRanker + ipSG + class_weight X + learning rate=0.1  1개월단위</t>
    <phoneticPr fontId="5"/>
  </si>
  <si>
    <t>30</t>
    <phoneticPr fontId="5"/>
  </si>
  <si>
    <t>20240426</t>
    <phoneticPr fontId="5"/>
  </si>
  <si>
    <t>rk_6</t>
    <phoneticPr fontId="5"/>
  </si>
  <si>
    <t># 20015</t>
    <phoneticPr fontId="5"/>
  </si>
  <si>
    <t># 20016</t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</si>
  <si>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color theme="1"/>
        <rFont val="맑은 고딕"/>
        <family val="2"/>
        <scheme val="minor"/>
      </rPr>
      <t xml:space="preserve"> 1개월단위</t>
    </r>
    <phoneticPr fontId="5"/>
  </si>
  <si>
    <t>#CatboostRanker + ipSG + class_weight X + iterations=100  1개월단위</t>
    <phoneticPr fontId="5"/>
  </si>
  <si>
    <r>
      <t xml:space="preserve">#CatboostRanker + ipSG + class_weight X + iterations=100 + learning rate = 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rFont val="맑은 고딕"/>
        <family val="2"/>
        <scheme val="minor"/>
      </rPr>
      <t xml:space="preserve"> 1개월단위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</si>
  <si>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0.005</t>
    </r>
    <r>
      <rPr>
        <sz val="12"/>
        <color theme="1"/>
        <rFont val="맑은 고딕"/>
        <family val="2"/>
        <scheme val="minor"/>
      </rPr>
      <t xml:space="preserve"> 1개월단위</t>
    </r>
    <phoneticPr fontId="5"/>
  </si>
  <si>
    <r>
      <t xml:space="preserve">#CatboostRanker + ipSG + class_weight X + iterations=100 + learning rate = </t>
    </r>
    <r>
      <rPr>
        <sz val="12"/>
        <color rgb="FFFF0000"/>
        <rFont val="맑은 고딕"/>
        <family val="3"/>
        <charset val="129"/>
        <scheme val="minor"/>
      </rPr>
      <t>0.005</t>
    </r>
    <r>
      <rPr>
        <sz val="12"/>
        <rFont val="맑은 고딕"/>
        <family val="2"/>
        <scheme val="minor"/>
      </rPr>
      <t xml:space="preserve"> 1개월단위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</si>
  <si>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0.03</t>
    </r>
    <r>
      <rPr>
        <sz val="12"/>
        <color theme="1"/>
        <rFont val="맑은 고딕"/>
        <family val="2"/>
        <scheme val="minor"/>
      </rPr>
      <t xml:space="preserve"> 1개월단위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</si>
  <si>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0.05</t>
    </r>
    <r>
      <rPr>
        <sz val="12"/>
        <color theme="1"/>
        <rFont val="맑은 고딕"/>
        <family val="2"/>
        <scheme val="minor"/>
      </rPr>
      <t xml:space="preserve"> 1개월단위</t>
    </r>
    <phoneticPr fontId="5"/>
  </si>
  <si>
    <t>cf_lgbm-8_py</t>
    <phoneticPr fontId="5"/>
  </si>
  <si>
    <t>fs_19</t>
    <phoneticPr fontId="5"/>
  </si>
  <si>
    <t>#LGBMClasssifier 공식피쳐 + 트렌드피쳐+ ip SG + class_weight O + learning rate=0.01  1개월단위</t>
    <phoneticPr fontId="5"/>
  </si>
  <si>
    <t>r123-all</t>
    <phoneticPr fontId="5"/>
  </si>
  <si>
    <t>20230603</t>
    <phoneticPr fontId="5"/>
  </si>
  <si>
    <t>20210603</t>
    <phoneticPr fontId="5"/>
  </si>
  <si>
    <t>rk_1</t>
  </si>
  <si>
    <t>rk_1</t>
    <phoneticPr fontId="5"/>
  </si>
  <si>
    <t>2555</t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</si>
  <si>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color theme="1"/>
        <rFont val="맑은 고딕"/>
        <family val="2"/>
        <scheme val="minor"/>
      </rPr>
      <t xml:space="preserve"> 1개월단위 7년치 학습 rk_1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</si>
  <si>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0.1</t>
    </r>
    <r>
      <rPr>
        <sz val="12"/>
        <color theme="1"/>
        <rFont val="맑은 고딕"/>
        <family val="2"/>
        <scheme val="minor"/>
      </rPr>
      <t xml:space="preserve"> 1개월단위 7년치 학습 rk_1</t>
    </r>
    <phoneticPr fontId="5"/>
  </si>
  <si>
    <t>학습기간</t>
  </si>
  <si>
    <t>피쳐</t>
  </si>
  <si>
    <t>학습률</t>
  </si>
  <si>
    <t>rk1</t>
  </si>
  <si>
    <t>rk2</t>
  </si>
  <si>
    <t>rk_2</t>
  </si>
  <si>
    <t>boosting_type</t>
  </si>
  <si>
    <t>gbdt</t>
    <phoneticPr fontId="5"/>
  </si>
  <si>
    <t>dart</t>
  </si>
  <si>
    <r>
      <t>num_leaves</t>
    </r>
    <r>
      <rPr>
        <sz val="12"/>
        <color rgb="FF404040"/>
        <rFont val="Arial"/>
        <family val="2"/>
      </rPr>
      <t> </t>
    </r>
  </si>
  <si>
    <t>max_depth</t>
  </si>
  <si>
    <t>learning_rate</t>
  </si>
  <si>
    <t>claude</t>
    <phoneticPr fontId="5"/>
  </si>
  <si>
    <t>8~10</t>
    <phoneticPr fontId="5"/>
  </si>
  <si>
    <t>64~128</t>
    <phoneticPr fontId="5"/>
  </si>
  <si>
    <t>min_data_in_leaf</t>
  </si>
  <si>
    <t>20~50</t>
    <phoneticPr fontId="5"/>
  </si>
  <si>
    <t>max_bin</t>
  </si>
  <si>
    <t>255~512</t>
    <phoneticPr fontId="5"/>
  </si>
  <si>
    <t>0.05~0.1</t>
    <phoneticPr fontId="5"/>
  </si>
  <si>
    <t>min_sum_hessian_in_leaf</t>
  </si>
  <si>
    <t>x</t>
    <phoneticPr fontId="5"/>
  </si>
  <si>
    <t>x</t>
    <phoneticPr fontId="5"/>
  </si>
  <si>
    <t>feature_fraction</t>
  </si>
  <si>
    <t>rk_7</t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</si>
  <si>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0.05</t>
    </r>
    <r>
      <rPr>
        <sz val="12"/>
        <color theme="1"/>
        <rFont val="맑은 고딕"/>
        <family val="2"/>
        <scheme val="minor"/>
      </rPr>
      <t xml:space="preserve"> 1개월단위 7년치 학습 </t>
    </r>
    <r>
      <rPr>
        <sz val="12"/>
        <color rgb="FFFF0000"/>
        <rFont val="맑은 고딕"/>
        <family val="3"/>
        <charset val="129"/>
        <scheme val="minor"/>
      </rPr>
      <t>rk_7, param = {'boosting_type':'dart', 'max_depth':8, 'num_leaves':64, 'learning_rate':0.05}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</si>
  <si>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color theme="1"/>
        <rFont val="맑은 고딕"/>
        <family val="2"/>
        <scheme val="minor"/>
      </rPr>
      <t xml:space="preserve"> 1개월단위 7년치 학습 </t>
    </r>
    <r>
      <rPr>
        <sz val="12"/>
        <color rgb="FFFF0000"/>
        <rFont val="맑은 고딕"/>
        <family val="3"/>
        <charset val="129"/>
        <scheme val="minor"/>
      </rPr>
      <t>rk_7, param = {'boosting_type':'gbdt', 'max_depth':10, 'num_leaves':128, 'learning_rate':0.01, 'reg_alpha':0.05, 'reg_lamda':0.05}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</si>
  <si>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color theme="1"/>
        <rFont val="맑은 고딕"/>
        <family val="2"/>
        <scheme val="minor"/>
      </rPr>
      <t xml:space="preserve"> 1개월단위 7년치 학습 </t>
    </r>
    <r>
      <rPr>
        <sz val="12"/>
        <color rgb="FFFF0000"/>
        <rFont val="맑은 고딕"/>
        <family val="3"/>
        <charset val="129"/>
        <scheme val="minor"/>
      </rPr>
      <t>rk_7, param = {'boosting_type':'dart', 'max_depth':10, 'num_leaves':128, 'learning_rate':0.01, 'reg_alpha':0.05}</t>
    </r>
    <phoneticPr fontId="5"/>
  </si>
  <si>
    <t xml:space="preserve">#LGBMClasssifier en_nw_ext_25  dart </t>
    <phoneticPr fontId="5"/>
  </si>
  <si>
    <t>cf_lgbm-9_py</t>
    <phoneticPr fontId="5"/>
  </si>
  <si>
    <t>r4-123456</t>
    <phoneticPr fontId="5"/>
  </si>
  <si>
    <t>cf_lgbm-10_py</t>
    <phoneticPr fontId="5"/>
  </si>
  <si>
    <t>#LGBMClasssifier en_nw_ext_25  dart tuning balanced</t>
    <phoneticPr fontId="5"/>
  </si>
  <si>
    <t>cf_lgbm-11_py</t>
    <phoneticPr fontId="5"/>
  </si>
  <si>
    <t>#LGBMClasssifier en_nw_ext_25  gbdt, balanced, tuning</t>
    <phoneticPr fontId="5"/>
  </si>
  <si>
    <t>#LGBMRanker + ip~ SG + class_weight O + learning rate=0.05, en=int</t>
    <phoneticPr fontId="5"/>
  </si>
  <si>
    <t>x</t>
    <phoneticPr fontId="5"/>
  </si>
  <si>
    <t>x</t>
    <phoneticPr fontId="5"/>
  </si>
  <si>
    <t>fs_19</t>
    <phoneticPr fontId="5"/>
  </si>
  <si>
    <t># LGBMClassifier + ip,sg + class_weight x + learning rate=0.01 123 이진선택</t>
    <phoneticPr fontId="5"/>
  </si>
  <si>
    <t>r1-1x</t>
    <phoneticPr fontId="5"/>
  </si>
  <si>
    <t>fs_20</t>
    <phoneticPr fontId="5"/>
  </si>
  <si>
    <t>r2-2x</t>
    <phoneticPr fontId="5"/>
  </si>
  <si>
    <t>r3-3x</t>
    <phoneticPr fontId="5"/>
  </si>
  <si>
    <t># LGBMClassifier + ip,sg + class_weight O + learning rate=0.1 123 각각이진선택</t>
    <phoneticPr fontId="5"/>
  </si>
  <si>
    <t># 20022를 G1에 대해서만</t>
    <phoneticPr fontId="5"/>
  </si>
  <si>
    <t>rk-G1</t>
    <phoneticPr fontId="5"/>
  </si>
  <si>
    <t># 20022를 G1에 대해서만 1주단위</t>
    <phoneticPr fontId="5"/>
  </si>
  <si>
    <t>20241031</t>
    <phoneticPr fontId="5"/>
  </si>
  <si>
    <r>
      <rPr>
        <sz val="12"/>
        <rFont val="맑은 고딕"/>
        <family val="3"/>
        <charset val="129"/>
        <scheme val="minor"/>
      </rPr>
      <t>#LGBMRanker + ipSG + class_weight X + learning rate=0.01 1개월단위 7년치 학습</t>
    </r>
    <r>
      <rPr>
        <sz val="12"/>
        <color rgb="FFFF0000"/>
        <rFont val="맑은 고딕"/>
        <family val="3"/>
        <charset val="129"/>
        <scheme val="minor"/>
      </rPr>
      <t xml:space="preserve"> rk_8</t>
    </r>
    <phoneticPr fontId="5"/>
  </si>
  <si>
    <t>rk_8</t>
    <phoneticPr fontId="5"/>
  </si>
  <si>
    <r>
      <rPr>
        <sz val="12"/>
        <rFont val="맑은 고딕"/>
        <family val="3"/>
        <charset val="129"/>
        <scheme val="minor"/>
      </rPr>
      <t xml:space="preserve">#LGBMRanker + ipSG + </t>
    </r>
    <r>
      <rPr>
        <sz val="12"/>
        <color rgb="FFFF0000"/>
        <rFont val="맑은 고딕"/>
        <family val="3"/>
        <charset val="129"/>
        <scheme val="minor"/>
      </rPr>
      <t>class_weight O</t>
    </r>
    <r>
      <rPr>
        <sz val="12"/>
        <rFont val="맑은 고딕"/>
        <family val="3"/>
        <charset val="129"/>
        <scheme val="minor"/>
      </rPr>
      <t xml:space="preserve"> + learning rate=0.01 1개월단위 7년치 학습</t>
    </r>
    <r>
      <rPr>
        <sz val="12"/>
        <color rgb="FFFF0000"/>
        <rFont val="맑은 고딕"/>
        <family val="3"/>
        <charset val="129"/>
        <scheme val="minor"/>
      </rPr>
      <t xml:space="preserve"> rk_8</t>
    </r>
    <phoneticPr fontId="5"/>
  </si>
  <si>
    <t>cf_lgbm-8_py</t>
    <phoneticPr fontId="5"/>
  </si>
  <si>
    <r>
      <t xml:space="preserve">#LGBMClasssifier </t>
    </r>
    <r>
      <rPr>
        <sz val="12"/>
        <color rgb="FFFF0000"/>
        <rFont val="맑은 고딕"/>
        <family val="3"/>
        <charset val="129"/>
        <scheme val="minor"/>
      </rPr>
      <t>SMOTE</t>
    </r>
    <r>
      <rPr>
        <sz val="12"/>
        <color theme="1"/>
        <rFont val="맑은 고딕"/>
        <family val="3"/>
        <charset val="129"/>
        <scheme val="minor"/>
      </rPr>
      <t xml:space="preserve"> en_nw_ext_25 7년학습</t>
    </r>
    <phoneticPr fontId="5"/>
  </si>
  <si>
    <t>nw_ext_28</t>
  </si>
  <si>
    <r>
      <t xml:space="preserve">#LGBMClasssifier </t>
    </r>
    <r>
      <rPr>
        <sz val="12"/>
        <color rgb="FFFF0000"/>
        <rFont val="맑은 고딕"/>
        <family val="3"/>
        <charset val="129"/>
        <scheme val="minor"/>
      </rPr>
      <t>SMOTE</t>
    </r>
    <r>
      <rPr>
        <sz val="12"/>
        <color theme="1"/>
        <rFont val="맑은 고딕"/>
        <family val="3"/>
        <charset val="129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nw_ext_28</t>
    </r>
    <r>
      <rPr>
        <sz val="12"/>
        <color theme="1"/>
        <rFont val="맑은 고딕"/>
        <family val="3"/>
        <charset val="129"/>
        <scheme val="minor"/>
      </rPr>
      <t xml:space="preserve"> 7년학습</t>
    </r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</si>
</sst>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9">
    <font>
      <sz val="12"/>
      <color theme="1"/>
      <name val="맑은 고딕"/>
      <family val="2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ＭＳ Ｐゴシック"/>
      <family val="2"/>
      <charset val="128"/>
    </font>
    <font>
      <sz val="12"/>
      <color theme="1"/>
      <name val="맑은 고딕"/>
      <family val="2"/>
      <scheme val="minor"/>
    </font>
    <font>
      <sz val="6"/>
      <name val="맑은 고딕"/>
      <family val="3"/>
      <charset val="128"/>
      <scheme val="minor"/>
    </font>
    <font>
      <sz val="12"/>
      <color theme="1"/>
      <name val="맑은 고딕"/>
      <family val="3"/>
      <charset val="129"/>
      <scheme val="minor"/>
    </font>
    <font>
      <sz val="11"/>
      <color indexed="81"/>
      <name val="ＭＳ Ｐゴシック"/>
      <family val="2"/>
    </font>
    <font>
      <b/>
      <sz val="11"/>
      <color indexed="81"/>
      <name val="굴림"/>
      <family val="3"/>
      <charset val="129"/>
    </font>
    <font>
      <sz val="11"/>
      <color indexed="81"/>
      <name val="굴림"/>
      <family val="3"/>
      <charset val="129"/>
    </font>
    <font>
      <b/>
      <sz val="11"/>
      <color indexed="81"/>
      <name val="ＭＳ Ｐゴシック"/>
      <family val="2"/>
    </font>
    <font>
      <u/>
      <sz val="11"/>
      <color indexed="81"/>
      <name val="ＭＳ Ｐゴシック"/>
      <family val="2"/>
    </font>
    <font>
      <b/>
      <sz val="12"/>
      <color theme="1"/>
      <name val="맑은 고딕"/>
      <family val="3"/>
      <charset val="129"/>
      <scheme val="minor"/>
    </font>
    <font>
      <b/>
      <sz val="12"/>
      <color theme="1"/>
      <name val="맑은 고딕"/>
      <family val="2"/>
      <scheme val="minor"/>
    </font>
    <font>
      <b/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rgb="FFFF0000"/>
      <name val="맑은 고딕"/>
      <family val="3"/>
      <charset val="129"/>
      <scheme val="minor"/>
    </font>
    <font>
      <sz val="12"/>
      <color rgb="FFFF0000"/>
      <name val="맑은 고딕"/>
      <family val="2"/>
      <scheme val="minor"/>
    </font>
    <font>
      <b/>
      <sz val="12"/>
      <color rgb="FF000000"/>
      <name val="맑은 고딕"/>
      <family val="2"/>
      <scheme val="minor"/>
    </font>
    <font>
      <sz val="12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8"/>
      <scheme val="minor"/>
    </font>
    <font>
      <b/>
      <sz val="12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i/>
      <sz val="11"/>
      <color rgb="FF555555"/>
      <name val="Arial"/>
      <family val="2"/>
    </font>
    <font>
      <sz val="12"/>
      <color rgb="FF404040"/>
      <name val="Arial"/>
      <family val="2"/>
    </font>
    <font>
      <b/>
      <sz val="12"/>
      <color rgb="FF40404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7E7AD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711">
    <xf numFmtId="0" fontId="0" fillId="0" borderId="0"/>
    <xf numFmtId="0" fontId="4" fillId="0" borderId="0"/>
    <xf numFmtId="0" fontId="3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9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0" borderId="0" xfId="0" applyNumberFormat="1" applyAlignment="1">
      <alignment horizontal="left" wrapText="1"/>
    </xf>
    <xf numFmtId="0" fontId="0" fillId="0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0" fontId="6" fillId="0" borderId="0" xfId="0" applyNumberFormat="1" applyFont="1"/>
    <xf numFmtId="0" fontId="0" fillId="0" borderId="0" xfId="0" applyNumberFormat="1"/>
    <xf numFmtId="0" fontId="14" fillId="0" borderId="0" xfId="0" applyNumberFormat="1" applyFont="1"/>
    <xf numFmtId="0" fontId="14" fillId="0" borderId="0" xfId="0" applyNumberFormat="1" applyFont="1" applyAlignment="1">
      <alignment horizontal="left"/>
    </xf>
    <xf numFmtId="0" fontId="0" fillId="0" borderId="0" xfId="0"/>
    <xf numFmtId="0" fontId="0" fillId="0" borderId="1" xfId="0" applyFont="1" applyBorder="1"/>
    <xf numFmtId="0" fontId="0" fillId="3" borderId="1" xfId="0" applyFont="1" applyFill="1" applyBorder="1"/>
    <xf numFmtId="49" fontId="6" fillId="0" borderId="0" xfId="0" applyNumberFormat="1" applyFont="1" applyFill="1"/>
    <xf numFmtId="0" fontId="0" fillId="0" borderId="0" xfId="0" applyFill="1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 applyFill="1"/>
    <xf numFmtId="49" fontId="0" fillId="0" borderId="0" xfId="0" quotePrefix="1" applyNumberFormat="1" applyFill="1"/>
    <xf numFmtId="49" fontId="0" fillId="2" borderId="0" xfId="0" applyNumberFormat="1" applyFill="1"/>
    <xf numFmtId="49" fontId="6" fillId="0" borderId="0" xfId="0" applyNumberFormat="1" applyFont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Alignment="1">
      <alignment horizontal="left"/>
    </xf>
    <xf numFmtId="10" fontId="0" fillId="0" borderId="0" xfId="0" applyNumberFormat="1"/>
    <xf numFmtId="0" fontId="14" fillId="0" borderId="0" xfId="0" applyNumberFormat="1" applyFont="1" applyFill="1" applyAlignment="1">
      <alignment horizontal="left"/>
    </xf>
    <xf numFmtId="0" fontId="0" fillId="0" borderId="0" xfId="0"/>
    <xf numFmtId="0" fontId="0" fillId="0" borderId="0" xfId="0"/>
    <xf numFmtId="0" fontId="6" fillId="0" borderId="0" xfId="0" applyFont="1"/>
    <xf numFmtId="0" fontId="15" fillId="0" borderId="0" xfId="0" applyNumberFormat="1" applyFont="1" applyAlignment="1">
      <alignment horizontal="left"/>
    </xf>
    <xf numFmtId="0" fontId="0" fillId="4" borderId="0" xfId="0" applyNumberFormat="1" applyFill="1" applyAlignment="1">
      <alignment horizontal="left"/>
    </xf>
    <xf numFmtId="49" fontId="0" fillId="4" borderId="0" xfId="0" applyNumberFormat="1" applyFill="1"/>
    <xf numFmtId="49" fontId="0" fillId="4" borderId="0" xfId="0" quotePrefix="1" applyNumberFormat="1" applyFill="1"/>
    <xf numFmtId="0" fontId="15" fillId="4" borderId="0" xfId="0" applyNumberFormat="1" applyFont="1" applyFill="1" applyAlignment="1">
      <alignment horizontal="left"/>
    </xf>
    <xf numFmtId="49" fontId="14" fillId="4" borderId="0" xfId="0" applyNumberFormat="1" applyFont="1" applyFill="1"/>
    <xf numFmtId="49" fontId="16" fillId="0" borderId="0" xfId="0" applyNumberFormat="1" applyFont="1"/>
    <xf numFmtId="0" fontId="16" fillId="0" borderId="0" xfId="0" applyNumberFormat="1" applyFont="1" applyAlignment="1">
      <alignment horizontal="left"/>
    </xf>
    <xf numFmtId="49" fontId="17" fillId="0" borderId="0" xfId="0" applyNumberFormat="1" applyFont="1" applyFill="1"/>
    <xf numFmtId="0" fontId="0" fillId="5" borderId="0" xfId="0" applyNumberFormat="1" applyFill="1" applyAlignment="1">
      <alignment horizontal="left"/>
    </xf>
    <xf numFmtId="49" fontId="17" fillId="0" borderId="0" xfId="0" applyNumberFormat="1" applyFont="1"/>
    <xf numFmtId="49" fontId="0" fillId="0" borderId="0" xfId="0" applyNumberFormat="1" applyFill="1"/>
    <xf numFmtId="0" fontId="0" fillId="0" borderId="0" xfId="0"/>
    <xf numFmtId="49" fontId="0" fillId="0" borderId="0" xfId="0" quotePrefix="1" applyNumberFormat="1" applyFill="1"/>
    <xf numFmtId="49" fontId="0" fillId="0" borderId="0" xfId="0" applyNumberFormat="1"/>
    <xf numFmtId="0" fontId="0" fillId="0" borderId="0" xfId="0" applyNumberFormat="1" applyAlignment="1">
      <alignment horizontal="left"/>
    </xf>
    <xf numFmtId="0" fontId="6" fillId="0" borderId="0" xfId="0" applyNumberFormat="1" applyFont="1" applyAlignment="1">
      <alignment horizontal="left"/>
    </xf>
    <xf numFmtId="49" fontId="18" fillId="6" borderId="2" xfId="0" applyNumberFormat="1" applyFont="1" applyFill="1" applyBorder="1" applyAlignment="1">
      <alignment horizontal="left" vertical="center" wrapText="1"/>
    </xf>
    <xf numFmtId="49" fontId="0" fillId="0" borderId="2" xfId="0" applyNumberFormat="1" applyBorder="1" applyAlignment="1">
      <alignment vertical="center"/>
    </xf>
    <xf numFmtId="1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49" fontId="0" fillId="5" borderId="0" xfId="0" applyNumberFormat="1" applyFill="1"/>
    <xf numFmtId="0" fontId="19" fillId="0" borderId="0" xfId="0" applyNumberFormat="1" applyFont="1" applyAlignment="1">
      <alignment horizontal="left"/>
    </xf>
    <xf numFmtId="0" fontId="14" fillId="4" borderId="0" xfId="0" applyNumberFormat="1" applyFont="1" applyFill="1" applyAlignment="1">
      <alignment horizontal="left"/>
    </xf>
    <xf numFmtId="0" fontId="14" fillId="7" borderId="0" xfId="0" applyNumberFormat="1" applyFont="1" applyFill="1" applyAlignment="1">
      <alignment horizontal="left"/>
    </xf>
    <xf numFmtId="0" fontId="14" fillId="8" borderId="0" xfId="0" applyNumberFormat="1" applyFont="1" applyFill="1" applyAlignment="1">
      <alignment horizontal="left"/>
    </xf>
    <xf numFmtId="0" fontId="17" fillId="0" borderId="0" xfId="0" applyNumberFormat="1" applyFont="1" applyAlignment="1">
      <alignment horizontal="left"/>
    </xf>
    <xf numFmtId="0" fontId="14" fillId="5" borderId="0" xfId="0" applyNumberFormat="1" applyFont="1" applyFill="1" applyAlignment="1">
      <alignment horizontal="left"/>
    </xf>
    <xf numFmtId="0" fontId="14" fillId="9" borderId="0" xfId="0" applyNumberFormat="1" applyFont="1" applyFill="1" applyAlignment="1">
      <alignment horizontal="left"/>
    </xf>
    <xf numFmtId="49" fontId="0" fillId="0" borderId="0" xfId="0" applyNumberFormat="1"/>
    <xf numFmtId="49" fontId="21" fillId="0" borderId="0" xfId="0" applyNumberFormat="1" applyFont="1"/>
    <xf numFmtId="0" fontId="15" fillId="0" borderId="0" xfId="0" applyNumberFormat="1" applyFont="1" applyFill="1" applyAlignment="1">
      <alignment horizontal="left"/>
    </xf>
    <xf numFmtId="49" fontId="22" fillId="0" borderId="0" xfId="0" applyNumberFormat="1" applyFont="1"/>
    <xf numFmtId="0" fontId="0" fillId="0" borderId="0" xfId="0" applyNumberFormat="1" applyFont="1" applyAlignment="1">
      <alignment horizontal="left"/>
    </xf>
    <xf numFmtId="0" fontId="15" fillId="0" borderId="0" xfId="0" applyFont="1"/>
    <xf numFmtId="0" fontId="0" fillId="0" borderId="0" xfId="0" applyFont="1" applyAlignment="1">
      <alignment wrapText="1"/>
    </xf>
    <xf numFmtId="0" fontId="15" fillId="0" borderId="3" xfId="0" applyFont="1" applyBorder="1"/>
    <xf numFmtId="0" fontId="15" fillId="4" borderId="3" xfId="0" applyFont="1" applyFill="1" applyBorder="1"/>
    <xf numFmtId="0" fontId="15" fillId="7" borderId="3" xfId="0" applyFont="1" applyFill="1" applyBorder="1"/>
    <xf numFmtId="0" fontId="15" fillId="0" borderId="0" xfId="0" applyFont="1" applyAlignment="1">
      <alignment horizontal="center" vertical="center"/>
    </xf>
    <xf numFmtId="0" fontId="24" fillId="0" borderId="0" xfId="0" applyNumberFormat="1" applyFont="1" applyFill="1" applyAlignment="1">
      <alignment horizontal="left"/>
    </xf>
    <xf numFmtId="49" fontId="24" fillId="0" borderId="0" xfId="0" applyNumberFormat="1" applyFont="1"/>
    <xf numFmtId="49" fontId="24" fillId="0" borderId="0" xfId="0" applyNumberFormat="1" applyFont="1" applyFill="1"/>
    <xf numFmtId="0" fontId="24" fillId="0" borderId="0" xfId="0" applyFont="1"/>
    <xf numFmtId="0" fontId="24" fillId="0" borderId="0" xfId="0" applyNumberFormat="1" applyFont="1" applyAlignment="1">
      <alignment horizontal="left"/>
    </xf>
    <xf numFmtId="49" fontId="21" fillId="0" borderId="0" xfId="0" applyNumberFormat="1" applyFont="1" applyFill="1"/>
    <xf numFmtId="0" fontId="21" fillId="0" borderId="0" xfId="0" applyFont="1"/>
    <xf numFmtId="49" fontId="23" fillId="0" borderId="0" xfId="0" applyNumberFormat="1" applyFont="1"/>
    <xf numFmtId="0" fontId="22" fillId="0" borderId="0" xfId="0" applyNumberFormat="1" applyFont="1" applyAlignment="1">
      <alignment horizontal="left"/>
    </xf>
    <xf numFmtId="0" fontId="0" fillId="2" borderId="5" xfId="0" applyFont="1" applyFill="1" applyBorder="1" applyAlignment="1">
      <alignment vertical="center" wrapText="1"/>
    </xf>
    <xf numFmtId="0" fontId="14" fillId="2" borderId="5" xfId="0" applyFont="1" applyFill="1" applyBorder="1" applyAlignment="1">
      <alignment vertical="center" wrapText="1"/>
    </xf>
    <xf numFmtId="0" fontId="0" fillId="11" borderId="5" xfId="0" applyFont="1" applyFill="1" applyBorder="1" applyAlignment="1">
      <alignment vertical="center" wrapText="1"/>
    </xf>
    <xf numFmtId="0" fontId="0" fillId="10" borderId="5" xfId="0" applyFont="1" applyFill="1" applyBorder="1" applyAlignment="1">
      <alignment vertical="center" wrapText="1"/>
    </xf>
    <xf numFmtId="0" fontId="15" fillId="0" borderId="6" xfId="0" applyFont="1" applyBorder="1"/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/>
    <xf numFmtId="0" fontId="15" fillId="7" borderId="8" xfId="0" applyFont="1" applyFill="1" applyBorder="1"/>
    <xf numFmtId="0" fontId="15" fillId="7" borderId="9" xfId="0" applyFont="1" applyFill="1" applyBorder="1"/>
    <xf numFmtId="0" fontId="15" fillId="0" borderId="10" xfId="0" applyFont="1" applyBorder="1" applyAlignment="1">
      <alignment horizontal="center" vertical="center"/>
    </xf>
    <xf numFmtId="0" fontId="15" fillId="7" borderId="11" xfId="0" applyFont="1" applyFill="1" applyBorder="1"/>
    <xf numFmtId="0" fontId="15" fillId="0" borderId="11" xfId="0" applyFont="1" applyBorder="1"/>
    <xf numFmtId="0" fontId="0" fillId="0" borderId="10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13" xfId="0" applyFont="1" applyBorder="1"/>
    <xf numFmtId="0" fontId="15" fillId="0" borderId="14" xfId="0" applyFont="1" applyBorder="1"/>
    <xf numFmtId="0" fontId="15" fillId="0" borderId="10" xfId="0" applyFont="1" applyFill="1" applyBorder="1" applyAlignment="1">
      <alignment horizontal="center" vertical="center"/>
    </xf>
    <xf numFmtId="0" fontId="15" fillId="0" borderId="3" xfId="0" applyFont="1" applyFill="1" applyBorder="1"/>
    <xf numFmtId="0" fontId="15" fillId="0" borderId="11" xfId="0" applyFont="1" applyFill="1" applyBorder="1"/>
    <xf numFmtId="0" fontId="15" fillId="2" borderId="16" xfId="0" applyFont="1" applyFill="1" applyBorder="1" applyAlignment="1">
      <alignment horizontal="center" vertical="center"/>
    </xf>
    <xf numFmtId="0" fontId="0" fillId="2" borderId="20" xfId="0" applyFont="1" applyFill="1" applyBorder="1" applyAlignment="1">
      <alignment horizontal="center" vertical="center" wrapText="1"/>
    </xf>
    <xf numFmtId="0" fontId="15" fillId="0" borderId="9" xfId="0" applyFont="1" applyBorder="1"/>
    <xf numFmtId="0" fontId="0" fillId="2" borderId="20" xfId="0" applyFont="1" applyFill="1" applyBorder="1" applyAlignment="1">
      <alignment vertical="center" wrapText="1"/>
    </xf>
    <xf numFmtId="0" fontId="15" fillId="0" borderId="7" xfId="0" applyFont="1" applyBorder="1"/>
    <xf numFmtId="0" fontId="15" fillId="0" borderId="10" xfId="0" applyFont="1" applyBorder="1"/>
    <xf numFmtId="0" fontId="15" fillId="0" borderId="10" xfId="0" applyFont="1" applyFill="1" applyBorder="1"/>
    <xf numFmtId="0" fontId="15" fillId="0" borderId="12" xfId="0" applyFont="1" applyBorder="1"/>
    <xf numFmtId="0" fontId="15" fillId="0" borderId="22" xfId="0" applyFont="1" applyBorder="1" applyAlignment="1">
      <alignment horizontal="center" vertical="center"/>
    </xf>
    <xf numFmtId="0" fontId="15" fillId="0" borderId="23" xfId="0" applyFont="1" applyBorder="1"/>
    <xf numFmtId="0" fontId="15" fillId="0" borderId="22" xfId="0" applyFont="1" applyBorder="1"/>
    <xf numFmtId="0" fontId="15" fillId="2" borderId="4" xfId="0" applyFont="1" applyFill="1" applyBorder="1"/>
    <xf numFmtId="0" fontId="0" fillId="2" borderId="24" xfId="0" applyFont="1" applyFill="1" applyBorder="1" applyAlignment="1">
      <alignment vertical="center" wrapText="1"/>
    </xf>
    <xf numFmtId="0" fontId="15" fillId="0" borderId="18" xfId="0" applyFont="1" applyBorder="1"/>
    <xf numFmtId="0" fontId="15" fillId="0" borderId="4" xfId="0" applyFont="1" applyBorder="1"/>
    <xf numFmtId="0" fontId="15" fillId="0" borderId="4" xfId="0" applyFont="1" applyFill="1" applyBorder="1"/>
    <xf numFmtId="0" fontId="15" fillId="0" borderId="25" xfId="0" applyFont="1" applyBorder="1"/>
    <xf numFmtId="0" fontId="15" fillId="0" borderId="26" xfId="0" applyFont="1" applyBorder="1"/>
    <xf numFmtId="0" fontId="0" fillId="11" borderId="20" xfId="0" applyFont="1" applyFill="1" applyBorder="1" applyAlignment="1">
      <alignment vertical="center" wrapText="1"/>
    </xf>
    <xf numFmtId="0" fontId="0" fillId="10" borderId="21" xfId="0" applyFont="1" applyFill="1" applyBorder="1" applyAlignment="1">
      <alignment vertical="center" wrapText="1"/>
    </xf>
    <xf numFmtId="0" fontId="15" fillId="7" borderId="10" xfId="0" applyFont="1" applyFill="1" applyBorder="1"/>
    <xf numFmtId="0" fontId="15" fillId="10" borderId="4" xfId="0" applyFont="1" applyFill="1" applyBorder="1"/>
    <xf numFmtId="0" fontId="0" fillId="10" borderId="24" xfId="0" applyFont="1" applyFill="1" applyBorder="1" applyAlignment="1">
      <alignment vertical="center" wrapText="1"/>
    </xf>
    <xf numFmtId="0" fontId="15" fillId="7" borderId="7" xfId="0" applyFont="1" applyFill="1" applyBorder="1"/>
    <xf numFmtId="0" fontId="22" fillId="0" borderId="3" xfId="0" applyNumberFormat="1" applyFont="1" applyBorder="1" applyAlignment="1">
      <alignment horizontal="left"/>
    </xf>
    <xf numFmtId="49" fontId="0" fillId="2" borderId="5" xfId="0" applyNumberFormat="1" applyFont="1" applyFill="1" applyBorder="1" applyAlignment="1">
      <alignment horizontal="center" vertical="center" wrapText="1"/>
    </xf>
    <xf numFmtId="49" fontId="0" fillId="2" borderId="21" xfId="0" applyNumberFormat="1" applyFont="1" applyFill="1" applyBorder="1" applyAlignment="1">
      <alignment horizontal="center" vertical="center" wrapText="1"/>
    </xf>
    <xf numFmtId="49" fontId="15" fillId="0" borderId="8" xfId="0" applyNumberFormat="1" applyFont="1" applyBorder="1"/>
    <xf numFmtId="49" fontId="15" fillId="0" borderId="9" xfId="0" applyNumberFormat="1" applyFont="1" applyBorder="1"/>
    <xf numFmtId="49" fontId="15" fillId="0" borderId="3" xfId="0" applyNumberFormat="1" applyFont="1" applyBorder="1"/>
    <xf numFmtId="49" fontId="15" fillId="0" borderId="11" xfId="0" applyNumberFormat="1" applyFont="1" applyBorder="1"/>
    <xf numFmtId="49" fontId="15" fillId="0" borderId="3" xfId="0" applyNumberFormat="1" applyFont="1" applyFill="1" applyBorder="1"/>
    <xf numFmtId="49" fontId="15" fillId="0" borderId="11" xfId="0" applyNumberFormat="1" applyFont="1" applyFill="1" applyBorder="1"/>
    <xf numFmtId="49" fontId="0" fillId="0" borderId="3" xfId="0" applyNumberFormat="1" applyFont="1" applyBorder="1"/>
    <xf numFmtId="49" fontId="0" fillId="0" borderId="11" xfId="0" applyNumberFormat="1" applyFont="1" applyBorder="1"/>
    <xf numFmtId="49" fontId="15" fillId="0" borderId="13" xfId="0" applyNumberFormat="1" applyFont="1" applyBorder="1"/>
    <xf numFmtId="49" fontId="15" fillId="0" borderId="14" xfId="0" applyNumberFormat="1" applyFont="1" applyBorder="1"/>
    <xf numFmtId="49" fontId="15" fillId="0" borderId="6" xfId="0" applyNumberFormat="1" applyFont="1" applyBorder="1"/>
    <xf numFmtId="49" fontId="15" fillId="0" borderId="23" xfId="0" applyNumberFormat="1" applyFont="1" applyBorder="1"/>
    <xf numFmtId="49" fontId="22" fillId="0" borderId="3" xfId="0" applyNumberFormat="1" applyFont="1" applyBorder="1" applyAlignment="1">
      <alignment horizontal="left"/>
    </xf>
    <xf numFmtId="49" fontId="15" fillId="0" borderId="0" xfId="0" applyNumberFormat="1" applyFont="1"/>
    <xf numFmtId="0" fontId="15" fillId="7" borderId="22" xfId="0" applyFont="1" applyFill="1" applyBorder="1"/>
    <xf numFmtId="0" fontId="15" fillId="7" borderId="6" xfId="0" applyFont="1" applyFill="1" applyBorder="1"/>
    <xf numFmtId="0" fontId="15" fillId="7" borderId="23" xfId="0" applyFont="1" applyFill="1" applyBorder="1"/>
    <xf numFmtId="0" fontId="15" fillId="4" borderId="6" xfId="0" applyFont="1" applyFill="1" applyBorder="1"/>
    <xf numFmtId="0" fontId="15" fillId="4" borderId="23" xfId="0" applyFont="1" applyFill="1" applyBorder="1"/>
    <xf numFmtId="0" fontId="15" fillId="4" borderId="11" xfId="0" applyFont="1" applyFill="1" applyBorder="1"/>
    <xf numFmtId="0" fontId="15" fillId="0" borderId="19" xfId="0" applyFont="1" applyBorder="1"/>
    <xf numFmtId="0" fontId="15" fillId="0" borderId="28" xfId="0" applyFont="1" applyBorder="1"/>
    <xf numFmtId="0" fontId="15" fillId="0" borderId="28" xfId="0" applyFont="1" applyFill="1" applyBorder="1"/>
    <xf numFmtId="0" fontId="21" fillId="0" borderId="3" xfId="0" applyNumberFormat="1" applyFont="1" applyBorder="1" applyAlignment="1">
      <alignment horizontal="left"/>
    </xf>
    <xf numFmtId="49" fontId="21" fillId="0" borderId="3" xfId="0" applyNumberFormat="1" applyFont="1" applyBorder="1" applyAlignment="1">
      <alignment horizontal="left"/>
    </xf>
    <xf numFmtId="49" fontId="16" fillId="0" borderId="3" xfId="0" applyNumberFormat="1" applyFont="1" applyBorder="1"/>
    <xf numFmtId="49" fontId="17" fillId="0" borderId="3" xfId="0" applyNumberFormat="1" applyFont="1" applyBorder="1"/>
    <xf numFmtId="0" fontId="17" fillId="0" borderId="3" xfId="0" applyNumberFormat="1" applyFont="1" applyBorder="1" applyAlignment="1">
      <alignment horizontal="left"/>
    </xf>
    <xf numFmtId="0" fontId="15" fillId="9" borderId="0" xfId="0" applyNumberFormat="1" applyFont="1" applyFill="1" applyAlignment="1">
      <alignment horizontal="left"/>
    </xf>
    <xf numFmtId="0" fontId="22" fillId="2" borderId="0" xfId="0" applyNumberFormat="1" applyFont="1" applyFill="1" applyAlignment="1">
      <alignment horizontal="left"/>
    </xf>
    <xf numFmtId="49" fontId="22" fillId="2" borderId="0" xfId="0" applyNumberFormat="1" applyFont="1" applyFill="1"/>
    <xf numFmtId="0" fontId="22" fillId="9" borderId="0" xfId="0" applyNumberFormat="1" applyFont="1" applyFill="1" applyAlignment="1">
      <alignment horizontal="left"/>
    </xf>
    <xf numFmtId="0" fontId="0" fillId="9" borderId="0" xfId="0" applyNumberFormat="1" applyFill="1" applyAlignment="1">
      <alignment horizontal="left"/>
    </xf>
    <xf numFmtId="0" fontId="24" fillId="9" borderId="0" xfId="0" applyNumberFormat="1" applyFont="1" applyFill="1" applyAlignment="1">
      <alignment horizontal="left"/>
    </xf>
    <xf numFmtId="0" fontId="0" fillId="2" borderId="0" xfId="0" applyNumberFormat="1" applyFill="1" applyAlignment="1">
      <alignment horizontal="left"/>
    </xf>
    <xf numFmtId="49" fontId="16" fillId="0" borderId="0" xfId="0" applyNumberFormat="1" applyFont="1" applyFill="1"/>
    <xf numFmtId="0" fontId="12" fillId="0" borderId="0" xfId="0" applyNumberFormat="1" applyFont="1" applyAlignment="1">
      <alignment horizontal="left"/>
    </xf>
    <xf numFmtId="0" fontId="12" fillId="0" borderId="0" xfId="0" applyNumberFormat="1" applyFont="1" applyFill="1" applyAlignment="1">
      <alignment horizontal="left"/>
    </xf>
    <xf numFmtId="0" fontId="28" fillId="0" borderId="0" xfId="0" applyFont="1"/>
    <xf numFmtId="0" fontId="27" fillId="0" borderId="0" xfId="0" applyFont="1"/>
    <xf numFmtId="0" fontId="26" fillId="0" borderId="0" xfId="0" applyFont="1"/>
    <xf numFmtId="0" fontId="0" fillId="0" borderId="0" xfId="0"/>
    <xf numFmtId="49" fontId="24" fillId="0" borderId="0" xfId="0" applyNumberFormat="1" applyFont="1"/>
    <xf numFmtId="49" fontId="0" fillId="0" borderId="0" xfId="0" applyNumberFormat="1"/>
    <xf numFmtId="0" fontId="0" fillId="0" borderId="0" xfId="0" applyNumberFormat="1" applyAlignment="1">
      <alignment horizontal="left"/>
    </xf>
    <xf numFmtId="0" fontId="15" fillId="10" borderId="17" xfId="0" applyFont="1" applyFill="1" applyBorder="1" applyAlignment="1">
      <alignment horizontal="center" vertical="center"/>
    </xf>
    <xf numFmtId="0" fontId="15" fillId="10" borderId="18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horizontal="center" vertical="center"/>
    </xf>
    <xf numFmtId="0" fontId="15" fillId="2" borderId="27" xfId="0" applyFont="1" applyFill="1" applyBorder="1" applyAlignment="1">
      <alignment horizontal="center"/>
    </xf>
    <xf numFmtId="0" fontId="15" fillId="2" borderId="18" xfId="0" applyFont="1" applyFill="1" applyBorder="1" applyAlignment="1">
      <alignment horizontal="center"/>
    </xf>
    <xf numFmtId="0" fontId="15" fillId="2" borderId="15" xfId="0" applyFont="1" applyFill="1" applyBorder="1" applyAlignment="1">
      <alignment horizontal="center"/>
    </xf>
    <xf numFmtId="0" fontId="15" fillId="11" borderId="27" xfId="0" applyFont="1" applyFill="1" applyBorder="1" applyAlignment="1">
      <alignment horizontal="center"/>
    </xf>
    <xf numFmtId="0" fontId="15" fillId="11" borderId="18" xfId="0" applyFont="1" applyFill="1" applyBorder="1" applyAlignment="1">
      <alignment horizontal="center"/>
    </xf>
    <xf numFmtId="0" fontId="15" fillId="11" borderId="15" xfId="0" applyFont="1" applyFill="1" applyBorder="1" applyAlignment="1">
      <alignment horizontal="center"/>
    </xf>
    <xf numFmtId="0" fontId="15" fillId="10" borderId="17" xfId="0" applyFont="1" applyFill="1" applyBorder="1" applyAlignment="1">
      <alignment horizontal="center"/>
    </xf>
    <xf numFmtId="0" fontId="15" fillId="10" borderId="18" xfId="0" applyFont="1" applyFill="1" applyBorder="1" applyAlignment="1">
      <alignment horizontal="center"/>
    </xf>
    <xf numFmtId="0" fontId="15" fillId="10" borderId="15" xfId="0" applyFont="1" applyFill="1" applyBorder="1" applyAlignment="1">
      <alignment horizontal="center"/>
    </xf>
    <xf numFmtId="49" fontId="6" fillId="2" borderId="17" xfId="0" applyNumberFormat="1" applyFont="1" applyFill="1" applyBorder="1" applyAlignment="1">
      <alignment horizontal="center"/>
    </xf>
    <xf numFmtId="49" fontId="15" fillId="2" borderId="18" xfId="0" applyNumberFormat="1" applyFont="1" applyFill="1" applyBorder="1" applyAlignment="1">
      <alignment horizontal="center"/>
    </xf>
    <xf numFmtId="49" fontId="15" fillId="2" borderId="19" xfId="0" applyNumberFormat="1" applyFont="1" applyFill="1" applyBorder="1" applyAlignment="1">
      <alignment horizontal="center"/>
    </xf>
    <xf numFmtId="0" fontId="15" fillId="10" borderId="15" xfId="0" applyFont="1" applyFill="1" applyBorder="1" applyAlignment="1">
      <alignment horizontal="center" vertical="center"/>
    </xf>
    <xf numFmtId="0" fontId="15" fillId="11" borderId="27" xfId="0" applyFont="1" applyFill="1" applyBorder="1" applyAlignment="1">
      <alignment horizontal="center" vertical="center"/>
    </xf>
    <xf numFmtId="0" fontId="15" fillId="11" borderId="18" xfId="0" applyFont="1" applyFill="1" applyBorder="1" applyAlignment="1">
      <alignment horizontal="center" vertical="center"/>
    </xf>
    <xf numFmtId="0" fontId="15" fillId="11" borderId="15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horizontal="center"/>
    </xf>
  </cellXfs>
  <cellStyles count="711">
    <cellStyle name="표준" xfId="0" builtinId="0"/>
    <cellStyle name="標準 2" xfId="1"/>
    <cellStyle name="標準 3" xfId="2"/>
    <cellStyle name="標準 3 10" xfId="67"/>
    <cellStyle name="標準 3 10 2" xfId="150"/>
    <cellStyle name="標準 3 10 2 2" xfId="314"/>
    <cellStyle name="標準 3 10 2 3" xfId="492"/>
    <cellStyle name="標準 3 10 2 4" xfId="672"/>
    <cellStyle name="標準 3 10 3" xfId="231"/>
    <cellStyle name="標準 3 10 4" xfId="409"/>
    <cellStyle name="標準 3 10 5" xfId="589"/>
    <cellStyle name="標準 3 11" xfId="102"/>
    <cellStyle name="標準 3 11 2" xfId="266"/>
    <cellStyle name="標準 3 11 3" xfId="444"/>
    <cellStyle name="標準 3 11 4" xfId="624"/>
    <cellStyle name="標準 3 12" xfId="19"/>
    <cellStyle name="標準 3 12 2" xfId="361"/>
    <cellStyle name="標準 3 12 3" xfId="541"/>
    <cellStyle name="標準 3 13" xfId="5"/>
    <cellStyle name="標準 3 13 2" xfId="708"/>
    <cellStyle name="標準 3 14" xfId="348"/>
    <cellStyle name="標準 3 15" xfId="528"/>
    <cellStyle name="標準 3 2" xfId="3"/>
    <cellStyle name="標準 3 2 10" xfId="8"/>
    <cellStyle name="標準 3 2 10 2" xfId="710"/>
    <cellStyle name="標準 3 2 11" xfId="351"/>
    <cellStyle name="標準 3 2 12" xfId="531"/>
    <cellStyle name="標準 3 2 2" xfId="15"/>
    <cellStyle name="標準 3 2 2 10" xfId="538"/>
    <cellStyle name="標準 3 2 2 2" xfId="37"/>
    <cellStyle name="標準 3 2 2 2 2" xfId="85"/>
    <cellStyle name="標準 3 2 2 2 2 2" xfId="168"/>
    <cellStyle name="標準 3 2 2 2 2 2 2" xfId="332"/>
    <cellStyle name="標準 3 2 2 2 2 2 3" xfId="510"/>
    <cellStyle name="標準 3 2 2 2 2 2 4" xfId="690"/>
    <cellStyle name="標準 3 2 2 2 2 3" xfId="249"/>
    <cellStyle name="標準 3 2 2 2 2 4" xfId="427"/>
    <cellStyle name="標準 3 2 2 2 2 5" xfId="607"/>
    <cellStyle name="標準 3 2 2 2 3" xfId="120"/>
    <cellStyle name="標準 3 2 2 2 3 2" xfId="284"/>
    <cellStyle name="標準 3 2 2 2 3 3" xfId="462"/>
    <cellStyle name="標準 3 2 2 2 3 4" xfId="642"/>
    <cellStyle name="標準 3 2 2 2 4" xfId="202"/>
    <cellStyle name="標準 3 2 2 2 5" xfId="379"/>
    <cellStyle name="標準 3 2 2 2 6" xfId="559"/>
    <cellStyle name="標準 3 2 2 3" xfId="50"/>
    <cellStyle name="標準 3 2 2 3 2" xfId="98"/>
    <cellStyle name="標準 3 2 2 3 2 2" xfId="181"/>
    <cellStyle name="標準 3 2 2 3 2 2 2" xfId="345"/>
    <cellStyle name="標準 3 2 2 3 2 2 3" xfId="523"/>
    <cellStyle name="標準 3 2 2 3 2 2 4" xfId="703"/>
    <cellStyle name="標準 3 2 2 3 2 3" xfId="262"/>
    <cellStyle name="標準 3 2 2 3 2 4" xfId="440"/>
    <cellStyle name="標準 3 2 2 3 2 5" xfId="620"/>
    <cellStyle name="標準 3 2 2 3 3" xfId="133"/>
    <cellStyle name="標準 3 2 2 3 3 2" xfId="297"/>
    <cellStyle name="標準 3 2 2 3 3 3" xfId="475"/>
    <cellStyle name="標準 3 2 2 3 3 4" xfId="655"/>
    <cellStyle name="標準 3 2 2 3 4" xfId="215"/>
    <cellStyle name="標準 3 2 2 3 5" xfId="392"/>
    <cellStyle name="標準 3 2 2 3 6" xfId="572"/>
    <cellStyle name="標準 3 2 2 4" xfId="63"/>
    <cellStyle name="標準 3 2 2 4 2" xfId="146"/>
    <cellStyle name="標準 3 2 2 4 2 2" xfId="310"/>
    <cellStyle name="標準 3 2 2 4 2 3" xfId="488"/>
    <cellStyle name="標準 3 2 2 4 2 4" xfId="668"/>
    <cellStyle name="標準 3 2 2 4 3" xfId="228"/>
    <cellStyle name="標準 3 2 2 4 4" xfId="405"/>
    <cellStyle name="標準 3 2 2 4 5" xfId="585"/>
    <cellStyle name="標準 3 2 2 5" xfId="72"/>
    <cellStyle name="標準 3 2 2 5 2" xfId="155"/>
    <cellStyle name="標準 3 2 2 5 2 2" xfId="319"/>
    <cellStyle name="標準 3 2 2 5 2 3" xfId="497"/>
    <cellStyle name="標準 3 2 2 5 2 4" xfId="677"/>
    <cellStyle name="標準 3 2 2 5 3" xfId="236"/>
    <cellStyle name="標準 3 2 2 5 4" xfId="414"/>
    <cellStyle name="標準 3 2 2 5 5" xfId="594"/>
    <cellStyle name="標準 3 2 2 6" xfId="107"/>
    <cellStyle name="標準 3 2 2 6 2" xfId="271"/>
    <cellStyle name="標準 3 2 2 6 3" xfId="449"/>
    <cellStyle name="標準 3 2 2 6 4" xfId="629"/>
    <cellStyle name="標準 3 2 2 7" xfId="24"/>
    <cellStyle name="標準 3 2 2 7 2" xfId="366"/>
    <cellStyle name="標準 3 2 2 7 3" xfId="546"/>
    <cellStyle name="標準 3 2 2 8" xfId="193"/>
    <cellStyle name="標準 3 2 2 9" xfId="358"/>
    <cellStyle name="標準 3 2 3" xfId="12"/>
    <cellStyle name="標準 3 2 3 2" xfId="47"/>
    <cellStyle name="標準 3 2 3 2 2" xfId="95"/>
    <cellStyle name="標準 3 2 3 2 2 2" xfId="178"/>
    <cellStyle name="標準 3 2 3 2 2 2 2" xfId="342"/>
    <cellStyle name="標準 3 2 3 2 2 2 3" xfId="520"/>
    <cellStyle name="標準 3 2 3 2 2 2 4" xfId="700"/>
    <cellStyle name="標準 3 2 3 2 2 3" xfId="259"/>
    <cellStyle name="標準 3 2 3 2 2 4" xfId="437"/>
    <cellStyle name="標準 3 2 3 2 2 5" xfId="617"/>
    <cellStyle name="標準 3 2 3 2 3" xfId="130"/>
    <cellStyle name="標準 3 2 3 2 3 2" xfId="294"/>
    <cellStyle name="標準 3 2 3 2 3 3" xfId="472"/>
    <cellStyle name="標準 3 2 3 2 3 4" xfId="652"/>
    <cellStyle name="標準 3 2 3 2 4" xfId="212"/>
    <cellStyle name="標準 3 2 3 2 5" xfId="389"/>
    <cellStyle name="標準 3 2 3 2 6" xfId="569"/>
    <cellStyle name="標準 3 2 3 3" xfId="60"/>
    <cellStyle name="標準 3 2 3 3 2" xfId="143"/>
    <cellStyle name="標準 3 2 3 3 2 2" xfId="307"/>
    <cellStyle name="標準 3 2 3 3 2 3" xfId="485"/>
    <cellStyle name="標準 3 2 3 3 2 4" xfId="665"/>
    <cellStyle name="標準 3 2 3 3 3" xfId="225"/>
    <cellStyle name="標準 3 2 3 3 4" xfId="402"/>
    <cellStyle name="標準 3 2 3 3 5" xfId="582"/>
    <cellStyle name="標準 3 2 3 4" xfId="82"/>
    <cellStyle name="標準 3 2 3 4 2" xfId="165"/>
    <cellStyle name="標準 3 2 3 4 2 2" xfId="329"/>
    <cellStyle name="標準 3 2 3 4 2 3" xfId="507"/>
    <cellStyle name="標準 3 2 3 4 2 4" xfId="687"/>
    <cellStyle name="標準 3 2 3 4 3" xfId="246"/>
    <cellStyle name="標準 3 2 3 4 4" xfId="424"/>
    <cellStyle name="標準 3 2 3 4 5" xfId="604"/>
    <cellStyle name="標準 3 2 3 5" xfId="117"/>
    <cellStyle name="標準 3 2 3 5 2" xfId="281"/>
    <cellStyle name="標準 3 2 3 5 3" xfId="459"/>
    <cellStyle name="標準 3 2 3 5 4" xfId="639"/>
    <cellStyle name="標準 3 2 3 6" xfId="34"/>
    <cellStyle name="標準 3 2 3 6 2" xfId="376"/>
    <cellStyle name="標準 3 2 3 6 3" xfId="556"/>
    <cellStyle name="標準 3 2 3 7" xfId="190"/>
    <cellStyle name="標準 3 2 3 8" xfId="355"/>
    <cellStyle name="標準 3 2 3 9" xfId="535"/>
    <cellStyle name="標準 3 2 4" xfId="30"/>
    <cellStyle name="標準 3 2 4 2" xfId="78"/>
    <cellStyle name="標準 3 2 4 2 2" xfId="161"/>
    <cellStyle name="標準 3 2 4 2 2 2" xfId="325"/>
    <cellStyle name="標準 3 2 4 2 2 3" xfId="503"/>
    <cellStyle name="標準 3 2 4 2 2 4" xfId="683"/>
    <cellStyle name="標準 3 2 4 2 3" xfId="242"/>
    <cellStyle name="標準 3 2 4 2 4" xfId="420"/>
    <cellStyle name="標準 3 2 4 2 5" xfId="600"/>
    <cellStyle name="標準 3 2 4 3" xfId="113"/>
    <cellStyle name="標準 3 2 4 3 2" xfId="277"/>
    <cellStyle name="標準 3 2 4 3 3" xfId="455"/>
    <cellStyle name="標準 3 2 4 3 4" xfId="635"/>
    <cellStyle name="標準 3 2 4 4" xfId="200"/>
    <cellStyle name="標準 3 2 4 5" xfId="372"/>
    <cellStyle name="標準 3 2 4 6" xfId="552"/>
    <cellStyle name="標準 3 2 5" xfId="43"/>
    <cellStyle name="標準 3 2 5 2" xfId="91"/>
    <cellStyle name="標準 3 2 5 2 2" xfId="174"/>
    <cellStyle name="標準 3 2 5 2 2 2" xfId="338"/>
    <cellStyle name="標準 3 2 5 2 2 3" xfId="516"/>
    <cellStyle name="標準 3 2 5 2 2 4" xfId="696"/>
    <cellStyle name="標準 3 2 5 2 3" xfId="255"/>
    <cellStyle name="標準 3 2 5 2 4" xfId="433"/>
    <cellStyle name="標準 3 2 5 2 5" xfId="613"/>
    <cellStyle name="標準 3 2 5 3" xfId="126"/>
    <cellStyle name="標準 3 2 5 3 2" xfId="290"/>
    <cellStyle name="標準 3 2 5 3 3" xfId="468"/>
    <cellStyle name="標準 3 2 5 3 4" xfId="648"/>
    <cellStyle name="標準 3 2 5 4" xfId="208"/>
    <cellStyle name="標準 3 2 5 5" xfId="385"/>
    <cellStyle name="標準 3 2 5 6" xfId="565"/>
    <cellStyle name="標準 3 2 6" xfId="56"/>
    <cellStyle name="標準 3 2 6 2" xfId="139"/>
    <cellStyle name="標準 3 2 6 2 2" xfId="303"/>
    <cellStyle name="標準 3 2 6 2 3" xfId="481"/>
    <cellStyle name="標準 3 2 6 2 4" xfId="661"/>
    <cellStyle name="標準 3 2 6 3" xfId="221"/>
    <cellStyle name="標準 3 2 6 4" xfId="398"/>
    <cellStyle name="標準 3 2 6 5" xfId="578"/>
    <cellStyle name="標準 3 2 7" xfId="69"/>
    <cellStyle name="標準 3 2 7 2" xfId="152"/>
    <cellStyle name="標準 3 2 7 2 2" xfId="316"/>
    <cellStyle name="標準 3 2 7 2 3" xfId="494"/>
    <cellStyle name="標準 3 2 7 2 4" xfId="674"/>
    <cellStyle name="標準 3 2 7 3" xfId="233"/>
    <cellStyle name="標準 3 2 7 4" xfId="411"/>
    <cellStyle name="標準 3 2 7 5" xfId="591"/>
    <cellStyle name="標準 3 2 8" xfId="104"/>
    <cellStyle name="標準 3 2 8 2" xfId="268"/>
    <cellStyle name="標準 3 2 8 3" xfId="446"/>
    <cellStyle name="標準 3 2 8 4" xfId="626"/>
    <cellStyle name="標準 3 2 9" xfId="21"/>
    <cellStyle name="標準 3 2 9 2" xfId="363"/>
    <cellStyle name="標準 3 2 9 3" xfId="543"/>
    <cellStyle name="標準 3 3" xfId="4"/>
    <cellStyle name="標準 3 3 10" xfId="7"/>
    <cellStyle name="標準 3 3 10 2" xfId="709"/>
    <cellStyle name="標準 3 3 11" xfId="350"/>
    <cellStyle name="標準 3 3 12" xfId="530"/>
    <cellStyle name="標準 3 3 2" xfId="16"/>
    <cellStyle name="標準 3 3 2 10" xfId="539"/>
    <cellStyle name="標準 3 3 2 2" xfId="38"/>
    <cellStyle name="標準 3 3 2 2 2" xfId="86"/>
    <cellStyle name="標準 3 3 2 2 2 2" xfId="169"/>
    <cellStyle name="標準 3 3 2 2 2 2 2" xfId="333"/>
    <cellStyle name="標準 3 3 2 2 2 2 3" xfId="511"/>
    <cellStyle name="標準 3 3 2 2 2 2 4" xfId="691"/>
    <cellStyle name="標準 3 3 2 2 2 3" xfId="250"/>
    <cellStyle name="標準 3 3 2 2 2 4" xfId="428"/>
    <cellStyle name="標準 3 3 2 2 2 5" xfId="608"/>
    <cellStyle name="標準 3 3 2 2 3" xfId="121"/>
    <cellStyle name="標準 3 3 2 2 3 2" xfId="285"/>
    <cellStyle name="標準 3 3 2 2 3 3" xfId="463"/>
    <cellStyle name="標準 3 3 2 2 3 4" xfId="643"/>
    <cellStyle name="標準 3 3 2 2 4" xfId="203"/>
    <cellStyle name="標準 3 3 2 2 5" xfId="380"/>
    <cellStyle name="標準 3 3 2 2 6" xfId="560"/>
    <cellStyle name="標準 3 3 2 3" xfId="51"/>
    <cellStyle name="標準 3 3 2 3 2" xfId="99"/>
    <cellStyle name="標準 3 3 2 3 2 2" xfId="182"/>
    <cellStyle name="標準 3 3 2 3 2 2 2" xfId="346"/>
    <cellStyle name="標準 3 3 2 3 2 2 3" xfId="524"/>
    <cellStyle name="標準 3 3 2 3 2 2 4" xfId="704"/>
    <cellStyle name="標準 3 3 2 3 2 3" xfId="263"/>
    <cellStyle name="標準 3 3 2 3 2 4" xfId="441"/>
    <cellStyle name="標準 3 3 2 3 2 5" xfId="621"/>
    <cellStyle name="標準 3 3 2 3 3" xfId="134"/>
    <cellStyle name="標準 3 3 2 3 3 2" xfId="298"/>
    <cellStyle name="標準 3 3 2 3 3 3" xfId="476"/>
    <cellStyle name="標準 3 3 2 3 3 4" xfId="656"/>
    <cellStyle name="標準 3 3 2 3 4" xfId="216"/>
    <cellStyle name="標準 3 3 2 3 5" xfId="393"/>
    <cellStyle name="標準 3 3 2 3 6" xfId="573"/>
    <cellStyle name="標準 3 3 2 4" xfId="64"/>
    <cellStyle name="標準 3 3 2 4 2" xfId="147"/>
    <cellStyle name="標準 3 3 2 4 2 2" xfId="311"/>
    <cellStyle name="標準 3 3 2 4 2 3" xfId="489"/>
    <cellStyle name="標準 3 3 2 4 2 4" xfId="669"/>
    <cellStyle name="標準 3 3 2 4 3" xfId="229"/>
    <cellStyle name="標準 3 3 2 4 4" xfId="406"/>
    <cellStyle name="標準 3 3 2 4 5" xfId="586"/>
    <cellStyle name="標準 3 3 2 5" xfId="73"/>
    <cellStyle name="標準 3 3 2 5 2" xfId="156"/>
    <cellStyle name="標準 3 3 2 5 2 2" xfId="320"/>
    <cellStyle name="標準 3 3 2 5 2 3" xfId="498"/>
    <cellStyle name="標準 3 3 2 5 2 4" xfId="678"/>
    <cellStyle name="標準 3 3 2 5 3" xfId="237"/>
    <cellStyle name="標準 3 3 2 5 4" xfId="415"/>
    <cellStyle name="標準 3 3 2 5 5" xfId="595"/>
    <cellStyle name="標準 3 3 2 6" xfId="108"/>
    <cellStyle name="標準 3 3 2 6 2" xfId="272"/>
    <cellStyle name="標準 3 3 2 6 3" xfId="450"/>
    <cellStyle name="標準 3 3 2 6 4" xfId="630"/>
    <cellStyle name="標準 3 3 2 7" xfId="25"/>
    <cellStyle name="標準 3 3 2 7 2" xfId="367"/>
    <cellStyle name="標準 3 3 2 7 3" xfId="547"/>
    <cellStyle name="標準 3 3 2 8" xfId="194"/>
    <cellStyle name="標準 3 3 2 9" xfId="359"/>
    <cellStyle name="標準 3 3 3" xfId="11"/>
    <cellStyle name="標準 3 3 3 2" xfId="46"/>
    <cellStyle name="標準 3 3 3 2 2" xfId="94"/>
    <cellStyle name="標準 3 3 3 2 2 2" xfId="177"/>
    <cellStyle name="標準 3 3 3 2 2 2 2" xfId="341"/>
    <cellStyle name="標準 3 3 3 2 2 2 3" xfId="519"/>
    <cellStyle name="標準 3 3 3 2 2 2 4" xfId="699"/>
    <cellStyle name="標準 3 3 3 2 2 3" xfId="258"/>
    <cellStyle name="標準 3 3 3 2 2 4" xfId="436"/>
    <cellStyle name="標準 3 3 3 2 2 5" xfId="616"/>
    <cellStyle name="標準 3 3 3 2 3" xfId="129"/>
    <cellStyle name="標準 3 3 3 2 3 2" xfId="293"/>
    <cellStyle name="標準 3 3 3 2 3 3" xfId="471"/>
    <cellStyle name="標準 3 3 3 2 3 4" xfId="651"/>
    <cellStyle name="標準 3 3 3 2 4" xfId="211"/>
    <cellStyle name="標準 3 3 3 2 5" xfId="388"/>
    <cellStyle name="標準 3 3 3 2 6" xfId="568"/>
    <cellStyle name="標準 3 3 3 3" xfId="59"/>
    <cellStyle name="標準 3 3 3 3 2" xfId="142"/>
    <cellStyle name="標準 3 3 3 3 2 2" xfId="306"/>
    <cellStyle name="標準 3 3 3 3 2 3" xfId="484"/>
    <cellStyle name="標準 3 3 3 3 2 4" xfId="664"/>
    <cellStyle name="標準 3 3 3 3 3" xfId="224"/>
    <cellStyle name="標準 3 3 3 3 4" xfId="401"/>
    <cellStyle name="標準 3 3 3 3 5" xfId="581"/>
    <cellStyle name="標準 3 3 3 4" xfId="81"/>
    <cellStyle name="標準 3 3 3 4 2" xfId="164"/>
    <cellStyle name="標準 3 3 3 4 2 2" xfId="328"/>
    <cellStyle name="標準 3 3 3 4 2 3" xfId="506"/>
    <cellStyle name="標準 3 3 3 4 2 4" xfId="686"/>
    <cellStyle name="標準 3 3 3 4 3" xfId="245"/>
    <cellStyle name="標準 3 3 3 4 4" xfId="423"/>
    <cellStyle name="標準 3 3 3 4 5" xfId="603"/>
    <cellStyle name="標準 3 3 3 5" xfId="116"/>
    <cellStyle name="標準 3 3 3 5 2" xfId="280"/>
    <cellStyle name="標準 3 3 3 5 3" xfId="458"/>
    <cellStyle name="標準 3 3 3 5 4" xfId="638"/>
    <cellStyle name="標準 3 3 3 6" xfId="33"/>
    <cellStyle name="標準 3 3 3 6 2" xfId="375"/>
    <cellStyle name="標準 3 3 3 6 3" xfId="555"/>
    <cellStyle name="標準 3 3 3 7" xfId="189"/>
    <cellStyle name="標準 3 3 3 8" xfId="354"/>
    <cellStyle name="標準 3 3 3 9" xfId="534"/>
    <cellStyle name="標準 3 3 4" xfId="29"/>
    <cellStyle name="標準 3 3 4 2" xfId="77"/>
    <cellStyle name="標準 3 3 4 2 2" xfId="160"/>
    <cellStyle name="標準 3 3 4 2 2 2" xfId="324"/>
    <cellStyle name="標準 3 3 4 2 2 3" xfId="502"/>
    <cellStyle name="標準 3 3 4 2 2 4" xfId="682"/>
    <cellStyle name="標準 3 3 4 2 3" xfId="241"/>
    <cellStyle name="標準 3 3 4 2 4" xfId="419"/>
    <cellStyle name="標準 3 3 4 2 5" xfId="599"/>
    <cellStyle name="標準 3 3 4 3" xfId="112"/>
    <cellStyle name="標準 3 3 4 3 2" xfId="276"/>
    <cellStyle name="標準 3 3 4 3 3" xfId="454"/>
    <cellStyle name="標準 3 3 4 3 4" xfId="634"/>
    <cellStyle name="標準 3 3 4 4" xfId="199"/>
    <cellStyle name="標準 3 3 4 5" xfId="371"/>
    <cellStyle name="標準 3 3 4 6" xfId="551"/>
    <cellStyle name="標準 3 3 5" xfId="42"/>
    <cellStyle name="標準 3 3 5 2" xfId="90"/>
    <cellStyle name="標準 3 3 5 2 2" xfId="173"/>
    <cellStyle name="標準 3 3 5 2 2 2" xfId="337"/>
    <cellStyle name="標準 3 3 5 2 2 3" xfId="515"/>
    <cellStyle name="標準 3 3 5 2 2 4" xfId="695"/>
    <cellStyle name="標準 3 3 5 2 3" xfId="254"/>
    <cellStyle name="標準 3 3 5 2 4" xfId="432"/>
    <cellStyle name="標準 3 3 5 2 5" xfId="612"/>
    <cellStyle name="標準 3 3 5 3" xfId="125"/>
    <cellStyle name="標準 3 3 5 3 2" xfId="289"/>
    <cellStyle name="標準 3 3 5 3 3" xfId="467"/>
    <cellStyle name="標準 3 3 5 3 4" xfId="647"/>
    <cellStyle name="標準 3 3 5 4" xfId="207"/>
    <cellStyle name="標準 3 3 5 5" xfId="384"/>
    <cellStyle name="標準 3 3 5 6" xfId="564"/>
    <cellStyle name="標準 3 3 6" xfId="55"/>
    <cellStyle name="標準 3 3 6 2" xfId="138"/>
    <cellStyle name="標準 3 3 6 2 2" xfId="302"/>
    <cellStyle name="標準 3 3 6 2 3" xfId="480"/>
    <cellStyle name="標準 3 3 6 2 4" xfId="660"/>
    <cellStyle name="標準 3 3 6 3" xfId="220"/>
    <cellStyle name="標準 3 3 6 4" xfId="397"/>
    <cellStyle name="標準 3 3 6 5" xfId="577"/>
    <cellStyle name="標準 3 3 7" xfId="68"/>
    <cellStyle name="標準 3 3 7 2" xfId="151"/>
    <cellStyle name="標準 3 3 7 2 2" xfId="315"/>
    <cellStyle name="標準 3 3 7 2 3" xfId="493"/>
    <cellStyle name="標準 3 3 7 2 4" xfId="673"/>
    <cellStyle name="標準 3 3 7 3" xfId="232"/>
    <cellStyle name="標準 3 3 7 4" xfId="410"/>
    <cellStyle name="標準 3 3 7 5" xfId="590"/>
    <cellStyle name="標準 3 3 8" xfId="103"/>
    <cellStyle name="標準 3 3 8 2" xfId="267"/>
    <cellStyle name="標準 3 3 8 3" xfId="445"/>
    <cellStyle name="標準 3 3 8 4" xfId="625"/>
    <cellStyle name="標準 3 3 9" xfId="20"/>
    <cellStyle name="標準 3 3 9 2" xfId="362"/>
    <cellStyle name="標準 3 3 9 3" xfId="542"/>
    <cellStyle name="標準 3 4" xfId="9"/>
    <cellStyle name="標準 3 4 10" xfId="187"/>
    <cellStyle name="標準 3 4 11" xfId="352"/>
    <cellStyle name="標準 3 4 12" xfId="532"/>
    <cellStyle name="標準 3 4 2" xfId="17"/>
    <cellStyle name="標準 3 4 2 10" xfId="540"/>
    <cellStyle name="標準 3 4 2 2" xfId="39"/>
    <cellStyle name="標準 3 4 2 2 2" xfId="87"/>
    <cellStyle name="標準 3 4 2 2 2 2" xfId="170"/>
    <cellStyle name="標準 3 4 2 2 2 2 2" xfId="334"/>
    <cellStyle name="標準 3 4 2 2 2 2 3" xfId="512"/>
    <cellStyle name="標準 3 4 2 2 2 2 4" xfId="692"/>
    <cellStyle name="標準 3 4 2 2 2 3" xfId="251"/>
    <cellStyle name="標準 3 4 2 2 2 4" xfId="429"/>
    <cellStyle name="標準 3 4 2 2 2 5" xfId="609"/>
    <cellStyle name="標準 3 4 2 2 3" xfId="122"/>
    <cellStyle name="標準 3 4 2 2 3 2" xfId="286"/>
    <cellStyle name="標準 3 4 2 2 3 3" xfId="464"/>
    <cellStyle name="標準 3 4 2 2 3 4" xfId="644"/>
    <cellStyle name="標準 3 4 2 2 4" xfId="204"/>
    <cellStyle name="標準 3 4 2 2 5" xfId="381"/>
    <cellStyle name="標準 3 4 2 2 6" xfId="561"/>
    <cellStyle name="標準 3 4 2 3" xfId="52"/>
    <cellStyle name="標準 3 4 2 3 2" xfId="100"/>
    <cellStyle name="標準 3 4 2 3 2 2" xfId="183"/>
    <cellStyle name="標準 3 4 2 3 2 2 2" xfId="347"/>
    <cellStyle name="標準 3 4 2 3 2 2 3" xfId="525"/>
    <cellStyle name="標準 3 4 2 3 2 2 4" xfId="705"/>
    <cellStyle name="標準 3 4 2 3 2 3" xfId="264"/>
    <cellStyle name="標準 3 4 2 3 2 4" xfId="442"/>
    <cellStyle name="標準 3 4 2 3 2 5" xfId="622"/>
    <cellStyle name="標準 3 4 2 3 3" xfId="135"/>
    <cellStyle name="標準 3 4 2 3 3 2" xfId="299"/>
    <cellStyle name="標準 3 4 2 3 3 3" xfId="477"/>
    <cellStyle name="標準 3 4 2 3 3 4" xfId="657"/>
    <cellStyle name="標準 3 4 2 3 4" xfId="217"/>
    <cellStyle name="標準 3 4 2 3 5" xfId="394"/>
    <cellStyle name="標準 3 4 2 3 6" xfId="574"/>
    <cellStyle name="標準 3 4 2 4" xfId="65"/>
    <cellStyle name="標準 3 4 2 4 2" xfId="148"/>
    <cellStyle name="標準 3 4 2 4 2 2" xfId="312"/>
    <cellStyle name="標準 3 4 2 4 2 3" xfId="490"/>
    <cellStyle name="標準 3 4 2 4 2 4" xfId="670"/>
    <cellStyle name="標準 3 4 2 4 3" xfId="230"/>
    <cellStyle name="標準 3 4 2 4 4" xfId="407"/>
    <cellStyle name="標準 3 4 2 4 5" xfId="587"/>
    <cellStyle name="標準 3 4 2 5" xfId="74"/>
    <cellStyle name="標準 3 4 2 5 2" xfId="157"/>
    <cellStyle name="標準 3 4 2 5 2 2" xfId="321"/>
    <cellStyle name="標準 3 4 2 5 2 3" xfId="499"/>
    <cellStyle name="標準 3 4 2 5 2 4" xfId="679"/>
    <cellStyle name="標準 3 4 2 5 3" xfId="238"/>
    <cellStyle name="標準 3 4 2 5 4" xfId="416"/>
    <cellStyle name="標準 3 4 2 5 5" xfId="596"/>
    <cellStyle name="標準 3 4 2 6" xfId="109"/>
    <cellStyle name="標準 3 4 2 6 2" xfId="273"/>
    <cellStyle name="標準 3 4 2 6 3" xfId="451"/>
    <cellStyle name="標準 3 4 2 6 4" xfId="631"/>
    <cellStyle name="標準 3 4 2 7" xfId="26"/>
    <cellStyle name="標準 3 4 2 7 2" xfId="368"/>
    <cellStyle name="標準 3 4 2 7 3" xfId="548"/>
    <cellStyle name="標準 3 4 2 8" xfId="195"/>
    <cellStyle name="標準 3 4 2 9" xfId="360"/>
    <cellStyle name="標準 3 4 3" xfId="13"/>
    <cellStyle name="標準 3 4 3 2" xfId="48"/>
    <cellStyle name="標準 3 4 3 2 2" xfId="96"/>
    <cellStyle name="標準 3 4 3 2 2 2" xfId="179"/>
    <cellStyle name="標準 3 4 3 2 2 2 2" xfId="343"/>
    <cellStyle name="標準 3 4 3 2 2 2 3" xfId="521"/>
    <cellStyle name="標準 3 4 3 2 2 2 4" xfId="701"/>
    <cellStyle name="標準 3 4 3 2 2 3" xfId="260"/>
    <cellStyle name="標準 3 4 3 2 2 4" xfId="438"/>
    <cellStyle name="標準 3 4 3 2 2 5" xfId="618"/>
    <cellStyle name="標準 3 4 3 2 3" xfId="131"/>
    <cellStyle name="標準 3 4 3 2 3 2" xfId="295"/>
    <cellStyle name="標準 3 4 3 2 3 3" xfId="473"/>
    <cellStyle name="標準 3 4 3 2 3 4" xfId="653"/>
    <cellStyle name="標準 3 4 3 2 4" xfId="213"/>
    <cellStyle name="標準 3 4 3 2 5" xfId="390"/>
    <cellStyle name="標準 3 4 3 2 6" xfId="570"/>
    <cellStyle name="標準 3 4 3 3" xfId="61"/>
    <cellStyle name="標準 3 4 3 3 2" xfId="144"/>
    <cellStyle name="標準 3 4 3 3 2 2" xfId="308"/>
    <cellStyle name="標準 3 4 3 3 2 3" xfId="486"/>
    <cellStyle name="標準 3 4 3 3 2 4" xfId="666"/>
    <cellStyle name="標準 3 4 3 3 3" xfId="226"/>
    <cellStyle name="標準 3 4 3 3 4" xfId="403"/>
    <cellStyle name="標準 3 4 3 3 5" xfId="583"/>
    <cellStyle name="標準 3 4 3 4" xfId="83"/>
    <cellStyle name="標準 3 4 3 4 2" xfId="166"/>
    <cellStyle name="標準 3 4 3 4 2 2" xfId="330"/>
    <cellStyle name="標準 3 4 3 4 2 3" xfId="508"/>
    <cellStyle name="標準 3 4 3 4 2 4" xfId="688"/>
    <cellStyle name="標準 3 4 3 4 3" xfId="247"/>
    <cellStyle name="標準 3 4 3 4 4" xfId="425"/>
    <cellStyle name="標準 3 4 3 4 5" xfId="605"/>
    <cellStyle name="標準 3 4 3 5" xfId="118"/>
    <cellStyle name="標準 3 4 3 5 2" xfId="282"/>
    <cellStyle name="標準 3 4 3 5 3" xfId="460"/>
    <cellStyle name="標準 3 4 3 5 4" xfId="640"/>
    <cellStyle name="標準 3 4 3 6" xfId="35"/>
    <cellStyle name="標準 3 4 3 6 2" xfId="377"/>
    <cellStyle name="標準 3 4 3 6 3" xfId="557"/>
    <cellStyle name="標準 3 4 3 7" xfId="191"/>
    <cellStyle name="標準 3 4 3 8" xfId="356"/>
    <cellStyle name="標準 3 4 3 9" xfId="536"/>
    <cellStyle name="標準 3 4 4" xfId="31"/>
    <cellStyle name="標準 3 4 4 2" xfId="79"/>
    <cellStyle name="標準 3 4 4 2 2" xfId="162"/>
    <cellStyle name="標準 3 4 4 2 2 2" xfId="326"/>
    <cellStyle name="標準 3 4 4 2 2 3" xfId="504"/>
    <cellStyle name="標準 3 4 4 2 2 4" xfId="684"/>
    <cellStyle name="標準 3 4 4 2 3" xfId="243"/>
    <cellStyle name="標準 3 4 4 2 4" xfId="421"/>
    <cellStyle name="標準 3 4 4 2 5" xfId="601"/>
    <cellStyle name="標準 3 4 4 3" xfId="114"/>
    <cellStyle name="標準 3 4 4 3 2" xfId="278"/>
    <cellStyle name="標準 3 4 4 3 3" xfId="456"/>
    <cellStyle name="標準 3 4 4 3 4" xfId="636"/>
    <cellStyle name="標準 3 4 4 4" xfId="201"/>
    <cellStyle name="標準 3 4 4 5" xfId="373"/>
    <cellStyle name="標準 3 4 4 6" xfId="553"/>
    <cellStyle name="標準 3 4 5" xfId="44"/>
    <cellStyle name="標準 3 4 5 2" xfId="92"/>
    <cellStyle name="標準 3 4 5 2 2" xfId="175"/>
    <cellStyle name="標準 3 4 5 2 2 2" xfId="339"/>
    <cellStyle name="標準 3 4 5 2 2 3" xfId="517"/>
    <cellStyle name="標準 3 4 5 2 2 4" xfId="697"/>
    <cellStyle name="標準 3 4 5 2 3" xfId="256"/>
    <cellStyle name="標準 3 4 5 2 4" xfId="434"/>
    <cellStyle name="標準 3 4 5 2 5" xfId="614"/>
    <cellStyle name="標準 3 4 5 3" xfId="127"/>
    <cellStyle name="標準 3 4 5 3 2" xfId="291"/>
    <cellStyle name="標準 3 4 5 3 3" xfId="469"/>
    <cellStyle name="標準 3 4 5 3 4" xfId="649"/>
    <cellStyle name="標準 3 4 5 4" xfId="209"/>
    <cellStyle name="標準 3 4 5 5" xfId="386"/>
    <cellStyle name="標準 3 4 5 6" xfId="566"/>
    <cellStyle name="標準 3 4 6" xfId="57"/>
    <cellStyle name="標準 3 4 6 2" xfId="140"/>
    <cellStyle name="標準 3 4 6 2 2" xfId="304"/>
    <cellStyle name="標準 3 4 6 2 3" xfId="482"/>
    <cellStyle name="標準 3 4 6 2 4" xfId="662"/>
    <cellStyle name="標準 3 4 6 3" xfId="222"/>
    <cellStyle name="標準 3 4 6 4" xfId="399"/>
    <cellStyle name="標準 3 4 6 5" xfId="579"/>
    <cellStyle name="標準 3 4 7" xfId="70"/>
    <cellStyle name="標準 3 4 7 2" xfId="153"/>
    <cellStyle name="標準 3 4 7 2 2" xfId="317"/>
    <cellStyle name="標準 3 4 7 2 3" xfId="495"/>
    <cellStyle name="標準 3 4 7 2 4" xfId="675"/>
    <cellStyle name="標準 3 4 7 3" xfId="234"/>
    <cellStyle name="標準 3 4 7 4" xfId="412"/>
    <cellStyle name="標準 3 4 7 5" xfId="592"/>
    <cellStyle name="標準 3 4 8" xfId="105"/>
    <cellStyle name="標準 3 4 8 2" xfId="269"/>
    <cellStyle name="標準 3 4 8 3" xfId="447"/>
    <cellStyle name="標準 3 4 8 4" xfId="627"/>
    <cellStyle name="標準 3 4 9" xfId="22"/>
    <cellStyle name="標準 3 4 9 2" xfId="364"/>
    <cellStyle name="標準 3 4 9 3" xfId="544"/>
    <cellStyle name="標準 3 5" xfId="6"/>
    <cellStyle name="標準 3 5 10" xfId="349"/>
    <cellStyle name="標準 3 5 11" xfId="529"/>
    <cellStyle name="標準 3 5 2" xfId="14"/>
    <cellStyle name="標準 3 5 2 2" xfId="49"/>
    <cellStyle name="標準 3 5 2 2 2" xfId="97"/>
    <cellStyle name="標準 3 5 2 2 2 2" xfId="180"/>
    <cellStyle name="標準 3 5 2 2 2 2 2" xfId="344"/>
    <cellStyle name="標準 3 5 2 2 2 2 3" xfId="522"/>
    <cellStyle name="標準 3 5 2 2 2 2 4" xfId="702"/>
    <cellStyle name="標準 3 5 2 2 2 3" xfId="261"/>
    <cellStyle name="標準 3 5 2 2 2 4" xfId="439"/>
    <cellStyle name="標準 3 5 2 2 2 5" xfId="619"/>
    <cellStyle name="標準 3 5 2 2 3" xfId="132"/>
    <cellStyle name="標準 3 5 2 2 3 2" xfId="296"/>
    <cellStyle name="標準 3 5 2 2 3 3" xfId="474"/>
    <cellStyle name="標準 3 5 2 2 3 4" xfId="654"/>
    <cellStyle name="標準 3 5 2 2 4" xfId="214"/>
    <cellStyle name="標準 3 5 2 2 5" xfId="391"/>
    <cellStyle name="標準 3 5 2 2 6" xfId="571"/>
    <cellStyle name="標準 3 5 2 3" xfId="62"/>
    <cellStyle name="標準 3 5 2 3 2" xfId="145"/>
    <cellStyle name="標準 3 5 2 3 2 2" xfId="309"/>
    <cellStyle name="標準 3 5 2 3 2 3" xfId="487"/>
    <cellStyle name="標準 3 5 2 3 2 4" xfId="667"/>
    <cellStyle name="標準 3 5 2 3 3" xfId="227"/>
    <cellStyle name="標準 3 5 2 3 4" xfId="404"/>
    <cellStyle name="標準 3 5 2 3 5" xfId="584"/>
    <cellStyle name="標準 3 5 2 4" xfId="84"/>
    <cellStyle name="標準 3 5 2 4 2" xfId="167"/>
    <cellStyle name="標準 3 5 2 4 2 2" xfId="331"/>
    <cellStyle name="標準 3 5 2 4 2 3" xfId="509"/>
    <cellStyle name="標準 3 5 2 4 2 4" xfId="689"/>
    <cellStyle name="標準 3 5 2 4 3" xfId="248"/>
    <cellStyle name="標準 3 5 2 4 4" xfId="426"/>
    <cellStyle name="標準 3 5 2 4 5" xfId="606"/>
    <cellStyle name="標準 3 5 2 5" xfId="119"/>
    <cellStyle name="標準 3 5 2 5 2" xfId="283"/>
    <cellStyle name="標準 3 5 2 5 3" xfId="461"/>
    <cellStyle name="標準 3 5 2 5 4" xfId="641"/>
    <cellStyle name="標準 3 5 2 6" xfId="36"/>
    <cellStyle name="標準 3 5 2 6 2" xfId="378"/>
    <cellStyle name="標準 3 5 2 6 3" xfId="558"/>
    <cellStyle name="標準 3 5 2 7" xfId="192"/>
    <cellStyle name="標準 3 5 2 8" xfId="357"/>
    <cellStyle name="標準 3 5 2 9" xfId="537"/>
    <cellStyle name="標準 3 5 3" xfId="28"/>
    <cellStyle name="標準 3 5 3 2" xfId="76"/>
    <cellStyle name="標準 3 5 3 2 2" xfId="159"/>
    <cellStyle name="標準 3 5 3 2 2 2" xfId="323"/>
    <cellStyle name="標準 3 5 3 2 2 3" xfId="501"/>
    <cellStyle name="標準 3 5 3 2 2 4" xfId="681"/>
    <cellStyle name="標準 3 5 3 2 3" xfId="240"/>
    <cellStyle name="標準 3 5 3 2 4" xfId="418"/>
    <cellStyle name="標準 3 5 3 2 5" xfId="598"/>
    <cellStyle name="標準 3 5 3 3" xfId="111"/>
    <cellStyle name="標準 3 5 3 3 2" xfId="275"/>
    <cellStyle name="標準 3 5 3 3 3" xfId="453"/>
    <cellStyle name="標準 3 5 3 3 4" xfId="633"/>
    <cellStyle name="標準 3 5 3 4" xfId="198"/>
    <cellStyle name="標準 3 5 3 5" xfId="370"/>
    <cellStyle name="標準 3 5 3 6" xfId="550"/>
    <cellStyle name="標準 3 5 4" xfId="41"/>
    <cellStyle name="標準 3 5 4 2" xfId="89"/>
    <cellStyle name="標準 3 5 4 2 2" xfId="172"/>
    <cellStyle name="標準 3 5 4 2 2 2" xfId="336"/>
    <cellStyle name="標準 3 5 4 2 2 3" xfId="514"/>
    <cellStyle name="標準 3 5 4 2 2 4" xfId="694"/>
    <cellStyle name="標準 3 5 4 2 3" xfId="253"/>
    <cellStyle name="標準 3 5 4 2 4" xfId="431"/>
    <cellStyle name="標準 3 5 4 2 5" xfId="611"/>
    <cellStyle name="標準 3 5 4 3" xfId="124"/>
    <cellStyle name="標準 3 5 4 3 2" xfId="288"/>
    <cellStyle name="標準 3 5 4 3 3" xfId="466"/>
    <cellStyle name="標準 3 5 4 3 4" xfId="646"/>
    <cellStyle name="標準 3 5 4 4" xfId="206"/>
    <cellStyle name="標準 3 5 4 5" xfId="383"/>
    <cellStyle name="標準 3 5 4 6" xfId="563"/>
    <cellStyle name="標準 3 5 5" xfId="54"/>
    <cellStyle name="標準 3 5 5 2" xfId="137"/>
    <cellStyle name="標準 3 5 5 2 2" xfId="301"/>
    <cellStyle name="標準 3 5 5 2 3" xfId="479"/>
    <cellStyle name="標準 3 5 5 2 4" xfId="659"/>
    <cellStyle name="標準 3 5 5 3" xfId="219"/>
    <cellStyle name="標準 3 5 5 4" xfId="396"/>
    <cellStyle name="標準 3 5 5 5" xfId="576"/>
    <cellStyle name="標準 3 5 6" xfId="71"/>
    <cellStyle name="標準 3 5 6 2" xfId="154"/>
    <cellStyle name="標準 3 5 6 2 2" xfId="318"/>
    <cellStyle name="標準 3 5 6 2 3" xfId="496"/>
    <cellStyle name="標準 3 5 6 2 4" xfId="676"/>
    <cellStyle name="標準 3 5 6 3" xfId="235"/>
    <cellStyle name="標準 3 5 6 4" xfId="413"/>
    <cellStyle name="標準 3 5 6 5" xfId="593"/>
    <cellStyle name="標準 3 5 7" xfId="106"/>
    <cellStyle name="標準 3 5 7 2" xfId="270"/>
    <cellStyle name="標準 3 5 7 3" xfId="448"/>
    <cellStyle name="標準 3 5 7 4" xfId="628"/>
    <cellStyle name="標準 3 5 8" xfId="23"/>
    <cellStyle name="標準 3 5 8 2" xfId="365"/>
    <cellStyle name="標準 3 5 8 3" xfId="545"/>
    <cellStyle name="標準 3 5 9" xfId="186"/>
    <cellStyle name="標準 3 6" xfId="10"/>
    <cellStyle name="標準 3 6 2" xfId="45"/>
    <cellStyle name="標準 3 6 2 2" xfId="93"/>
    <cellStyle name="標準 3 6 2 2 2" xfId="176"/>
    <cellStyle name="標準 3 6 2 2 2 2" xfId="340"/>
    <cellStyle name="標準 3 6 2 2 2 3" xfId="518"/>
    <cellStyle name="標準 3 6 2 2 2 4" xfId="698"/>
    <cellStyle name="標準 3 6 2 2 3" xfId="257"/>
    <cellStyle name="標準 3 6 2 2 4" xfId="435"/>
    <cellStyle name="標準 3 6 2 2 5" xfId="615"/>
    <cellStyle name="標準 3 6 2 3" xfId="128"/>
    <cellStyle name="標準 3 6 2 3 2" xfId="292"/>
    <cellStyle name="標準 3 6 2 3 3" xfId="470"/>
    <cellStyle name="標準 3 6 2 3 4" xfId="650"/>
    <cellStyle name="標準 3 6 2 4" xfId="210"/>
    <cellStyle name="標準 3 6 2 5" xfId="387"/>
    <cellStyle name="標準 3 6 2 6" xfId="567"/>
    <cellStyle name="標準 3 6 3" xfId="58"/>
    <cellStyle name="標準 3 6 3 2" xfId="141"/>
    <cellStyle name="標準 3 6 3 2 2" xfId="305"/>
    <cellStyle name="標準 3 6 3 2 3" xfId="483"/>
    <cellStyle name="標準 3 6 3 2 4" xfId="663"/>
    <cellStyle name="標準 3 6 3 3" xfId="223"/>
    <cellStyle name="標準 3 6 3 4" xfId="400"/>
    <cellStyle name="標準 3 6 3 5" xfId="580"/>
    <cellStyle name="標準 3 6 4" xfId="80"/>
    <cellStyle name="標準 3 6 4 2" xfId="163"/>
    <cellStyle name="標準 3 6 4 2 2" xfId="327"/>
    <cellStyle name="標準 3 6 4 2 3" xfId="505"/>
    <cellStyle name="標準 3 6 4 2 4" xfId="685"/>
    <cellStyle name="標準 3 6 4 3" xfId="244"/>
    <cellStyle name="標準 3 6 4 4" xfId="422"/>
    <cellStyle name="標準 3 6 4 5" xfId="602"/>
    <cellStyle name="標準 3 6 5" xfId="115"/>
    <cellStyle name="標準 3 6 5 2" xfId="279"/>
    <cellStyle name="標準 3 6 5 3" xfId="457"/>
    <cellStyle name="標準 3 6 5 4" xfId="637"/>
    <cellStyle name="標準 3 6 6" xfId="32"/>
    <cellStyle name="標準 3 6 6 2" xfId="374"/>
    <cellStyle name="標準 3 6 6 3" xfId="554"/>
    <cellStyle name="標準 3 6 7" xfId="188"/>
    <cellStyle name="標準 3 6 8" xfId="353"/>
    <cellStyle name="標準 3 6 9" xfId="533"/>
    <cellStyle name="標準 3 7" xfId="27"/>
    <cellStyle name="標準 3 7 2" xfId="75"/>
    <cellStyle name="標準 3 7 2 2" xfId="158"/>
    <cellStyle name="標準 3 7 2 2 2" xfId="322"/>
    <cellStyle name="標準 3 7 2 2 3" xfId="500"/>
    <cellStyle name="標準 3 7 2 2 4" xfId="680"/>
    <cellStyle name="標準 3 7 2 3" xfId="239"/>
    <cellStyle name="標準 3 7 2 4" xfId="417"/>
    <cellStyle name="標準 3 7 2 5" xfId="597"/>
    <cellStyle name="標準 3 7 3" xfId="110"/>
    <cellStyle name="標準 3 7 3 2" xfId="274"/>
    <cellStyle name="標準 3 7 3 3" xfId="452"/>
    <cellStyle name="標準 3 7 3 4" xfId="632"/>
    <cellStyle name="標準 3 7 4" xfId="197"/>
    <cellStyle name="標準 3 7 5" xfId="369"/>
    <cellStyle name="標準 3 7 6" xfId="549"/>
    <cellStyle name="標準 3 8" xfId="40"/>
    <cellStyle name="標準 3 8 2" xfId="88"/>
    <cellStyle name="標準 3 8 2 2" xfId="171"/>
    <cellStyle name="標準 3 8 2 2 2" xfId="335"/>
    <cellStyle name="標準 3 8 2 2 3" xfId="513"/>
    <cellStyle name="標準 3 8 2 2 4" xfId="693"/>
    <cellStyle name="標準 3 8 2 3" xfId="252"/>
    <cellStyle name="標準 3 8 2 4" xfId="430"/>
    <cellStyle name="標準 3 8 2 5" xfId="610"/>
    <cellStyle name="標準 3 8 3" xfId="123"/>
    <cellStyle name="標準 3 8 3 2" xfId="287"/>
    <cellStyle name="標準 3 8 3 3" xfId="465"/>
    <cellStyle name="標準 3 8 3 4" xfId="645"/>
    <cellStyle name="標準 3 8 4" xfId="205"/>
    <cellStyle name="標準 3 8 5" xfId="382"/>
    <cellStyle name="標準 3 8 6" xfId="562"/>
    <cellStyle name="標準 3 9" xfId="53"/>
    <cellStyle name="標準 3 9 2" xfId="136"/>
    <cellStyle name="標準 3 9 2 2" xfId="300"/>
    <cellStyle name="標準 3 9 2 3" xfId="478"/>
    <cellStyle name="標準 3 9 2 4" xfId="658"/>
    <cellStyle name="標準 3 9 3" xfId="218"/>
    <cellStyle name="標準 3 9 4" xfId="395"/>
    <cellStyle name="標準 3 9 5" xfId="575"/>
    <cellStyle name="標準 4" xfId="18"/>
    <cellStyle name="標準 4 2" xfId="149"/>
    <cellStyle name="標準 4 2 2" xfId="313"/>
    <cellStyle name="標準 4 2 3" xfId="491"/>
    <cellStyle name="標準 4 2 4" xfId="671"/>
    <cellStyle name="標準 4 3" xfId="66"/>
    <cellStyle name="標準 4 3 2" xfId="408"/>
    <cellStyle name="標準 4 3 3" xfId="588"/>
    <cellStyle name="標準 4 4" xfId="196"/>
    <cellStyle name="標準 5" xfId="101"/>
    <cellStyle name="標準 5 2" xfId="265"/>
    <cellStyle name="標準 5 2 2" xfId="184"/>
    <cellStyle name="標準 5 2 2 2" xfId="526"/>
    <cellStyle name="標準 5 2 2 3" xfId="706"/>
    <cellStyle name="標準 5 2 3" xfId="185"/>
    <cellStyle name="標準 5 2 3 2" xfId="527"/>
    <cellStyle name="標準 5 2 3 3" xfId="707"/>
    <cellStyle name="標準 5 3" xfId="443"/>
    <cellStyle name="標準 5 4" xfId="623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142876</xdr:colOff>
      <xdr:row>48</xdr:row>
      <xdr:rowOff>171450</xdr:rowOff>
    </xdr:from>
    <xdr:to>
      <xdr:col>19</xdr:col>
      <xdr:colOff>381000</xdr:colOff>
      <xdr:row>75</xdr:row>
      <xdr:rowOff>28575</xdr:rowOff>
    </xdr:to>
    <xdr:sp macro="" textlink="">
      <xdr:nvSpPr>
        <xdr:cNvPr id="2" name="Text Box 1"/>
        <xdr:cNvSpPr txBox="1">
          <a:spLocks noChangeArrowheads="1"/>
        </xdr:cNvSpPr>
      </xdr:nvSpPr>
      <xdr:spPr bwMode="auto">
        <a:xfrm>
          <a:off x="142876" y="9220200"/>
          <a:ext cx="12172949" cy="47434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1400" b="0">
              <a:effectLst/>
              <a:latin typeface="+mn-lt"/>
              <a:ea typeface="+mn-ea"/>
              <a:cs typeface="+mn-cs"/>
            </a:rPr>
            <a:t>-- </a:t>
          </a:r>
          <a:r>
            <a:rPr lang="ja-JP" altLang="en-US" sz="1400" b="0">
              <a:effectLst/>
              <a:latin typeface="+mn-lt"/>
              <a:ea typeface="+mn-ea"/>
              <a:cs typeface="+mn-cs"/>
            </a:rPr>
            <a:t>着順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1,2,3</a:t>
          </a:r>
          <a:r>
            <a:rPr lang="ja-JP" altLang="en-US" sz="1400" b="0">
              <a:effectLst/>
              <a:latin typeface="+mn-lt"/>
              <a:ea typeface="+mn-ea"/>
              <a:cs typeface="+mn-cs"/>
            </a:rPr>
            <a:t>の投票数・的中率調査</a:t>
          </a:r>
          <a:r>
            <a:rPr lang="ja-JP" altLang="en-US" sz="1400" b="0"/>
            <a:t/>
          </a:r>
          <a:br>
            <a:rPr lang="ja-JP" altLang="en-US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select</a:t>
          </a:r>
          <a:r>
            <a:rPr lang="en-US" altLang="ja-JP" sz="1400" b="0"/>
            <a:t/>
          </a:r>
          <a:br>
            <a:rPr lang="en-US" altLang="ja-JP" sz="1400" b="0"/>
          </a:br>
          <a:r>
            <a:rPr lang="en-US" altLang="ja-JP" sz="1400" b="0"/>
            <a:t> 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'digit1'</a:t>
          </a:r>
          <a:r>
            <a:rPr lang="en-US" altLang="ja-JP" sz="1400" b="0"/>
            <a:t> digit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/>
          </a:r>
          <a:br>
            <a:rPr lang="en-US" altLang="ja-JP" sz="1400" b="0"/>
          </a:br>
          <a:r>
            <a:rPr lang="en-US" altLang="ja-JP" sz="1400" b="0"/>
            <a:t> 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modelno mno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prediction1 prediction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mc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algorithm_rank1 a1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mc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features_rank1 f1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/>
          </a:r>
          <a:br>
            <a:rPr lang="en-US" altLang="ja-JP" sz="1400" b="0"/>
          </a:br>
          <a:r>
            <a:rPr lang="en-US" altLang="ja-JP" sz="1400" b="0"/>
            <a:t>  count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(1)</a:t>
          </a:r>
          <a:r>
            <a:rPr lang="en-US" altLang="ja-JP" sz="1400" b="0"/>
            <a:t> betcnt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sum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(case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when</a:t>
          </a:r>
          <a:r>
            <a:rPr lang="en-US" altLang="ja-JP" sz="1400" b="0"/>
            <a:t> substring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 sz="1400" b="0"/>
            <a:t>sanrentanno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3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for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1)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prediction3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then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else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0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end)</a:t>
          </a:r>
          <a:r>
            <a:rPr lang="en-US" altLang="ja-JP" sz="1400" b="0"/>
            <a:t> hitcnt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/>
          </a:r>
          <a:br>
            <a:rPr lang="en-US" altLang="ja-JP" sz="1400" b="0"/>
          </a:br>
          <a:r>
            <a:rPr lang="en-US" altLang="ja-JP" sz="1400" b="0"/>
            <a:t> 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 sz="1400" b="0"/>
            <a:t>sum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(case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when</a:t>
          </a:r>
          <a:r>
            <a:rPr lang="en-US" altLang="ja-JP" sz="1400" b="0"/>
            <a:t> substring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 sz="1400" b="0"/>
            <a:t>sanrentanno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3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for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1)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prediction3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then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else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0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end)::float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/</a:t>
          </a:r>
          <a:r>
            <a:rPr lang="en-US" altLang="ja-JP" sz="1400" b="0"/>
            <a:t> count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(1)::float)::numeric(5,2)</a:t>
          </a:r>
          <a:r>
            <a:rPr lang="en-US" altLang="ja-JP" sz="1400" b="0"/>
            <a:t> hitrate</a:t>
          </a:r>
          <a:br>
            <a:rPr lang="en-US" altLang="ja-JP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 sz="1400" b="0"/>
            <a:t> rec_race race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ml_classification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ml_model_config mc</a:t>
          </a:r>
          <a:br>
            <a:rPr lang="en-US" altLang="ja-JP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where</a:t>
          </a:r>
          <a:r>
            <a:rPr lang="en-US" altLang="ja-JP" sz="1400" b="0"/>
            <a:t> race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ymd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ymd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/>
            <a:t> race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jyocd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jyocd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/>
            <a:t> race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raceno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raceno</a:t>
          </a:r>
          <a:br>
            <a:rPr lang="en-US" altLang="ja-JP" sz="1400" b="0"/>
          </a:br>
          <a:r>
            <a:rPr lang="en-US" altLang="ja-JP" sz="1400" b="0"/>
            <a:t> 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modelno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mc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modelno </a:t>
          </a:r>
          <a:br>
            <a:rPr lang="en-US" altLang="ja-JP" sz="1400" b="0"/>
          </a:br>
          <a:r>
            <a:rPr lang="en-US" altLang="ja-JP" sz="1400" b="0"/>
            <a:t>  </a:t>
          </a:r>
          <a:r>
            <a:rPr lang="en-US" altLang="ja-JP" sz="14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>
              <a:solidFill>
                <a:srgbClr val="FF0000"/>
              </a:solidFill>
            </a:rPr>
            <a:t> mc</a:t>
          </a:r>
          <a:r>
            <a:rPr lang="en-US" altLang="ja-JP" sz="14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>
              <a:solidFill>
                <a:srgbClr val="FF0000"/>
              </a:solidFill>
            </a:rPr>
            <a:t>algorithm_rank2 </a:t>
          </a:r>
          <a:r>
            <a:rPr lang="en-US" altLang="ja-JP" sz="14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>
              <a:solidFill>
                <a:srgbClr val="FF0000"/>
              </a:solidFill>
            </a:rPr>
            <a:t> </a:t>
          </a:r>
          <a:r>
            <a:rPr lang="en-US" altLang="ja-JP" sz="14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'cf_lgbm-1_py'</a:t>
          </a:r>
          <a:r>
            <a:rPr lang="en-US" altLang="ja-JP" sz="1400" b="0">
              <a:solidFill>
                <a:srgbClr val="FF0000"/>
              </a:solidFill>
            </a:rPr>
            <a:t/>
          </a:r>
          <a:br>
            <a:rPr lang="en-US" altLang="ja-JP" sz="1400" b="0">
              <a:solidFill>
                <a:srgbClr val="FF0000"/>
              </a:solidFill>
            </a:rPr>
          </a:br>
          <a:r>
            <a:rPr lang="en-US" altLang="ja-JP" sz="1400" b="0"/>
            <a:t> 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ymd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::int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&lt;=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20210601</a:t>
          </a:r>
          <a:r>
            <a:rPr lang="en-US" altLang="ja-JP" sz="1400" b="0"/>
            <a:t/>
          </a:r>
          <a:br>
            <a:rPr lang="en-US" altLang="ja-JP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group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by</a:t>
          </a:r>
          <a:r>
            <a:rPr lang="en-US" altLang="ja-JP" sz="1400" b="0"/>
            <a:t> mno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prediction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/>
          </a:r>
          <a:br>
            <a:rPr lang="en-US" altLang="ja-JP" sz="1400" b="0"/>
          </a:br>
          <a:r>
            <a:rPr lang="en-US" altLang="ja-JP" sz="1400" b="0"/>
            <a:t>  a1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f1</a:t>
          </a:r>
          <a:br>
            <a:rPr lang="en-US" altLang="ja-JP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order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by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prediction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hitrate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desc,</a:t>
          </a:r>
          <a:r>
            <a:rPr lang="en-US" altLang="ja-JP" sz="1400" b="0"/>
            <a:t> betcnt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desc;</a:t>
          </a:r>
          <a:r>
            <a:rPr lang="en-US" altLang="ja-JP" sz="1400" b="0"/>
            <a:t/>
          </a:r>
          <a:br>
            <a:rPr lang="en-US" altLang="ja-JP" sz="1400" b="0"/>
          </a:br>
          <a:endParaRPr lang="ja-JP" altLang="en-US" sz="140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133</xdr:row>
      <xdr:rowOff>104775</xdr:rowOff>
    </xdr:from>
    <xdr:to>
      <xdr:col>10</xdr:col>
      <xdr:colOff>419100</xdr:colOff>
      <xdr:row>152</xdr:row>
      <xdr:rowOff>161925</xdr:rowOff>
    </xdr:to>
    <xdr:sp macro="" textlink="">
      <xdr:nvSpPr>
        <xdr:cNvPr id="60417" name="Text Box 1"/>
        <xdr:cNvSpPr txBox="1">
          <a:spLocks noChangeArrowheads="1"/>
        </xdr:cNvSpPr>
      </xdr:nvSpPr>
      <xdr:spPr bwMode="auto">
        <a:xfrm>
          <a:off x="0" y="24536400"/>
          <a:ext cx="6715125" cy="34956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1000">
              <a:effectLst/>
              <a:latin typeface="+mn-lt"/>
              <a:ea typeface="+mn-ea"/>
              <a:cs typeface="+mn-cs"/>
            </a:rPr>
            <a:t>-- </a:t>
          </a:r>
          <a:r>
            <a:rPr lang="ja-JP" altLang="en-US" sz="1000">
              <a:effectLst/>
              <a:latin typeface="+mn-lt"/>
              <a:ea typeface="+mn-ea"/>
              <a:cs typeface="+mn-cs"/>
            </a:rPr>
            <a:t>着順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1,2,3</a:t>
          </a:r>
          <a:r>
            <a:rPr lang="ja-JP" altLang="en-US" sz="1000">
              <a:effectLst/>
              <a:latin typeface="+mn-lt"/>
              <a:ea typeface="+mn-ea"/>
              <a:cs typeface="+mn-cs"/>
            </a:rPr>
            <a:t>の投票数・的中率調査</a:t>
          </a:r>
          <a:r>
            <a:rPr lang="ja-JP" altLang="en-US"/>
            <a:t/>
          </a:r>
          <a:br>
            <a:rPr lang="ja-JP" altLang="en-US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select</a:t>
          </a:r>
          <a:r>
            <a:rPr lang="en-US" altLang="ja-JP"/>
            <a:t/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'digit1'</a:t>
          </a:r>
          <a:r>
            <a:rPr lang="en-US" altLang="ja-JP"/>
            <a:t> digit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/>
          </a:r>
          <a:br>
            <a:rPr lang="en-US" altLang="ja-JP"/>
          </a:br>
          <a:r>
            <a:rPr lang="en-US" altLang="ja-JP"/>
            <a:t> 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modelno mno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prediction1 prediction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mc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algorithm_rank1 a1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mc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features_rank1 f1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/>
          </a:r>
          <a:br>
            <a:rPr lang="en-US" altLang="ja-JP"/>
          </a:br>
          <a:r>
            <a:rPr lang="en-US" altLang="ja-JP"/>
            <a:t>  count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(1)</a:t>
          </a:r>
          <a:r>
            <a:rPr lang="en-US" altLang="ja-JP"/>
            <a:t> betcnt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sum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(case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when</a:t>
          </a:r>
          <a:r>
            <a:rPr lang="en-US" altLang="ja-JP"/>
            <a:t> substring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/>
            <a:t>sanrentanno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3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for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1)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prediction3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then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else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0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end)</a:t>
          </a:r>
          <a:r>
            <a:rPr lang="en-US" altLang="ja-JP"/>
            <a:t> hitcnt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/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/>
            <a:t>sum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(case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when</a:t>
          </a:r>
          <a:r>
            <a:rPr lang="en-US" altLang="ja-JP"/>
            <a:t> substring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/>
            <a:t>sanrentanno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3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for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1)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prediction3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then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else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0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end)::float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/</a:t>
          </a:r>
          <a:r>
            <a:rPr lang="en-US" altLang="ja-JP"/>
            <a:t> count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(1)::float)::numeric(5,2)</a:t>
          </a:r>
          <a:r>
            <a:rPr lang="en-US" altLang="ja-JP"/>
            <a:t> hitrate</a:t>
          </a:r>
          <a:br>
            <a:rPr lang="en-US" altLang="ja-JP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/>
            <a:t> rec_race race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ml_classification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ml_model_config mc</a:t>
          </a:r>
          <a:br>
            <a:rPr lang="en-US" altLang="ja-JP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where</a:t>
          </a:r>
          <a:r>
            <a:rPr lang="en-US" altLang="ja-JP"/>
            <a:t> race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ymd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ymd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race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jyocd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jyocd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race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raceno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raceno</a:t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modelno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mc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modelno </a:t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mc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algorithm_rank2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'cf_lgbm-1_py'</a:t>
          </a:r>
          <a:r>
            <a:rPr lang="en-US" altLang="ja-JP"/>
            <a:t/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ymd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::int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&lt;=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20210601</a:t>
          </a:r>
          <a:r>
            <a:rPr lang="en-US" altLang="ja-JP"/>
            <a:t/>
          </a:r>
          <a:br>
            <a:rPr lang="en-US" altLang="ja-JP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group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by</a:t>
          </a:r>
          <a:r>
            <a:rPr lang="en-US" altLang="ja-JP"/>
            <a:t> mno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prediction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/>
          </a:r>
          <a:br>
            <a:rPr lang="en-US" altLang="ja-JP"/>
          </a:br>
          <a:r>
            <a:rPr lang="en-US" altLang="ja-JP"/>
            <a:t>  a1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f1</a:t>
          </a:r>
          <a:br>
            <a:rPr lang="en-US" altLang="ja-JP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order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by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prediction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hitrate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desc,</a:t>
          </a:r>
          <a:r>
            <a:rPr lang="en-US" altLang="ja-JP"/>
            <a:t> betcnt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desc;</a:t>
          </a:r>
          <a:r>
            <a:rPr lang="en-US" altLang="ja-JP"/>
            <a:t/>
          </a:r>
          <a:br>
            <a:rPr lang="en-US" altLang="ja-JP"/>
          </a:br>
          <a:endParaRPr lang="ja-JP" altLang="en-US" sz="120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T107"/>
  <sheetViews>
    <sheetView zoomScaleNormal="100" workbookViewId="0">
      <pane ySplit="1" topLeftCell="A41" activePane="bottomLeft" state="frozen"/>
      <selection pane="bottomLeft" activeCell="H44" sqref="H44"/>
    </sheetView>
  </sheetViews>
  <sheetFormatPr defaultRowHeight="17.25"/>
  <cols>
    <col min="1" max="1" width="8.88671875" style="6" customWidth="1"/>
    <col min="2" max="2" width="9.77734375" style="2" customWidth="1"/>
    <col min="3" max="3" width="10" style="2" customWidth="1"/>
    <col min="4" max="4" width="16.109375" style="2" customWidth="1"/>
    <col min="5" max="5" width="14.5546875" style="2" customWidth="1"/>
    <col min="6" max="6" width="13.21875" style="2" customWidth="1"/>
    <col min="7" max="7" width="10" style="59" customWidth="1"/>
    <col min="8" max="8" width="11.77734375" style="2" customWidth="1"/>
    <col min="9" max="9" width="10.21875" style="2" customWidth="1"/>
    <col min="10" max="10" width="7.88671875" style="2" customWidth="1"/>
    <col min="11" max="11" width="7.5546875" style="59" customWidth="1"/>
    <col min="12" max="12" width="9.33203125" style="2" customWidth="1"/>
    <col min="13" max="13" width="11.109375" style="2" customWidth="1"/>
    <col min="14" max="14" width="10.21875" style="2" customWidth="1"/>
    <col min="15" max="15" width="9.6640625" style="59" customWidth="1"/>
    <col min="16" max="16" width="14.88671875" style="2" customWidth="1"/>
    <col min="17" max="17" width="9.88671875" style="2" customWidth="1"/>
    <col min="18" max="18" width="6.109375" style="2" customWidth="1"/>
    <col min="19" max="19" width="8" style="2" customWidth="1"/>
    <col min="20" max="20" width="8.77734375" style="2" customWidth="1"/>
    <col min="21" max="21" width="4.6640625" customWidth="1"/>
  </cols>
  <sheetData>
    <row r="1" spans="1:20" s="1" customFormat="1" ht="34.5" customHeight="1">
      <c r="A1" s="4" t="s">
        <v>45</v>
      </c>
      <c r="B1" s="3" t="s">
        <v>2</v>
      </c>
      <c r="C1" s="3" t="s">
        <v>3</v>
      </c>
      <c r="D1" s="3" t="s">
        <v>11</v>
      </c>
      <c r="E1" s="3" t="s">
        <v>14</v>
      </c>
      <c r="F1" s="3" t="s">
        <v>17</v>
      </c>
      <c r="G1" s="17" t="s">
        <v>650</v>
      </c>
      <c r="H1" s="3" t="s">
        <v>10</v>
      </c>
      <c r="I1" s="3" t="s">
        <v>13</v>
      </c>
      <c r="J1" s="3" t="s">
        <v>16</v>
      </c>
      <c r="K1" s="17" t="s">
        <v>651</v>
      </c>
      <c r="L1" s="3" t="s">
        <v>9</v>
      </c>
      <c r="M1" s="3" t="s">
        <v>12</v>
      </c>
      <c r="N1" s="3" t="s">
        <v>15</v>
      </c>
      <c r="O1" s="17" t="s">
        <v>652</v>
      </c>
      <c r="P1" s="3" t="s">
        <v>20</v>
      </c>
      <c r="Q1" s="3" t="s">
        <v>21</v>
      </c>
      <c r="R1" s="3" t="s">
        <v>502</v>
      </c>
      <c r="S1" s="3" t="s">
        <v>4</v>
      </c>
      <c r="T1" s="3" t="s">
        <v>5</v>
      </c>
    </row>
    <row r="2" spans="1:20" s="42" customFormat="1">
      <c r="A2" s="61">
        <v>99100</v>
      </c>
      <c r="B2" s="167" t="s">
        <v>640</v>
      </c>
      <c r="C2" s="167" t="s">
        <v>712</v>
      </c>
      <c r="D2" s="41" t="s">
        <v>493</v>
      </c>
      <c r="E2" s="59" t="s">
        <v>93</v>
      </c>
      <c r="F2" s="59" t="s">
        <v>94</v>
      </c>
      <c r="G2" s="168" t="s">
        <v>764</v>
      </c>
      <c r="H2" s="41" t="s">
        <v>28</v>
      </c>
      <c r="I2" s="41" t="s">
        <v>28</v>
      </c>
      <c r="J2" s="41" t="s">
        <v>28</v>
      </c>
      <c r="K2" s="41" t="s">
        <v>28</v>
      </c>
      <c r="L2" s="59" t="s">
        <v>329</v>
      </c>
      <c r="M2" s="59" t="s">
        <v>475</v>
      </c>
      <c r="N2" s="59" t="s">
        <v>329</v>
      </c>
      <c r="O2" s="168" t="s">
        <v>204</v>
      </c>
      <c r="P2" s="41" t="s">
        <v>22</v>
      </c>
      <c r="Q2" s="41" t="s">
        <v>32</v>
      </c>
      <c r="R2" s="41" t="s">
        <v>19</v>
      </c>
      <c r="S2" s="41">
        <v>1825</v>
      </c>
      <c r="T2" s="41" t="s">
        <v>24</v>
      </c>
    </row>
    <row r="3" spans="1:20" s="42" customFormat="1">
      <c r="A3" s="5" t="s">
        <v>599</v>
      </c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</row>
    <row r="4" spans="1:20" s="42" customFormat="1">
      <c r="A4" s="5">
        <v>11609</v>
      </c>
      <c r="B4" s="71" t="s">
        <v>601</v>
      </c>
      <c r="C4" s="71" t="s">
        <v>579</v>
      </c>
      <c r="D4" s="41" t="s">
        <v>23</v>
      </c>
      <c r="E4" s="59" t="s">
        <v>93</v>
      </c>
      <c r="F4" s="59" t="s">
        <v>94</v>
      </c>
      <c r="G4" s="41" t="s">
        <v>25</v>
      </c>
      <c r="H4" s="41" t="s">
        <v>28</v>
      </c>
      <c r="I4" s="41" t="s">
        <v>28</v>
      </c>
      <c r="J4" s="41" t="s">
        <v>28</v>
      </c>
      <c r="K4" s="41" t="s">
        <v>25</v>
      </c>
      <c r="L4" s="71" t="s">
        <v>638</v>
      </c>
      <c r="M4" s="71" t="s">
        <v>600</v>
      </c>
      <c r="N4" s="71" t="s">
        <v>600</v>
      </c>
      <c r="O4" s="41" t="s">
        <v>25</v>
      </c>
      <c r="P4" s="59" t="s">
        <v>583</v>
      </c>
      <c r="Q4" s="59" t="s">
        <v>584</v>
      </c>
      <c r="R4" s="72" t="s">
        <v>546</v>
      </c>
      <c r="S4" s="41" t="s">
        <v>545</v>
      </c>
      <c r="T4" s="41" t="s">
        <v>24</v>
      </c>
    </row>
    <row r="5" spans="1:20" s="73" customFormat="1">
      <c r="A5" s="72" t="s">
        <v>648</v>
      </c>
      <c r="B5" s="71"/>
      <c r="C5" s="71"/>
      <c r="D5" s="41"/>
      <c r="E5" s="59"/>
      <c r="F5" s="59"/>
      <c r="G5" s="59"/>
      <c r="H5" s="41"/>
      <c r="I5" s="41"/>
      <c r="J5" s="41"/>
      <c r="K5" s="59"/>
      <c r="L5" s="71"/>
      <c r="M5" s="71"/>
      <c r="N5" s="71"/>
      <c r="O5" s="59"/>
      <c r="P5" s="59"/>
      <c r="Q5" s="59"/>
      <c r="R5" s="72"/>
      <c r="S5" s="41"/>
      <c r="T5" s="41"/>
    </row>
    <row r="6" spans="1:20" s="73" customFormat="1">
      <c r="A6" s="61">
        <v>89100</v>
      </c>
      <c r="B6" s="71" t="s">
        <v>640</v>
      </c>
      <c r="C6" s="71" t="s">
        <v>474</v>
      </c>
      <c r="D6" s="41" t="s">
        <v>633</v>
      </c>
      <c r="E6" s="59" t="s">
        <v>634</v>
      </c>
      <c r="F6" s="59" t="s">
        <v>634</v>
      </c>
      <c r="G6" s="59" t="s">
        <v>25</v>
      </c>
      <c r="H6" s="41" t="s">
        <v>635</v>
      </c>
      <c r="I6" s="41" t="s">
        <v>558</v>
      </c>
      <c r="J6" s="41" t="s">
        <v>558</v>
      </c>
      <c r="K6" s="59" t="s">
        <v>25</v>
      </c>
      <c r="L6" s="59" t="s">
        <v>639</v>
      </c>
      <c r="M6" s="59" t="s">
        <v>558</v>
      </c>
      <c r="N6" s="59" t="s">
        <v>558</v>
      </c>
      <c r="O6" s="59" t="s">
        <v>25</v>
      </c>
      <c r="P6" s="41" t="s">
        <v>637</v>
      </c>
      <c r="Q6" s="41" t="s">
        <v>636</v>
      </c>
      <c r="R6" s="41" t="s">
        <v>19</v>
      </c>
      <c r="S6" s="41">
        <v>1825</v>
      </c>
      <c r="T6" s="41" t="s">
        <v>24</v>
      </c>
    </row>
    <row r="7" spans="1:20" s="73" customFormat="1">
      <c r="A7" s="72" t="s">
        <v>647</v>
      </c>
      <c r="B7" s="71"/>
      <c r="C7" s="71"/>
      <c r="D7" s="41"/>
      <c r="E7" s="59"/>
      <c r="F7" s="59"/>
      <c r="G7" s="59"/>
      <c r="H7" s="41"/>
      <c r="I7" s="41"/>
      <c r="J7" s="41"/>
      <c r="K7" s="59"/>
      <c r="L7" s="59"/>
      <c r="M7" s="59"/>
      <c r="N7" s="59"/>
      <c r="O7" s="59"/>
      <c r="P7" s="41"/>
      <c r="Q7" s="41"/>
      <c r="R7" s="41"/>
      <c r="S7" s="41"/>
      <c r="T7" s="41"/>
    </row>
    <row r="8" spans="1:20" s="73" customFormat="1">
      <c r="A8" s="61">
        <v>89101</v>
      </c>
      <c r="B8" s="71" t="s">
        <v>474</v>
      </c>
      <c r="C8" s="71" t="s">
        <v>644</v>
      </c>
      <c r="D8" s="41" t="s">
        <v>633</v>
      </c>
      <c r="E8" s="59" t="s">
        <v>634</v>
      </c>
      <c r="F8" s="59" t="s">
        <v>634</v>
      </c>
      <c r="G8" s="59" t="s">
        <v>25</v>
      </c>
      <c r="H8" s="41" t="s">
        <v>635</v>
      </c>
      <c r="I8" s="41" t="s">
        <v>558</v>
      </c>
      <c r="J8" s="41" t="s">
        <v>558</v>
      </c>
      <c r="K8" s="59" t="s">
        <v>25</v>
      </c>
      <c r="L8" s="59" t="s">
        <v>641</v>
      </c>
      <c r="M8" s="59" t="s">
        <v>558</v>
      </c>
      <c r="N8" s="59" t="s">
        <v>558</v>
      </c>
      <c r="O8" s="59" t="s">
        <v>25</v>
      </c>
      <c r="P8" s="41" t="s">
        <v>642</v>
      </c>
      <c r="Q8" s="41" t="s">
        <v>643</v>
      </c>
      <c r="R8" s="41" t="s">
        <v>19</v>
      </c>
      <c r="S8" s="41">
        <v>1825</v>
      </c>
      <c r="T8" s="41" t="s">
        <v>646</v>
      </c>
    </row>
    <row r="9" spans="1:20" s="73" customFormat="1">
      <c r="A9" s="72" t="s">
        <v>649</v>
      </c>
      <c r="B9" s="71"/>
      <c r="C9" s="71"/>
      <c r="D9" s="41"/>
      <c r="E9" s="59"/>
      <c r="F9" s="59"/>
      <c r="G9" s="59"/>
      <c r="H9" s="41"/>
      <c r="I9" s="41"/>
      <c r="J9" s="41"/>
      <c r="K9" s="59"/>
      <c r="L9" s="59"/>
      <c r="M9" s="59"/>
      <c r="N9" s="59"/>
      <c r="O9" s="59"/>
      <c r="P9" s="41"/>
      <c r="Q9" s="41"/>
      <c r="R9" s="41"/>
      <c r="S9" s="41"/>
      <c r="T9" s="41"/>
    </row>
    <row r="10" spans="1:20" s="73" customFormat="1">
      <c r="A10" s="61">
        <v>99101</v>
      </c>
      <c r="B10" s="71" t="s">
        <v>367</v>
      </c>
      <c r="C10" s="71" t="s">
        <v>644</v>
      </c>
      <c r="D10" s="41" t="s">
        <v>23</v>
      </c>
      <c r="E10" s="59" t="s">
        <v>93</v>
      </c>
      <c r="F10" s="59" t="s">
        <v>94</v>
      </c>
      <c r="G10" s="41" t="s">
        <v>25</v>
      </c>
      <c r="H10" s="41" t="s">
        <v>28</v>
      </c>
      <c r="I10" s="41" t="s">
        <v>28</v>
      </c>
      <c r="J10" s="41" t="s">
        <v>28</v>
      </c>
      <c r="K10" s="41" t="s">
        <v>25</v>
      </c>
      <c r="L10" s="59" t="s">
        <v>645</v>
      </c>
      <c r="M10" s="59" t="s">
        <v>645</v>
      </c>
      <c r="N10" s="59" t="s">
        <v>645</v>
      </c>
      <c r="O10" s="41" t="s">
        <v>25</v>
      </c>
      <c r="P10" s="59" t="s">
        <v>583</v>
      </c>
      <c r="Q10" s="59" t="s">
        <v>584</v>
      </c>
      <c r="R10" s="41" t="s">
        <v>19</v>
      </c>
      <c r="S10" s="41">
        <v>1825</v>
      </c>
      <c r="T10" s="41" t="s">
        <v>646</v>
      </c>
    </row>
    <row r="11" spans="1:20" s="73" customFormat="1">
      <c r="A11" s="72" t="s">
        <v>655</v>
      </c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</row>
    <row r="12" spans="1:20" s="73" customFormat="1">
      <c r="A12" s="61">
        <v>99102</v>
      </c>
      <c r="B12" s="71" t="s">
        <v>367</v>
      </c>
      <c r="C12" s="71" t="s">
        <v>367</v>
      </c>
      <c r="D12" s="41" t="s">
        <v>23</v>
      </c>
      <c r="E12" s="59" t="s">
        <v>93</v>
      </c>
      <c r="F12" s="59" t="s">
        <v>94</v>
      </c>
      <c r="G12" s="41" t="s">
        <v>25</v>
      </c>
      <c r="H12" s="41" t="s">
        <v>654</v>
      </c>
      <c r="I12" s="41" t="s">
        <v>654</v>
      </c>
      <c r="J12" s="41" t="s">
        <v>654</v>
      </c>
      <c r="K12" s="41" t="s">
        <v>25</v>
      </c>
      <c r="L12" s="59" t="s">
        <v>204</v>
      </c>
      <c r="M12" s="59" t="s">
        <v>204</v>
      </c>
      <c r="N12" s="59" t="s">
        <v>204</v>
      </c>
      <c r="O12" s="41" t="s">
        <v>25</v>
      </c>
      <c r="P12" s="41" t="s">
        <v>22</v>
      </c>
      <c r="Q12" s="41" t="s">
        <v>32</v>
      </c>
      <c r="R12" s="41" t="s">
        <v>19</v>
      </c>
      <c r="S12" s="41">
        <v>1825</v>
      </c>
      <c r="T12" s="41" t="s">
        <v>646</v>
      </c>
    </row>
    <row r="13" spans="1:20">
      <c r="A13" s="72" t="s">
        <v>656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</row>
    <row r="14" spans="1:20">
      <c r="A14" s="61">
        <v>99103</v>
      </c>
      <c r="B14" s="71" t="s">
        <v>367</v>
      </c>
      <c r="C14" s="71" t="s">
        <v>367</v>
      </c>
      <c r="D14" s="41" t="s">
        <v>23</v>
      </c>
      <c r="E14" s="59" t="s">
        <v>93</v>
      </c>
      <c r="F14" s="59" t="s">
        <v>94</v>
      </c>
      <c r="G14" s="41" t="s">
        <v>25</v>
      </c>
      <c r="H14" s="41" t="s">
        <v>654</v>
      </c>
      <c r="I14" s="41" t="s">
        <v>654</v>
      </c>
      <c r="J14" s="41" t="s">
        <v>654</v>
      </c>
      <c r="K14" s="41" t="s">
        <v>25</v>
      </c>
      <c r="L14" s="59" t="s">
        <v>657</v>
      </c>
      <c r="M14" s="59" t="s">
        <v>657</v>
      </c>
      <c r="N14" s="59" t="s">
        <v>657</v>
      </c>
      <c r="O14" s="41" t="s">
        <v>25</v>
      </c>
      <c r="P14" s="41" t="s">
        <v>22</v>
      </c>
      <c r="Q14" s="41" t="s">
        <v>32</v>
      </c>
      <c r="R14" s="41" t="s">
        <v>19</v>
      </c>
      <c r="S14" s="41">
        <v>1825</v>
      </c>
      <c r="T14" s="41" t="s">
        <v>24</v>
      </c>
    </row>
    <row r="15" spans="1:20" s="42" customFormat="1">
      <c r="A15" s="72" t="s">
        <v>658</v>
      </c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</row>
    <row r="16" spans="1:20" s="42" customFormat="1">
      <c r="A16" s="61">
        <v>99104</v>
      </c>
      <c r="B16" s="71" t="s">
        <v>367</v>
      </c>
      <c r="C16" s="71" t="s">
        <v>367</v>
      </c>
      <c r="D16" s="41" t="s">
        <v>23</v>
      </c>
      <c r="E16" s="59" t="s">
        <v>93</v>
      </c>
      <c r="F16" s="59" t="s">
        <v>94</v>
      </c>
      <c r="G16" s="41" t="s">
        <v>25</v>
      </c>
      <c r="H16" s="41" t="s">
        <v>661</v>
      </c>
      <c r="I16" s="41" t="s">
        <v>661</v>
      </c>
      <c r="J16" s="41" t="s">
        <v>661</v>
      </c>
      <c r="K16" s="41" t="s">
        <v>25</v>
      </c>
      <c r="L16" s="59" t="s">
        <v>659</v>
      </c>
      <c r="M16" s="59" t="s">
        <v>659</v>
      </c>
      <c r="N16" s="59" t="s">
        <v>660</v>
      </c>
      <c r="O16" s="41" t="s">
        <v>25</v>
      </c>
      <c r="P16" s="41" t="s">
        <v>22</v>
      </c>
      <c r="Q16" s="41" t="s">
        <v>32</v>
      </c>
      <c r="R16" s="41" t="s">
        <v>19</v>
      </c>
      <c r="S16" s="41">
        <v>1825</v>
      </c>
      <c r="T16" s="41" t="s">
        <v>24</v>
      </c>
    </row>
    <row r="17" spans="1:20" s="73" customFormat="1">
      <c r="A17" s="72" t="s">
        <v>662</v>
      </c>
      <c r="B17" s="71"/>
      <c r="C17" s="71"/>
      <c r="D17" s="41"/>
      <c r="E17" s="59"/>
      <c r="F17" s="59"/>
      <c r="G17" s="59"/>
      <c r="H17" s="41"/>
      <c r="I17" s="41"/>
      <c r="J17" s="41"/>
      <c r="K17" s="59"/>
      <c r="L17" s="59"/>
      <c r="M17" s="59"/>
      <c r="N17" s="59"/>
      <c r="O17" s="59"/>
      <c r="P17" s="41"/>
      <c r="Q17" s="41"/>
      <c r="R17" s="41"/>
      <c r="S17" s="41"/>
      <c r="T17" s="41"/>
    </row>
    <row r="18" spans="1:20" s="73" customFormat="1">
      <c r="A18" s="61">
        <v>89102</v>
      </c>
      <c r="B18" s="71" t="s">
        <v>367</v>
      </c>
      <c r="C18" s="71" t="s">
        <v>367</v>
      </c>
      <c r="D18" s="41" t="s">
        <v>633</v>
      </c>
      <c r="E18" s="59" t="s">
        <v>25</v>
      </c>
      <c r="F18" s="59" t="s">
        <v>25</v>
      </c>
      <c r="G18" s="59" t="s">
        <v>25</v>
      </c>
      <c r="H18" s="41" t="s">
        <v>663</v>
      </c>
      <c r="I18" s="41" t="s">
        <v>25</v>
      </c>
      <c r="J18" s="41" t="s">
        <v>25</v>
      </c>
      <c r="K18" s="59" t="s">
        <v>25</v>
      </c>
      <c r="L18" s="59" t="s">
        <v>664</v>
      </c>
      <c r="M18" s="59" t="s">
        <v>25</v>
      </c>
      <c r="N18" s="59" t="s">
        <v>25</v>
      </c>
      <c r="O18" s="59" t="s">
        <v>25</v>
      </c>
      <c r="P18" s="41" t="s">
        <v>642</v>
      </c>
      <c r="Q18" s="41" t="s">
        <v>643</v>
      </c>
      <c r="R18" s="41" t="s">
        <v>19</v>
      </c>
      <c r="S18" s="41">
        <v>1825</v>
      </c>
      <c r="T18" s="41" t="s">
        <v>646</v>
      </c>
    </row>
    <row r="19" spans="1:20" s="42" customFormat="1">
      <c r="A19" s="45" t="s">
        <v>668</v>
      </c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</row>
    <row r="20" spans="1:20" s="42" customFormat="1">
      <c r="A20" s="45">
        <v>20001</v>
      </c>
      <c r="B20" s="71" t="s">
        <v>640</v>
      </c>
      <c r="C20" s="71" t="s">
        <v>477</v>
      </c>
      <c r="D20" s="41" t="s">
        <v>665</v>
      </c>
      <c r="E20" s="59" t="s">
        <v>25</v>
      </c>
      <c r="F20" s="59" t="s">
        <v>25</v>
      </c>
      <c r="G20" s="59" t="s">
        <v>25</v>
      </c>
      <c r="H20" s="41" t="s">
        <v>663</v>
      </c>
      <c r="I20" s="41" t="s">
        <v>25</v>
      </c>
      <c r="J20" s="41" t="s">
        <v>25</v>
      </c>
      <c r="K20" s="59" t="s">
        <v>25</v>
      </c>
      <c r="L20" s="59" t="s">
        <v>664</v>
      </c>
      <c r="M20" s="59" t="s">
        <v>25</v>
      </c>
      <c r="N20" s="59" t="s">
        <v>25</v>
      </c>
      <c r="O20" s="59" t="s">
        <v>25</v>
      </c>
      <c r="P20" s="41" t="s">
        <v>642</v>
      </c>
      <c r="Q20" s="41" t="s">
        <v>643</v>
      </c>
      <c r="R20" s="41" t="s">
        <v>19</v>
      </c>
      <c r="S20" s="41">
        <v>1825</v>
      </c>
      <c r="T20" s="41" t="s">
        <v>646</v>
      </c>
    </row>
    <row r="21" spans="1:20" s="42" customFormat="1">
      <c r="A21" s="45" t="s">
        <v>669</v>
      </c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</row>
    <row r="22" spans="1:20" s="42" customFormat="1">
      <c r="A22" s="45">
        <v>20002</v>
      </c>
      <c r="B22" s="71" t="s">
        <v>640</v>
      </c>
      <c r="C22" s="71" t="s">
        <v>477</v>
      </c>
      <c r="D22" s="38" t="s">
        <v>666</v>
      </c>
      <c r="E22" s="59" t="s">
        <v>25</v>
      </c>
      <c r="F22" s="59" t="s">
        <v>25</v>
      </c>
      <c r="G22" s="59" t="s">
        <v>25</v>
      </c>
      <c r="H22" s="41" t="s">
        <v>663</v>
      </c>
      <c r="I22" s="41" t="s">
        <v>25</v>
      </c>
      <c r="J22" s="41" t="s">
        <v>25</v>
      </c>
      <c r="K22" s="59" t="s">
        <v>25</v>
      </c>
      <c r="L22" s="59" t="s">
        <v>664</v>
      </c>
      <c r="M22" s="59" t="s">
        <v>25</v>
      </c>
      <c r="N22" s="59" t="s">
        <v>25</v>
      </c>
      <c r="O22" s="59" t="s">
        <v>25</v>
      </c>
      <c r="P22" s="41" t="s">
        <v>642</v>
      </c>
      <c r="Q22" s="41" t="s">
        <v>643</v>
      </c>
      <c r="R22" s="41" t="s">
        <v>19</v>
      </c>
      <c r="S22" s="41">
        <v>1825</v>
      </c>
      <c r="T22" s="41" t="s">
        <v>646</v>
      </c>
    </row>
    <row r="23" spans="1:20" s="42" customFormat="1">
      <c r="A23" s="45" t="s">
        <v>670</v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</row>
    <row r="24" spans="1:20" s="42" customFormat="1">
      <c r="A24" s="45">
        <v>20003</v>
      </c>
      <c r="B24" s="71" t="s">
        <v>640</v>
      </c>
      <c r="C24" s="71" t="s">
        <v>477</v>
      </c>
      <c r="D24" s="41" t="s">
        <v>665</v>
      </c>
      <c r="E24" s="59" t="s">
        <v>25</v>
      </c>
      <c r="F24" s="59" t="s">
        <v>25</v>
      </c>
      <c r="G24" s="59" t="s">
        <v>25</v>
      </c>
      <c r="H24" s="41" t="s">
        <v>663</v>
      </c>
      <c r="I24" s="41" t="s">
        <v>25</v>
      </c>
      <c r="J24" s="41" t="s">
        <v>25</v>
      </c>
      <c r="K24" s="59" t="s">
        <v>25</v>
      </c>
      <c r="L24" s="59" t="s">
        <v>664</v>
      </c>
      <c r="M24" s="59" t="s">
        <v>25</v>
      </c>
      <c r="N24" s="59" t="s">
        <v>25</v>
      </c>
      <c r="O24" s="59" t="s">
        <v>25</v>
      </c>
      <c r="P24" s="41" t="s">
        <v>642</v>
      </c>
      <c r="Q24" s="41" t="s">
        <v>643</v>
      </c>
      <c r="R24" s="41" t="s">
        <v>19</v>
      </c>
      <c r="S24" s="41">
        <v>1825</v>
      </c>
      <c r="T24" s="41" t="s">
        <v>646</v>
      </c>
    </row>
    <row r="25" spans="1:20" s="42" customFormat="1">
      <c r="A25" s="45" t="s">
        <v>671</v>
      </c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</row>
    <row r="26" spans="1:20" s="42" customFormat="1">
      <c r="A26" s="45">
        <v>20004</v>
      </c>
      <c r="B26" s="71" t="s">
        <v>640</v>
      </c>
      <c r="C26" s="71" t="s">
        <v>477</v>
      </c>
      <c r="D26" s="160" t="s">
        <v>666</v>
      </c>
      <c r="E26" s="59" t="s">
        <v>25</v>
      </c>
      <c r="F26" s="59" t="s">
        <v>25</v>
      </c>
      <c r="G26" s="59" t="s">
        <v>25</v>
      </c>
      <c r="H26" s="41" t="s">
        <v>663</v>
      </c>
      <c r="I26" s="41" t="s">
        <v>25</v>
      </c>
      <c r="J26" s="41" t="s">
        <v>25</v>
      </c>
      <c r="K26" s="59" t="s">
        <v>25</v>
      </c>
      <c r="L26" s="59" t="s">
        <v>664</v>
      </c>
      <c r="M26" s="59" t="s">
        <v>25</v>
      </c>
      <c r="N26" s="59" t="s">
        <v>25</v>
      </c>
      <c r="O26" s="59" t="s">
        <v>25</v>
      </c>
      <c r="P26" s="41" t="s">
        <v>642</v>
      </c>
      <c r="Q26" s="41" t="s">
        <v>643</v>
      </c>
      <c r="R26" s="41" t="s">
        <v>19</v>
      </c>
      <c r="S26" s="41">
        <v>1825</v>
      </c>
      <c r="T26" s="41" t="s">
        <v>646</v>
      </c>
    </row>
    <row r="27" spans="1:20" s="42" customFormat="1">
      <c r="A27" s="45" t="s">
        <v>672</v>
      </c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</row>
    <row r="28" spans="1:20" s="42" customFormat="1">
      <c r="A28" s="45">
        <v>20005</v>
      </c>
      <c r="B28" s="71" t="s">
        <v>640</v>
      </c>
      <c r="C28" s="71" t="s">
        <v>477</v>
      </c>
      <c r="D28" s="41" t="s">
        <v>665</v>
      </c>
      <c r="E28" s="59" t="s">
        <v>25</v>
      </c>
      <c r="F28" s="59" t="s">
        <v>25</v>
      </c>
      <c r="G28" s="59" t="s">
        <v>25</v>
      </c>
      <c r="H28" s="41" t="s">
        <v>635</v>
      </c>
      <c r="I28" s="41" t="s">
        <v>25</v>
      </c>
      <c r="J28" s="41" t="s">
        <v>25</v>
      </c>
      <c r="K28" s="59" t="s">
        <v>25</v>
      </c>
      <c r="L28" s="59" t="s">
        <v>664</v>
      </c>
      <c r="M28" s="59" t="s">
        <v>25</v>
      </c>
      <c r="N28" s="59" t="s">
        <v>25</v>
      </c>
      <c r="O28" s="59" t="s">
        <v>25</v>
      </c>
      <c r="P28" s="41" t="s">
        <v>642</v>
      </c>
      <c r="Q28" s="41" t="s">
        <v>643</v>
      </c>
      <c r="R28" s="41" t="s">
        <v>19</v>
      </c>
      <c r="S28" s="41">
        <v>1825</v>
      </c>
      <c r="T28" s="41" t="s">
        <v>646</v>
      </c>
    </row>
    <row r="29" spans="1:20" s="42" customFormat="1">
      <c r="A29" s="45" t="s">
        <v>667</v>
      </c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</row>
    <row r="30" spans="1:20" s="42" customFormat="1">
      <c r="A30" s="45">
        <v>20006</v>
      </c>
      <c r="B30" s="71" t="s">
        <v>640</v>
      </c>
      <c r="C30" s="71" t="s">
        <v>477</v>
      </c>
      <c r="D30" s="38" t="s">
        <v>666</v>
      </c>
      <c r="E30" s="59" t="s">
        <v>25</v>
      </c>
      <c r="F30" s="59" t="s">
        <v>25</v>
      </c>
      <c r="G30" s="59" t="s">
        <v>25</v>
      </c>
      <c r="H30" s="41" t="s">
        <v>635</v>
      </c>
      <c r="I30" s="41" t="s">
        <v>25</v>
      </c>
      <c r="J30" s="41" t="s">
        <v>25</v>
      </c>
      <c r="K30" s="59" t="s">
        <v>25</v>
      </c>
      <c r="L30" s="59" t="s">
        <v>664</v>
      </c>
      <c r="M30" s="59" t="s">
        <v>25</v>
      </c>
      <c r="N30" s="59" t="s">
        <v>25</v>
      </c>
      <c r="O30" s="59" t="s">
        <v>25</v>
      </c>
      <c r="P30" s="41" t="s">
        <v>642</v>
      </c>
      <c r="Q30" s="41" t="s">
        <v>643</v>
      </c>
      <c r="R30" s="41" t="s">
        <v>19</v>
      </c>
      <c r="S30" s="41">
        <v>1825</v>
      </c>
      <c r="T30" s="41" t="s">
        <v>646</v>
      </c>
    </row>
    <row r="31" spans="1:20" s="42" customFormat="1">
      <c r="A31" s="45" t="s">
        <v>674</v>
      </c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</row>
    <row r="32" spans="1:20" s="42" customFormat="1">
      <c r="A32" s="45">
        <v>20007</v>
      </c>
      <c r="B32" s="71" t="s">
        <v>686</v>
      </c>
      <c r="C32" s="71" t="s">
        <v>367</v>
      </c>
      <c r="D32" s="41" t="s">
        <v>673</v>
      </c>
      <c r="E32" s="59" t="s">
        <v>25</v>
      </c>
      <c r="F32" s="59" t="s">
        <v>25</v>
      </c>
      <c r="G32" s="59" t="s">
        <v>25</v>
      </c>
      <c r="H32" s="41" t="s">
        <v>663</v>
      </c>
      <c r="I32" s="41" t="s">
        <v>25</v>
      </c>
      <c r="J32" s="41" t="s">
        <v>25</v>
      </c>
      <c r="K32" s="59" t="s">
        <v>25</v>
      </c>
      <c r="L32" s="59" t="s">
        <v>664</v>
      </c>
      <c r="M32" s="59" t="s">
        <v>25</v>
      </c>
      <c r="N32" s="59" t="s">
        <v>25</v>
      </c>
      <c r="O32" s="59" t="s">
        <v>25</v>
      </c>
      <c r="P32" s="41" t="s">
        <v>642</v>
      </c>
      <c r="Q32" s="41" t="s">
        <v>643</v>
      </c>
      <c r="R32" s="41" t="s">
        <v>19</v>
      </c>
      <c r="S32" s="41">
        <v>1825</v>
      </c>
      <c r="T32" s="41" t="s">
        <v>646</v>
      </c>
    </row>
    <row r="33" spans="1:20" s="42" customFormat="1">
      <c r="A33" s="45" t="s">
        <v>675</v>
      </c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</row>
    <row r="34" spans="1:20" s="42" customFormat="1">
      <c r="A34" s="45">
        <v>20008</v>
      </c>
      <c r="B34" s="71" t="s">
        <v>367</v>
      </c>
      <c r="C34" s="71" t="s">
        <v>367</v>
      </c>
      <c r="D34" s="41" t="s">
        <v>673</v>
      </c>
      <c r="E34" s="59" t="s">
        <v>25</v>
      </c>
      <c r="F34" s="59" t="s">
        <v>25</v>
      </c>
      <c r="G34" s="59" t="s">
        <v>25</v>
      </c>
      <c r="H34" s="41" t="s">
        <v>635</v>
      </c>
      <c r="I34" s="41" t="s">
        <v>25</v>
      </c>
      <c r="J34" s="41" t="s">
        <v>25</v>
      </c>
      <c r="K34" s="59" t="s">
        <v>25</v>
      </c>
      <c r="L34" s="59" t="s">
        <v>664</v>
      </c>
      <c r="M34" s="59" t="s">
        <v>25</v>
      </c>
      <c r="N34" s="59" t="s">
        <v>25</v>
      </c>
      <c r="O34" s="59" t="s">
        <v>25</v>
      </c>
      <c r="P34" s="41" t="s">
        <v>642</v>
      </c>
      <c r="Q34" s="41" t="s">
        <v>643</v>
      </c>
      <c r="R34" s="41" t="s">
        <v>19</v>
      </c>
      <c r="S34" s="41">
        <v>1825</v>
      </c>
      <c r="T34" s="41" t="s">
        <v>646</v>
      </c>
    </row>
    <row r="35" spans="1:20" s="42" customFormat="1">
      <c r="A35" s="45" t="s">
        <v>676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</row>
    <row r="36" spans="1:20" s="42" customFormat="1">
      <c r="A36" s="45">
        <v>20009</v>
      </c>
      <c r="B36" s="71" t="s">
        <v>679</v>
      </c>
      <c r="C36" s="71" t="s">
        <v>477</v>
      </c>
      <c r="D36" s="41" t="s">
        <v>677</v>
      </c>
      <c r="E36" s="59" t="s">
        <v>25</v>
      </c>
      <c r="F36" s="59" t="s">
        <v>25</v>
      </c>
      <c r="G36" s="59" t="s">
        <v>25</v>
      </c>
      <c r="H36" s="41" t="s">
        <v>663</v>
      </c>
      <c r="I36" s="41" t="s">
        <v>25</v>
      </c>
      <c r="J36" s="41" t="s">
        <v>25</v>
      </c>
      <c r="K36" s="59" t="s">
        <v>25</v>
      </c>
      <c r="L36" s="59" t="s">
        <v>664</v>
      </c>
      <c r="M36" s="59" t="s">
        <v>25</v>
      </c>
      <c r="N36" s="59" t="s">
        <v>25</v>
      </c>
      <c r="O36" s="59" t="s">
        <v>25</v>
      </c>
      <c r="P36" s="41" t="s">
        <v>642</v>
      </c>
      <c r="Q36" s="41" t="s">
        <v>678</v>
      </c>
      <c r="R36" s="41" t="s">
        <v>19</v>
      </c>
      <c r="S36" s="41">
        <v>1825</v>
      </c>
      <c r="T36" s="41" t="s">
        <v>646</v>
      </c>
    </row>
    <row r="37" spans="1:20" s="42" customFormat="1">
      <c r="A37" s="45" t="s">
        <v>680</v>
      </c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</row>
    <row r="38" spans="1:20" s="42" customFormat="1">
      <c r="A38" s="45">
        <v>20010</v>
      </c>
      <c r="B38" s="71" t="s">
        <v>687</v>
      </c>
      <c r="C38" s="71" t="s">
        <v>685</v>
      </c>
      <c r="D38" s="41" t="s">
        <v>673</v>
      </c>
      <c r="E38" s="59" t="s">
        <v>25</v>
      </c>
      <c r="F38" s="59" t="s">
        <v>25</v>
      </c>
      <c r="G38" s="59" t="s">
        <v>25</v>
      </c>
      <c r="H38" s="41" t="s">
        <v>663</v>
      </c>
      <c r="I38" s="41" t="s">
        <v>25</v>
      </c>
      <c r="J38" s="41" t="s">
        <v>25</v>
      </c>
      <c r="K38" s="59" t="s">
        <v>25</v>
      </c>
      <c r="L38" s="59" t="s">
        <v>664</v>
      </c>
      <c r="M38" s="59" t="s">
        <v>25</v>
      </c>
      <c r="N38" s="59" t="s">
        <v>25</v>
      </c>
      <c r="O38" s="59" t="s">
        <v>25</v>
      </c>
      <c r="P38" s="41" t="s">
        <v>642</v>
      </c>
      <c r="Q38" s="41" t="s">
        <v>643</v>
      </c>
      <c r="R38" s="41" t="s">
        <v>19</v>
      </c>
      <c r="S38" s="41">
        <v>1825</v>
      </c>
      <c r="T38" s="41" t="s">
        <v>646</v>
      </c>
    </row>
    <row r="39" spans="1:20" s="42" customFormat="1">
      <c r="A39" s="45" t="s">
        <v>681</v>
      </c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</row>
    <row r="40" spans="1:20" s="42" customFormat="1">
      <c r="A40" s="45">
        <v>20011</v>
      </c>
      <c r="B40" s="71" t="s">
        <v>687</v>
      </c>
      <c r="C40" s="71" t="s">
        <v>685</v>
      </c>
      <c r="D40" s="41" t="s">
        <v>673</v>
      </c>
      <c r="E40" s="59" t="s">
        <v>25</v>
      </c>
      <c r="F40" s="59" t="s">
        <v>25</v>
      </c>
      <c r="G40" s="59" t="s">
        <v>25</v>
      </c>
      <c r="H40" s="41" t="s">
        <v>663</v>
      </c>
      <c r="I40" s="41" t="s">
        <v>25</v>
      </c>
      <c r="J40" s="41" t="s">
        <v>25</v>
      </c>
      <c r="K40" s="59" t="s">
        <v>25</v>
      </c>
      <c r="L40" s="59" t="s">
        <v>664</v>
      </c>
      <c r="M40" s="59" t="s">
        <v>25</v>
      </c>
      <c r="N40" s="59" t="s">
        <v>25</v>
      </c>
      <c r="O40" s="59" t="s">
        <v>25</v>
      </c>
      <c r="P40" s="41" t="s">
        <v>642</v>
      </c>
      <c r="Q40" s="41" t="s">
        <v>643</v>
      </c>
      <c r="R40" s="41" t="s">
        <v>19</v>
      </c>
      <c r="S40" s="41">
        <v>1825</v>
      </c>
      <c r="T40" s="41" t="s">
        <v>682</v>
      </c>
    </row>
    <row r="41" spans="1:20" s="42" customFormat="1">
      <c r="A41" s="45" t="s">
        <v>683</v>
      </c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</row>
    <row r="42" spans="1:20" s="42" customFormat="1">
      <c r="A42" s="45">
        <v>20012</v>
      </c>
      <c r="B42" s="71" t="s">
        <v>688</v>
      </c>
      <c r="C42" s="71" t="s">
        <v>685</v>
      </c>
      <c r="D42" s="41" t="s">
        <v>673</v>
      </c>
      <c r="E42" s="59" t="s">
        <v>25</v>
      </c>
      <c r="F42" s="59" t="s">
        <v>25</v>
      </c>
      <c r="G42" s="59" t="s">
        <v>25</v>
      </c>
      <c r="H42" s="41" t="s">
        <v>663</v>
      </c>
      <c r="I42" s="41" t="s">
        <v>25</v>
      </c>
      <c r="J42" s="41" t="s">
        <v>25</v>
      </c>
      <c r="K42" s="59" t="s">
        <v>25</v>
      </c>
      <c r="L42" s="59" t="s">
        <v>664</v>
      </c>
      <c r="M42" s="59" t="s">
        <v>25</v>
      </c>
      <c r="N42" s="59" t="s">
        <v>25</v>
      </c>
      <c r="O42" s="59" t="s">
        <v>25</v>
      </c>
      <c r="P42" s="41" t="s">
        <v>642</v>
      </c>
      <c r="Q42" s="41" t="s">
        <v>643</v>
      </c>
      <c r="R42" s="41" t="s">
        <v>19</v>
      </c>
      <c r="S42" s="41">
        <v>1825</v>
      </c>
      <c r="T42" s="41" t="s">
        <v>684</v>
      </c>
    </row>
    <row r="43" spans="1:20" s="42" customFormat="1">
      <c r="A43" s="45" t="s">
        <v>689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</row>
    <row r="44" spans="1:20" s="42" customFormat="1">
      <c r="A44" s="45">
        <v>20013</v>
      </c>
      <c r="B44" s="71" t="s">
        <v>686</v>
      </c>
      <c r="C44" s="71" t="s">
        <v>685</v>
      </c>
      <c r="D44" s="41" t="s">
        <v>677</v>
      </c>
      <c r="E44" s="59" t="s">
        <v>25</v>
      </c>
      <c r="F44" s="59" t="s">
        <v>25</v>
      </c>
      <c r="G44" s="59" t="s">
        <v>25</v>
      </c>
      <c r="H44" s="41" t="s">
        <v>663</v>
      </c>
      <c r="I44" s="41" t="s">
        <v>25</v>
      </c>
      <c r="J44" s="41" t="s">
        <v>25</v>
      </c>
      <c r="K44" s="59" t="s">
        <v>25</v>
      </c>
      <c r="L44" s="59" t="s">
        <v>664</v>
      </c>
      <c r="M44" s="59" t="s">
        <v>25</v>
      </c>
      <c r="N44" s="59" t="s">
        <v>25</v>
      </c>
      <c r="O44" s="59" t="s">
        <v>25</v>
      </c>
      <c r="P44" s="41" t="s">
        <v>642</v>
      </c>
      <c r="Q44" s="41" t="s">
        <v>678</v>
      </c>
      <c r="R44" s="41" t="s">
        <v>19</v>
      </c>
      <c r="S44" s="41">
        <v>1825</v>
      </c>
      <c r="T44" s="41" t="s">
        <v>684</v>
      </c>
    </row>
    <row r="45" spans="1:20" s="42" customFormat="1">
      <c r="A45" s="45" t="s">
        <v>690</v>
      </c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</row>
    <row r="46" spans="1:20" s="42" customFormat="1">
      <c r="A46" s="45">
        <v>20014</v>
      </c>
      <c r="B46" s="71" t="s">
        <v>691</v>
      </c>
      <c r="C46" s="71" t="s">
        <v>685</v>
      </c>
      <c r="D46" s="41" t="s">
        <v>673</v>
      </c>
      <c r="E46" s="59" t="s">
        <v>25</v>
      </c>
      <c r="F46" s="59" t="s">
        <v>25</v>
      </c>
      <c r="G46" s="59" t="s">
        <v>25</v>
      </c>
      <c r="H46" s="41" t="s">
        <v>663</v>
      </c>
      <c r="I46" s="41" t="s">
        <v>25</v>
      </c>
      <c r="J46" s="41" t="s">
        <v>25</v>
      </c>
      <c r="K46" s="59" t="s">
        <v>25</v>
      </c>
      <c r="L46" s="59" t="s">
        <v>664</v>
      </c>
      <c r="M46" s="59" t="s">
        <v>25</v>
      </c>
      <c r="N46" s="59" t="s">
        <v>25</v>
      </c>
      <c r="O46" s="59" t="s">
        <v>25</v>
      </c>
      <c r="P46" s="41" t="s">
        <v>642</v>
      </c>
      <c r="Q46" s="41" t="s">
        <v>643</v>
      </c>
      <c r="R46" s="41" t="s">
        <v>19</v>
      </c>
      <c r="S46" s="41">
        <v>1825</v>
      </c>
      <c r="T46" s="41" t="s">
        <v>682</v>
      </c>
    </row>
    <row r="47" spans="1:20" s="42" customFormat="1">
      <c r="A47" s="45" t="s">
        <v>697</v>
      </c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</row>
    <row r="48" spans="1:20" s="42" customFormat="1">
      <c r="A48" s="45" t="s">
        <v>714</v>
      </c>
      <c r="B48" s="71" t="s">
        <v>695</v>
      </c>
      <c r="C48" s="71" t="s">
        <v>685</v>
      </c>
      <c r="D48" s="38" t="s">
        <v>666</v>
      </c>
      <c r="E48" s="59" t="s">
        <v>25</v>
      </c>
      <c r="F48" s="59" t="s">
        <v>25</v>
      </c>
      <c r="G48" s="59" t="s">
        <v>25</v>
      </c>
      <c r="H48" s="41" t="s">
        <v>663</v>
      </c>
      <c r="I48" s="41" t="s">
        <v>25</v>
      </c>
      <c r="J48" s="41" t="s">
        <v>25</v>
      </c>
      <c r="K48" s="59" t="s">
        <v>25</v>
      </c>
      <c r="L48" s="59" t="s">
        <v>692</v>
      </c>
      <c r="M48" s="59" t="s">
        <v>25</v>
      </c>
      <c r="N48" s="59" t="s">
        <v>25</v>
      </c>
      <c r="O48" s="59" t="s">
        <v>25</v>
      </c>
      <c r="P48" s="41" t="s">
        <v>693</v>
      </c>
      <c r="Q48" s="41" t="s">
        <v>694</v>
      </c>
      <c r="R48" s="41" t="s">
        <v>19</v>
      </c>
      <c r="S48" s="41" t="s">
        <v>696</v>
      </c>
      <c r="T48" s="41" t="s">
        <v>24</v>
      </c>
    </row>
    <row r="49" spans="1:20">
      <c r="A49" s="45" t="s">
        <v>698</v>
      </c>
    </row>
    <row r="50" spans="1:20">
      <c r="A50" s="45" t="s">
        <v>715</v>
      </c>
      <c r="B50" s="71" t="s">
        <v>695</v>
      </c>
      <c r="C50" s="71" t="s">
        <v>695</v>
      </c>
      <c r="D50" s="38" t="s">
        <v>666</v>
      </c>
      <c r="E50" s="59" t="s">
        <v>25</v>
      </c>
      <c r="F50" s="59" t="s">
        <v>25</v>
      </c>
      <c r="G50" s="59" t="s">
        <v>25</v>
      </c>
      <c r="H50" s="41" t="s">
        <v>663</v>
      </c>
      <c r="I50" s="41" t="s">
        <v>25</v>
      </c>
      <c r="J50" s="41" t="s">
        <v>25</v>
      </c>
      <c r="K50" s="59" t="s">
        <v>25</v>
      </c>
      <c r="L50" s="59" t="s">
        <v>699</v>
      </c>
      <c r="M50" s="59" t="s">
        <v>25</v>
      </c>
      <c r="N50" s="59" t="s">
        <v>25</v>
      </c>
      <c r="O50" s="59" t="s">
        <v>25</v>
      </c>
      <c r="P50" s="41" t="s">
        <v>693</v>
      </c>
      <c r="Q50" s="41" t="s">
        <v>694</v>
      </c>
      <c r="R50" s="41" t="s">
        <v>19</v>
      </c>
      <c r="S50" s="41" t="s">
        <v>696</v>
      </c>
      <c r="T50" s="41" t="s">
        <v>24</v>
      </c>
    </row>
    <row r="51" spans="1:20">
      <c r="A51" s="6" t="s">
        <v>704</v>
      </c>
    </row>
    <row r="52" spans="1:20">
      <c r="A52" s="45">
        <v>98102</v>
      </c>
      <c r="B52" s="59" t="s">
        <v>705</v>
      </c>
      <c r="C52" s="59" t="s">
        <v>700</v>
      </c>
      <c r="D52" s="59" t="s">
        <v>701</v>
      </c>
      <c r="E52" s="41" t="s">
        <v>25</v>
      </c>
      <c r="F52" s="41" t="s">
        <v>25</v>
      </c>
      <c r="G52" s="59" t="s">
        <v>25</v>
      </c>
      <c r="H52" s="41" t="s">
        <v>654</v>
      </c>
      <c r="I52" s="41" t="s">
        <v>25</v>
      </c>
      <c r="J52" s="41" t="s">
        <v>25</v>
      </c>
      <c r="K52" s="41" t="s">
        <v>25</v>
      </c>
      <c r="L52" s="41" t="s">
        <v>657</v>
      </c>
      <c r="M52" s="59" t="s">
        <v>25</v>
      </c>
      <c r="N52" s="59" t="s">
        <v>25</v>
      </c>
      <c r="O52" s="59" t="s">
        <v>25</v>
      </c>
      <c r="P52" s="59" t="s">
        <v>583</v>
      </c>
      <c r="Q52" s="59" t="s">
        <v>584</v>
      </c>
      <c r="R52" s="72" t="s">
        <v>546</v>
      </c>
      <c r="S52" s="41" t="s">
        <v>545</v>
      </c>
      <c r="T52" s="41" t="s">
        <v>24</v>
      </c>
    </row>
    <row r="53" spans="1:20">
      <c r="A53" s="45">
        <v>98103</v>
      </c>
      <c r="B53" s="59" t="s">
        <v>640</v>
      </c>
      <c r="C53" s="59" t="s">
        <v>700</v>
      </c>
      <c r="D53" s="59" t="s">
        <v>702</v>
      </c>
      <c r="E53" s="41" t="s">
        <v>25</v>
      </c>
      <c r="F53" s="41" t="s">
        <v>25</v>
      </c>
      <c r="G53" s="59" t="s">
        <v>25</v>
      </c>
      <c r="H53" s="41" t="s">
        <v>703</v>
      </c>
      <c r="I53" s="41" t="s">
        <v>25</v>
      </c>
      <c r="J53" s="41" t="s">
        <v>25</v>
      </c>
      <c r="K53" s="41" t="s">
        <v>25</v>
      </c>
      <c r="L53" s="59" t="s">
        <v>657</v>
      </c>
      <c r="M53" s="59" t="s">
        <v>25</v>
      </c>
      <c r="N53" s="59" t="s">
        <v>25</v>
      </c>
      <c r="O53" s="59" t="s">
        <v>25</v>
      </c>
      <c r="P53" s="59" t="s">
        <v>583</v>
      </c>
      <c r="Q53" s="59" t="s">
        <v>584</v>
      </c>
      <c r="R53" s="72" t="s">
        <v>546</v>
      </c>
      <c r="S53" s="41" t="s">
        <v>545</v>
      </c>
      <c r="T53" s="41" t="s">
        <v>24</v>
      </c>
    </row>
    <row r="54" spans="1:20" s="42" customFormat="1">
      <c r="A54" s="45" t="s">
        <v>710</v>
      </c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</row>
    <row r="55" spans="1:20" s="42" customFormat="1">
      <c r="A55" s="161">
        <v>20017</v>
      </c>
      <c r="B55" s="71" t="s">
        <v>709</v>
      </c>
      <c r="C55" s="71" t="s">
        <v>712</v>
      </c>
      <c r="D55" s="38" t="s">
        <v>706</v>
      </c>
      <c r="E55" s="59" t="s">
        <v>25</v>
      </c>
      <c r="F55" s="59" t="s">
        <v>25</v>
      </c>
      <c r="G55" s="59" t="s">
        <v>25</v>
      </c>
      <c r="H55" s="41" t="s">
        <v>663</v>
      </c>
      <c r="I55" s="41" t="s">
        <v>25</v>
      </c>
      <c r="J55" s="41" t="s">
        <v>25</v>
      </c>
      <c r="K55" s="59" t="s">
        <v>25</v>
      </c>
      <c r="L55" s="40" t="s">
        <v>707</v>
      </c>
      <c r="M55" s="59" t="s">
        <v>25</v>
      </c>
      <c r="N55" s="59" t="s">
        <v>25</v>
      </c>
      <c r="O55" s="59" t="s">
        <v>25</v>
      </c>
      <c r="P55" s="41" t="s">
        <v>642</v>
      </c>
      <c r="Q55" s="41" t="s">
        <v>643</v>
      </c>
      <c r="R55" s="41" t="s">
        <v>19</v>
      </c>
      <c r="S55" s="41">
        <v>1825</v>
      </c>
      <c r="T55" s="41" t="s">
        <v>682</v>
      </c>
    </row>
    <row r="56" spans="1:20">
      <c r="A56" s="45" t="s">
        <v>704</v>
      </c>
    </row>
    <row r="57" spans="1:20">
      <c r="A57" s="45">
        <v>98104</v>
      </c>
      <c r="B57" s="59" t="s">
        <v>640</v>
      </c>
      <c r="C57" s="59" t="s">
        <v>700</v>
      </c>
      <c r="D57" s="38" t="s">
        <v>706</v>
      </c>
      <c r="E57" s="41" t="s">
        <v>25</v>
      </c>
      <c r="F57" s="41" t="s">
        <v>25</v>
      </c>
      <c r="G57" s="59" t="s">
        <v>25</v>
      </c>
      <c r="H57" s="41" t="s">
        <v>703</v>
      </c>
      <c r="I57" s="41" t="s">
        <v>25</v>
      </c>
      <c r="J57" s="41" t="s">
        <v>25</v>
      </c>
      <c r="K57" s="41" t="s">
        <v>25</v>
      </c>
      <c r="L57" s="36" t="s">
        <v>708</v>
      </c>
      <c r="M57" s="59" t="s">
        <v>25</v>
      </c>
      <c r="N57" s="59" t="s">
        <v>25</v>
      </c>
      <c r="O57" s="59" t="s">
        <v>25</v>
      </c>
      <c r="P57" s="59" t="s">
        <v>583</v>
      </c>
      <c r="Q57" s="59" t="s">
        <v>584</v>
      </c>
      <c r="R57" s="72" t="s">
        <v>546</v>
      </c>
      <c r="S57" s="41" t="s">
        <v>545</v>
      </c>
      <c r="T57" s="41" t="s">
        <v>24</v>
      </c>
    </row>
    <row r="58" spans="1:20" s="73" customFormat="1">
      <c r="A58" s="72" t="s">
        <v>717</v>
      </c>
      <c r="B58" s="71"/>
      <c r="C58" s="71"/>
      <c r="D58" s="41"/>
      <c r="E58" s="59"/>
      <c r="F58" s="59"/>
      <c r="G58" s="59"/>
      <c r="H58" s="41"/>
      <c r="I58" s="41"/>
      <c r="J58" s="41"/>
      <c r="K58" s="59"/>
      <c r="L58" s="59"/>
      <c r="M58" s="59"/>
      <c r="N58" s="59"/>
      <c r="O58" s="59"/>
      <c r="P58" s="41"/>
      <c r="Q58" s="41"/>
      <c r="R58" s="41"/>
      <c r="S58" s="41"/>
      <c r="T58" s="41"/>
    </row>
    <row r="59" spans="1:20" s="73" customFormat="1">
      <c r="A59" s="162">
        <v>89103</v>
      </c>
      <c r="B59" s="71" t="s">
        <v>709</v>
      </c>
      <c r="C59" s="71" t="s">
        <v>712</v>
      </c>
      <c r="D59" s="38" t="s">
        <v>706</v>
      </c>
      <c r="E59" s="59" t="s">
        <v>634</v>
      </c>
      <c r="F59" s="59" t="s">
        <v>634</v>
      </c>
      <c r="G59" s="59" t="s">
        <v>25</v>
      </c>
      <c r="H59" s="41" t="s">
        <v>635</v>
      </c>
      <c r="I59" s="41" t="s">
        <v>558</v>
      </c>
      <c r="J59" s="41" t="s">
        <v>558</v>
      </c>
      <c r="K59" s="59" t="s">
        <v>25</v>
      </c>
      <c r="L59" s="59" t="s">
        <v>713</v>
      </c>
      <c r="M59" s="59" t="s">
        <v>558</v>
      </c>
      <c r="N59" s="59" t="s">
        <v>558</v>
      </c>
      <c r="O59" s="59" t="s">
        <v>25</v>
      </c>
      <c r="P59" s="41" t="s">
        <v>642</v>
      </c>
      <c r="Q59" s="41" t="s">
        <v>643</v>
      </c>
      <c r="R59" s="41" t="s">
        <v>19</v>
      </c>
      <c r="S59" s="41">
        <v>1825</v>
      </c>
      <c r="T59" s="41" t="s">
        <v>711</v>
      </c>
    </row>
    <row r="60" spans="1:20" s="42" customFormat="1">
      <c r="A60" s="45" t="s">
        <v>716</v>
      </c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</row>
    <row r="61" spans="1:20" s="42" customFormat="1">
      <c r="A61" s="161">
        <v>20018</v>
      </c>
      <c r="B61" s="71" t="s">
        <v>727</v>
      </c>
      <c r="C61" s="71" t="s">
        <v>712</v>
      </c>
      <c r="D61" s="38" t="s">
        <v>706</v>
      </c>
      <c r="E61" s="59" t="s">
        <v>25</v>
      </c>
      <c r="F61" s="59" t="s">
        <v>25</v>
      </c>
      <c r="G61" s="59" t="s">
        <v>25</v>
      </c>
      <c r="H61" s="41" t="s">
        <v>663</v>
      </c>
      <c r="I61" s="41" t="s">
        <v>25</v>
      </c>
      <c r="J61" s="41" t="s">
        <v>25</v>
      </c>
      <c r="K61" s="59" t="s">
        <v>25</v>
      </c>
      <c r="L61" s="40" t="s">
        <v>707</v>
      </c>
      <c r="M61" s="59" t="s">
        <v>25</v>
      </c>
      <c r="N61" s="59" t="s">
        <v>25</v>
      </c>
      <c r="O61" s="59" t="s">
        <v>25</v>
      </c>
      <c r="P61" s="41" t="s">
        <v>642</v>
      </c>
      <c r="Q61" s="41" t="s">
        <v>643</v>
      </c>
      <c r="R61" s="41" t="s">
        <v>19</v>
      </c>
      <c r="S61" s="41">
        <v>1825</v>
      </c>
      <c r="T61" s="41" t="s">
        <v>682</v>
      </c>
    </row>
    <row r="62" spans="1:20" s="73" customFormat="1">
      <c r="A62" s="72" t="s">
        <v>718</v>
      </c>
      <c r="B62" s="71"/>
      <c r="C62" s="71"/>
      <c r="D62" s="41"/>
      <c r="E62" s="59"/>
      <c r="F62" s="59"/>
      <c r="G62" s="59"/>
      <c r="H62" s="41"/>
      <c r="I62" s="41"/>
      <c r="J62" s="41"/>
      <c r="K62" s="59"/>
      <c r="L62" s="59"/>
      <c r="M62" s="59"/>
      <c r="N62" s="59"/>
      <c r="O62" s="59"/>
      <c r="P62" s="41"/>
      <c r="Q62" s="41"/>
      <c r="R62" s="41"/>
      <c r="S62" s="41"/>
      <c r="T62" s="41"/>
    </row>
    <row r="63" spans="1:20" s="73" customFormat="1">
      <c r="A63" s="162">
        <v>89104</v>
      </c>
      <c r="B63" s="71" t="s">
        <v>709</v>
      </c>
      <c r="C63" s="71" t="s">
        <v>712</v>
      </c>
      <c r="D63" s="38" t="s">
        <v>706</v>
      </c>
      <c r="E63" s="59" t="s">
        <v>634</v>
      </c>
      <c r="F63" s="59" t="s">
        <v>634</v>
      </c>
      <c r="G63" s="59" t="s">
        <v>25</v>
      </c>
      <c r="H63" s="41" t="s">
        <v>635</v>
      </c>
      <c r="I63" s="41" t="s">
        <v>558</v>
      </c>
      <c r="J63" s="41" t="s">
        <v>558</v>
      </c>
      <c r="K63" s="59" t="s">
        <v>25</v>
      </c>
      <c r="L63" s="40" t="s">
        <v>707</v>
      </c>
      <c r="M63" s="59" t="s">
        <v>558</v>
      </c>
      <c r="N63" s="59" t="s">
        <v>558</v>
      </c>
      <c r="O63" s="59" t="s">
        <v>25</v>
      </c>
      <c r="P63" s="41" t="s">
        <v>642</v>
      </c>
      <c r="Q63" s="41" t="s">
        <v>643</v>
      </c>
      <c r="R63" s="41" t="s">
        <v>19</v>
      </c>
      <c r="S63" s="41">
        <v>1825</v>
      </c>
      <c r="T63" s="41" t="s">
        <v>711</v>
      </c>
    </row>
    <row r="64" spans="1:20" s="42" customFormat="1">
      <c r="A64" s="45" t="s">
        <v>719</v>
      </c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</row>
    <row r="65" spans="1:20" s="42" customFormat="1">
      <c r="A65" s="161">
        <v>20019</v>
      </c>
      <c r="B65" s="71" t="s">
        <v>709</v>
      </c>
      <c r="C65" s="71" t="s">
        <v>712</v>
      </c>
      <c r="D65" s="38" t="s">
        <v>706</v>
      </c>
      <c r="E65" s="59" t="s">
        <v>25</v>
      </c>
      <c r="F65" s="59" t="s">
        <v>25</v>
      </c>
      <c r="G65" s="59" t="s">
        <v>25</v>
      </c>
      <c r="H65" s="41" t="s">
        <v>663</v>
      </c>
      <c r="I65" s="41" t="s">
        <v>25</v>
      </c>
      <c r="J65" s="41" t="s">
        <v>25</v>
      </c>
      <c r="K65" s="59" t="s">
        <v>25</v>
      </c>
      <c r="L65" s="40" t="s">
        <v>707</v>
      </c>
      <c r="M65" s="59" t="s">
        <v>25</v>
      </c>
      <c r="N65" s="59" t="s">
        <v>25</v>
      </c>
      <c r="O65" s="59" t="s">
        <v>25</v>
      </c>
      <c r="P65" s="41" t="s">
        <v>642</v>
      </c>
      <c r="Q65" s="41" t="s">
        <v>643</v>
      </c>
      <c r="R65" s="41" t="s">
        <v>19</v>
      </c>
      <c r="S65" s="41">
        <v>1825</v>
      </c>
      <c r="T65" s="41" t="s">
        <v>682</v>
      </c>
    </row>
    <row r="66" spans="1:20" s="73" customFormat="1">
      <c r="A66" s="72" t="s">
        <v>720</v>
      </c>
      <c r="B66" s="71"/>
      <c r="C66" s="71"/>
      <c r="D66" s="41"/>
      <c r="E66" s="59"/>
      <c r="F66" s="59"/>
      <c r="G66" s="59"/>
      <c r="H66" s="41"/>
      <c r="I66" s="41"/>
      <c r="J66" s="41"/>
      <c r="K66" s="59"/>
      <c r="L66" s="59"/>
      <c r="M66" s="59"/>
      <c r="N66" s="59"/>
      <c r="O66" s="59"/>
      <c r="P66" s="41"/>
      <c r="Q66" s="41"/>
      <c r="R66" s="41"/>
      <c r="S66" s="41"/>
      <c r="T66" s="41"/>
    </row>
    <row r="67" spans="1:20" s="73" customFormat="1">
      <c r="A67" s="162">
        <v>89105</v>
      </c>
      <c r="B67" s="71" t="s">
        <v>709</v>
      </c>
      <c r="C67" s="71" t="s">
        <v>712</v>
      </c>
      <c r="D67" s="38" t="s">
        <v>706</v>
      </c>
      <c r="E67" s="59" t="s">
        <v>634</v>
      </c>
      <c r="F67" s="59" t="s">
        <v>634</v>
      </c>
      <c r="G67" s="59" t="s">
        <v>25</v>
      </c>
      <c r="H67" s="41" t="s">
        <v>635</v>
      </c>
      <c r="I67" s="41" t="s">
        <v>558</v>
      </c>
      <c r="J67" s="41" t="s">
        <v>558</v>
      </c>
      <c r="K67" s="59" t="s">
        <v>25</v>
      </c>
      <c r="L67" s="40" t="s">
        <v>707</v>
      </c>
      <c r="M67" s="59" t="s">
        <v>558</v>
      </c>
      <c r="N67" s="59" t="s">
        <v>558</v>
      </c>
      <c r="O67" s="59" t="s">
        <v>25</v>
      </c>
      <c r="P67" s="41" t="s">
        <v>642</v>
      </c>
      <c r="Q67" s="41" t="s">
        <v>643</v>
      </c>
      <c r="R67" s="41" t="s">
        <v>19</v>
      </c>
      <c r="S67" s="41">
        <v>1825</v>
      </c>
      <c r="T67" s="41" t="s">
        <v>711</v>
      </c>
    </row>
    <row r="68" spans="1:20" s="42" customFormat="1">
      <c r="A68" s="45" t="s">
        <v>721</v>
      </c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</row>
    <row r="69" spans="1:20" s="42" customFormat="1">
      <c r="A69" s="161">
        <v>20020</v>
      </c>
      <c r="B69" s="71" t="s">
        <v>640</v>
      </c>
      <c r="C69" s="71" t="s">
        <v>712</v>
      </c>
      <c r="D69" s="38" t="s">
        <v>666</v>
      </c>
      <c r="E69" s="59" t="s">
        <v>25</v>
      </c>
      <c r="F69" s="59" t="s">
        <v>25</v>
      </c>
      <c r="G69" s="59" t="s">
        <v>25</v>
      </c>
      <c r="H69" s="41" t="s">
        <v>663</v>
      </c>
      <c r="I69" s="41" t="s">
        <v>25</v>
      </c>
      <c r="J69" s="41" t="s">
        <v>25</v>
      </c>
      <c r="K69" s="59" t="s">
        <v>25</v>
      </c>
      <c r="L69" s="40" t="s">
        <v>641</v>
      </c>
      <c r="M69" s="59" t="s">
        <v>25</v>
      </c>
      <c r="N69" s="59" t="s">
        <v>25</v>
      </c>
      <c r="O69" s="59" t="s">
        <v>25</v>
      </c>
      <c r="P69" s="41" t="s">
        <v>642</v>
      </c>
      <c r="Q69" s="41" t="s">
        <v>643</v>
      </c>
      <c r="R69" s="41" t="s">
        <v>19</v>
      </c>
      <c r="S69" s="41">
        <v>1825</v>
      </c>
      <c r="T69" s="41" t="s">
        <v>24</v>
      </c>
    </row>
    <row r="70" spans="1:20" s="42" customFormat="1">
      <c r="A70" s="45" t="s">
        <v>722</v>
      </c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</row>
    <row r="71" spans="1:20" s="42" customFormat="1">
      <c r="A71" s="161">
        <v>20021</v>
      </c>
      <c r="B71" s="71" t="s">
        <v>640</v>
      </c>
      <c r="C71" s="71" t="s">
        <v>712</v>
      </c>
      <c r="D71" s="38" t="s">
        <v>666</v>
      </c>
      <c r="E71" s="59" t="s">
        <v>25</v>
      </c>
      <c r="F71" s="59" t="s">
        <v>25</v>
      </c>
      <c r="G71" s="59" t="s">
        <v>25</v>
      </c>
      <c r="H71" s="41" t="s">
        <v>663</v>
      </c>
      <c r="I71" s="41" t="s">
        <v>25</v>
      </c>
      <c r="J71" s="41" t="s">
        <v>25</v>
      </c>
      <c r="K71" s="59" t="s">
        <v>25</v>
      </c>
      <c r="L71" s="40" t="s">
        <v>641</v>
      </c>
      <c r="M71" s="59" t="s">
        <v>25</v>
      </c>
      <c r="N71" s="59" t="s">
        <v>25</v>
      </c>
      <c r="O71" s="59" t="s">
        <v>25</v>
      </c>
      <c r="P71" s="41" t="s">
        <v>642</v>
      </c>
      <c r="Q71" s="41" t="s">
        <v>643</v>
      </c>
      <c r="R71" s="41" t="s">
        <v>19</v>
      </c>
      <c r="S71" s="41">
        <v>1825</v>
      </c>
      <c r="T71" s="41" t="s">
        <v>24</v>
      </c>
    </row>
    <row r="72" spans="1:20">
      <c r="A72" s="45" t="s">
        <v>725</v>
      </c>
    </row>
    <row r="73" spans="1:20">
      <c r="A73" s="161">
        <v>98105</v>
      </c>
      <c r="B73" s="71" t="s">
        <v>640</v>
      </c>
      <c r="C73" s="71" t="s">
        <v>712</v>
      </c>
      <c r="D73" s="38" t="s">
        <v>726</v>
      </c>
      <c r="E73" s="41" t="s">
        <v>25</v>
      </c>
      <c r="F73" s="41" t="s">
        <v>25</v>
      </c>
      <c r="G73" s="59" t="s">
        <v>25</v>
      </c>
      <c r="H73" s="41" t="s">
        <v>723</v>
      </c>
      <c r="I73" s="41" t="s">
        <v>25</v>
      </c>
      <c r="J73" s="41" t="s">
        <v>25</v>
      </c>
      <c r="K73" s="41" t="s">
        <v>25</v>
      </c>
      <c r="L73" s="59" t="s">
        <v>724</v>
      </c>
      <c r="M73" s="59" t="s">
        <v>25</v>
      </c>
      <c r="N73" s="59" t="s">
        <v>25</v>
      </c>
      <c r="O73" s="59" t="s">
        <v>25</v>
      </c>
      <c r="P73" s="59" t="s">
        <v>583</v>
      </c>
      <c r="Q73" s="59" t="s">
        <v>584</v>
      </c>
      <c r="R73" s="72" t="s">
        <v>546</v>
      </c>
      <c r="S73" s="41" t="s">
        <v>545</v>
      </c>
      <c r="T73" s="41" t="s">
        <v>24</v>
      </c>
    </row>
    <row r="74" spans="1:20" s="42" customFormat="1">
      <c r="A74" s="45" t="s">
        <v>732</v>
      </c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</row>
    <row r="75" spans="1:20" s="42" customFormat="1">
      <c r="A75" s="161">
        <v>20022</v>
      </c>
      <c r="B75" s="71" t="s">
        <v>728</v>
      </c>
      <c r="C75" s="71" t="s">
        <v>712</v>
      </c>
      <c r="D75" s="38" t="s">
        <v>666</v>
      </c>
      <c r="E75" s="59" t="s">
        <v>25</v>
      </c>
      <c r="F75" s="59" t="s">
        <v>25</v>
      </c>
      <c r="G75" s="59" t="s">
        <v>25</v>
      </c>
      <c r="H75" s="41" t="s">
        <v>663</v>
      </c>
      <c r="I75" s="41" t="s">
        <v>25</v>
      </c>
      <c r="J75" s="41" t="s">
        <v>25</v>
      </c>
      <c r="K75" s="59" t="s">
        <v>25</v>
      </c>
      <c r="L75" s="59" t="s">
        <v>730</v>
      </c>
      <c r="M75" s="59" t="s">
        <v>25</v>
      </c>
      <c r="N75" s="59" t="s">
        <v>25</v>
      </c>
      <c r="O75" s="59" t="s">
        <v>25</v>
      </c>
      <c r="P75" s="41" t="s">
        <v>637</v>
      </c>
      <c r="Q75" s="41" t="s">
        <v>636</v>
      </c>
      <c r="R75" s="41" t="s">
        <v>19</v>
      </c>
      <c r="S75" s="41" t="s">
        <v>731</v>
      </c>
      <c r="T75" s="41" t="s">
        <v>682</v>
      </c>
    </row>
    <row r="76" spans="1:20" s="42" customFormat="1">
      <c r="A76" s="45" t="s">
        <v>733</v>
      </c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</row>
    <row r="77" spans="1:20" s="42" customFormat="1">
      <c r="A77" s="161">
        <v>20023</v>
      </c>
      <c r="B77" s="71" t="s">
        <v>728</v>
      </c>
      <c r="C77" s="71" t="s">
        <v>712</v>
      </c>
      <c r="D77" s="38" t="s">
        <v>666</v>
      </c>
      <c r="E77" s="59" t="s">
        <v>25</v>
      </c>
      <c r="F77" s="59" t="s">
        <v>25</v>
      </c>
      <c r="G77" s="59" t="s">
        <v>25</v>
      </c>
      <c r="H77" s="41" t="s">
        <v>663</v>
      </c>
      <c r="I77" s="41" t="s">
        <v>25</v>
      </c>
      <c r="J77" s="41" t="s">
        <v>25</v>
      </c>
      <c r="K77" s="59" t="s">
        <v>25</v>
      </c>
      <c r="L77" s="59" t="s">
        <v>730</v>
      </c>
      <c r="M77" s="59" t="s">
        <v>25</v>
      </c>
      <c r="N77" s="59" t="s">
        <v>25</v>
      </c>
      <c r="O77" s="59" t="s">
        <v>25</v>
      </c>
      <c r="P77" s="41" t="s">
        <v>637</v>
      </c>
      <c r="Q77" s="41" t="s">
        <v>636</v>
      </c>
      <c r="R77" s="41" t="s">
        <v>19</v>
      </c>
      <c r="S77" s="41" t="s">
        <v>731</v>
      </c>
      <c r="T77" s="41" t="s">
        <v>682</v>
      </c>
    </row>
    <row r="78" spans="1:20">
      <c r="A78" s="169" t="s">
        <v>759</v>
      </c>
      <c r="B78" s="168"/>
      <c r="C78" s="168"/>
      <c r="D78" s="168"/>
      <c r="E78" s="168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</row>
    <row r="79" spans="1:20">
      <c r="A79" s="161">
        <v>20024</v>
      </c>
      <c r="B79" s="167" t="s">
        <v>728</v>
      </c>
      <c r="C79" s="167" t="s">
        <v>712</v>
      </c>
      <c r="D79" s="38" t="s">
        <v>666</v>
      </c>
      <c r="E79" s="168" t="s">
        <v>25</v>
      </c>
      <c r="F79" s="168" t="s">
        <v>25</v>
      </c>
      <c r="G79" s="168" t="s">
        <v>25</v>
      </c>
      <c r="H79" s="41" t="s">
        <v>663</v>
      </c>
      <c r="I79" s="41" t="s">
        <v>25</v>
      </c>
      <c r="J79" s="41" t="s">
        <v>25</v>
      </c>
      <c r="K79" s="168" t="s">
        <v>25</v>
      </c>
      <c r="L79" s="168" t="s">
        <v>758</v>
      </c>
      <c r="M79" s="168" t="s">
        <v>25</v>
      </c>
      <c r="N79" s="168" t="s">
        <v>25</v>
      </c>
      <c r="O79" s="168" t="s">
        <v>25</v>
      </c>
      <c r="P79" s="41" t="s">
        <v>637</v>
      </c>
      <c r="Q79" s="41" t="s">
        <v>636</v>
      </c>
      <c r="R79" s="41" t="s">
        <v>19</v>
      </c>
      <c r="S79" s="41" t="s">
        <v>731</v>
      </c>
      <c r="T79" s="41" t="s">
        <v>682</v>
      </c>
    </row>
    <row r="80" spans="1:20" s="166" customFormat="1">
      <c r="A80" s="169" t="s">
        <v>760</v>
      </c>
      <c r="B80" s="168"/>
      <c r="C80" s="168"/>
      <c r="D80" s="168"/>
      <c r="E80" s="168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</row>
    <row r="81" spans="1:20" s="166" customFormat="1">
      <c r="A81" s="161">
        <v>20025</v>
      </c>
      <c r="B81" s="167" t="s">
        <v>728</v>
      </c>
      <c r="C81" s="167" t="s">
        <v>712</v>
      </c>
      <c r="D81" s="38" t="s">
        <v>666</v>
      </c>
      <c r="E81" s="168" t="s">
        <v>25</v>
      </c>
      <c r="F81" s="168" t="s">
        <v>25</v>
      </c>
      <c r="G81" s="168" t="s">
        <v>25</v>
      </c>
      <c r="H81" s="41" t="s">
        <v>663</v>
      </c>
      <c r="I81" s="41" t="s">
        <v>25</v>
      </c>
      <c r="J81" s="41" t="s">
        <v>25</v>
      </c>
      <c r="K81" s="168" t="s">
        <v>25</v>
      </c>
      <c r="L81" s="168" t="s">
        <v>758</v>
      </c>
      <c r="M81" s="168" t="s">
        <v>25</v>
      </c>
      <c r="N81" s="168" t="s">
        <v>25</v>
      </c>
      <c r="O81" s="168" t="s">
        <v>25</v>
      </c>
      <c r="P81" s="41" t="s">
        <v>637</v>
      </c>
      <c r="Q81" s="41" t="s">
        <v>636</v>
      </c>
      <c r="R81" s="41" t="s">
        <v>19</v>
      </c>
      <c r="S81" s="41" t="s">
        <v>731</v>
      </c>
      <c r="T81" s="41" t="s">
        <v>682</v>
      </c>
    </row>
    <row r="82" spans="1:20" s="166" customFormat="1">
      <c r="A82" s="169" t="s">
        <v>761</v>
      </c>
      <c r="B82" s="168"/>
      <c r="C82" s="168"/>
      <c r="D82" s="168"/>
      <c r="E82" s="168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</row>
    <row r="83" spans="1:20" s="166" customFormat="1">
      <c r="A83" s="161">
        <v>20026</v>
      </c>
      <c r="B83" s="167" t="s">
        <v>728</v>
      </c>
      <c r="C83" s="167" t="s">
        <v>712</v>
      </c>
      <c r="D83" s="38" t="s">
        <v>666</v>
      </c>
      <c r="E83" s="168" t="s">
        <v>25</v>
      </c>
      <c r="F83" s="168" t="s">
        <v>25</v>
      </c>
      <c r="G83" s="168" t="s">
        <v>25</v>
      </c>
      <c r="H83" s="41" t="s">
        <v>663</v>
      </c>
      <c r="I83" s="41" t="s">
        <v>25</v>
      </c>
      <c r="J83" s="41" t="s">
        <v>25</v>
      </c>
      <c r="K83" s="168" t="s">
        <v>25</v>
      </c>
      <c r="L83" s="168" t="s">
        <v>758</v>
      </c>
      <c r="M83" s="168" t="s">
        <v>25</v>
      </c>
      <c r="N83" s="168" t="s">
        <v>25</v>
      </c>
      <c r="O83" s="168" t="s">
        <v>25</v>
      </c>
      <c r="P83" s="41" t="s">
        <v>637</v>
      </c>
      <c r="Q83" s="41" t="s">
        <v>636</v>
      </c>
      <c r="R83" s="41" t="s">
        <v>19</v>
      </c>
      <c r="S83" s="41" t="s">
        <v>731</v>
      </c>
      <c r="T83" s="41" t="s">
        <v>682</v>
      </c>
    </row>
    <row r="84" spans="1:20" s="166" customFormat="1">
      <c r="A84" s="72" t="s">
        <v>766</v>
      </c>
      <c r="B84" s="167"/>
      <c r="C84" s="167"/>
      <c r="D84" s="167"/>
      <c r="E84" s="167"/>
      <c r="F84" s="167"/>
      <c r="G84" s="167"/>
      <c r="H84" s="167"/>
      <c r="I84" s="167"/>
      <c r="J84" s="167"/>
      <c r="K84" s="167"/>
      <c r="L84" s="167"/>
      <c r="M84" s="167"/>
      <c r="N84" s="167"/>
      <c r="O84" s="167"/>
      <c r="P84" s="167"/>
      <c r="Q84" s="167"/>
      <c r="R84" s="167"/>
      <c r="S84" s="167"/>
      <c r="T84" s="167"/>
    </row>
    <row r="85" spans="1:20" s="166" customFormat="1">
      <c r="A85" s="162">
        <v>99105</v>
      </c>
      <c r="B85" s="167" t="s">
        <v>640</v>
      </c>
      <c r="C85" s="167" t="s">
        <v>712</v>
      </c>
      <c r="D85" s="41" t="s">
        <v>23</v>
      </c>
      <c r="E85" s="168" t="s">
        <v>93</v>
      </c>
      <c r="F85" s="168" t="s">
        <v>94</v>
      </c>
      <c r="G85" s="168" t="s">
        <v>764</v>
      </c>
      <c r="H85" s="41" t="s">
        <v>763</v>
      </c>
      <c r="I85" s="41" t="s">
        <v>763</v>
      </c>
      <c r="J85" s="41" t="s">
        <v>763</v>
      </c>
      <c r="K85" s="41" t="s">
        <v>763</v>
      </c>
      <c r="L85" s="168" t="s">
        <v>204</v>
      </c>
      <c r="M85" s="168" t="s">
        <v>204</v>
      </c>
      <c r="N85" s="168" t="s">
        <v>204</v>
      </c>
      <c r="O85" s="168" t="s">
        <v>204</v>
      </c>
      <c r="P85" s="41" t="s">
        <v>22</v>
      </c>
      <c r="Q85" s="41" t="s">
        <v>32</v>
      </c>
      <c r="R85" s="41" t="s">
        <v>19</v>
      </c>
      <c r="S85" s="41">
        <v>1825</v>
      </c>
      <c r="T85" s="41" t="s">
        <v>24</v>
      </c>
    </row>
    <row r="86" spans="1:20" s="166" customFormat="1">
      <c r="A86" s="72" t="s">
        <v>762</v>
      </c>
      <c r="B86" s="167"/>
      <c r="C86" s="167"/>
      <c r="D86" s="167"/>
      <c r="E86" s="167"/>
      <c r="F86" s="167"/>
      <c r="G86" s="167"/>
      <c r="H86" s="167"/>
      <c r="I86" s="167"/>
      <c r="J86" s="167"/>
      <c r="K86" s="167"/>
      <c r="L86" s="167"/>
      <c r="M86" s="167"/>
      <c r="N86" s="167"/>
      <c r="O86" s="167"/>
      <c r="P86" s="167"/>
      <c r="Q86" s="167"/>
      <c r="R86" s="167"/>
      <c r="S86" s="167"/>
      <c r="T86" s="167"/>
    </row>
    <row r="87" spans="1:20" s="166" customFormat="1">
      <c r="A87" s="162">
        <v>99106</v>
      </c>
      <c r="B87" s="167" t="s">
        <v>640</v>
      </c>
      <c r="C87" s="167" t="s">
        <v>712</v>
      </c>
      <c r="D87" s="41" t="s">
        <v>23</v>
      </c>
      <c r="E87" s="168" t="s">
        <v>93</v>
      </c>
      <c r="F87" s="168" t="s">
        <v>94</v>
      </c>
      <c r="G87" s="168" t="s">
        <v>764</v>
      </c>
      <c r="H87" s="41" t="s">
        <v>765</v>
      </c>
      <c r="I87" s="41" t="s">
        <v>765</v>
      </c>
      <c r="J87" s="41" t="s">
        <v>765</v>
      </c>
      <c r="K87" s="41" t="s">
        <v>765</v>
      </c>
      <c r="L87" s="168" t="s">
        <v>204</v>
      </c>
      <c r="M87" s="168" t="s">
        <v>204</v>
      </c>
      <c r="N87" s="168" t="s">
        <v>204</v>
      </c>
      <c r="O87" s="168" t="s">
        <v>204</v>
      </c>
      <c r="P87" s="41" t="s">
        <v>22</v>
      </c>
      <c r="Q87" s="41" t="s">
        <v>32</v>
      </c>
      <c r="R87" s="41" t="s">
        <v>19</v>
      </c>
      <c r="S87" s="41">
        <v>1825</v>
      </c>
      <c r="T87" s="41" t="s">
        <v>24</v>
      </c>
    </row>
    <row r="88" spans="1:20">
      <c r="A88" s="72" t="s">
        <v>768</v>
      </c>
    </row>
    <row r="89" spans="1:20">
      <c r="A89" s="162">
        <v>99107</v>
      </c>
      <c r="B89" s="167" t="s">
        <v>640</v>
      </c>
      <c r="C89" s="167" t="s">
        <v>712</v>
      </c>
      <c r="D89" s="41" t="s">
        <v>23</v>
      </c>
      <c r="E89" s="168" t="s">
        <v>93</v>
      </c>
      <c r="F89" s="168" t="s">
        <v>94</v>
      </c>
      <c r="G89" s="168" t="s">
        <v>764</v>
      </c>
      <c r="H89" s="41" t="s">
        <v>767</v>
      </c>
      <c r="I89" s="41" t="s">
        <v>767</v>
      </c>
      <c r="J89" s="41" t="s">
        <v>767</v>
      </c>
      <c r="K89" s="41" t="s">
        <v>767</v>
      </c>
      <c r="L89" s="168" t="s">
        <v>204</v>
      </c>
      <c r="M89" s="168" t="s">
        <v>204</v>
      </c>
      <c r="N89" s="168" t="s">
        <v>204</v>
      </c>
      <c r="O89" s="168" t="s">
        <v>204</v>
      </c>
      <c r="P89" s="41" t="s">
        <v>22</v>
      </c>
      <c r="Q89" s="41" t="s">
        <v>32</v>
      </c>
      <c r="R89" s="41" t="s">
        <v>19</v>
      </c>
      <c r="S89" s="41">
        <v>1825</v>
      </c>
      <c r="T89" s="41" t="s">
        <v>24</v>
      </c>
    </row>
    <row r="90" spans="1:20" s="166" customFormat="1">
      <c r="A90" s="169" t="s">
        <v>769</v>
      </c>
      <c r="B90" s="168"/>
      <c r="C90" s="168"/>
      <c r="D90" s="168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</row>
    <row r="91" spans="1:20" s="166" customFormat="1">
      <c r="A91" s="161">
        <v>20027</v>
      </c>
      <c r="B91" s="167" t="s">
        <v>640</v>
      </c>
      <c r="C91" s="167" t="s">
        <v>712</v>
      </c>
      <c r="D91" s="38" t="s">
        <v>666</v>
      </c>
      <c r="E91" s="168" t="s">
        <v>25</v>
      </c>
      <c r="F91" s="168" t="s">
        <v>25</v>
      </c>
      <c r="G91" s="168" t="s">
        <v>25</v>
      </c>
      <c r="H91" s="41" t="s">
        <v>663</v>
      </c>
      <c r="I91" s="41" t="s">
        <v>25</v>
      </c>
      <c r="J91" s="41" t="s">
        <v>25</v>
      </c>
      <c r="K91" s="168" t="s">
        <v>25</v>
      </c>
      <c r="L91" s="168" t="s">
        <v>664</v>
      </c>
      <c r="M91" s="168" t="s">
        <v>25</v>
      </c>
      <c r="N91" s="168" t="s">
        <v>25</v>
      </c>
      <c r="O91" s="168" t="s">
        <v>25</v>
      </c>
      <c r="P91" s="41" t="s">
        <v>642</v>
      </c>
      <c r="Q91" s="41" t="s">
        <v>643</v>
      </c>
      <c r="R91" s="41" t="s">
        <v>19</v>
      </c>
      <c r="S91" s="41">
        <v>1825</v>
      </c>
      <c r="T91" s="41" t="s">
        <v>24</v>
      </c>
    </row>
    <row r="92" spans="1:20">
      <c r="A92" s="6" t="s">
        <v>773</v>
      </c>
    </row>
    <row r="93" spans="1:20">
      <c r="A93" s="154">
        <v>10001</v>
      </c>
      <c r="B93" s="167" t="s">
        <v>640</v>
      </c>
      <c r="C93" s="167" t="s">
        <v>640</v>
      </c>
      <c r="D93" s="41" t="s">
        <v>555</v>
      </c>
      <c r="E93" s="168" t="s">
        <v>770</v>
      </c>
      <c r="F93" s="168" t="s">
        <v>770</v>
      </c>
      <c r="G93" s="41" t="s">
        <v>25</v>
      </c>
      <c r="H93" s="41" t="s">
        <v>28</v>
      </c>
      <c r="I93" s="41" t="s">
        <v>771</v>
      </c>
      <c r="J93" s="41" t="s">
        <v>25</v>
      </c>
      <c r="K93" s="41" t="s">
        <v>25</v>
      </c>
      <c r="L93" s="167" t="s">
        <v>772</v>
      </c>
      <c r="M93" s="167" t="s">
        <v>25</v>
      </c>
      <c r="N93" s="167" t="s">
        <v>25</v>
      </c>
      <c r="O93" s="41" t="s">
        <v>25</v>
      </c>
      <c r="P93" s="168" t="s">
        <v>583</v>
      </c>
      <c r="Q93" s="168" t="s">
        <v>584</v>
      </c>
      <c r="R93" s="72" t="s">
        <v>546</v>
      </c>
      <c r="S93" s="41" t="s">
        <v>545</v>
      </c>
      <c r="T93" s="41" t="s">
        <v>24</v>
      </c>
    </row>
    <row r="94" spans="1:20">
      <c r="A94" s="169" t="s">
        <v>778</v>
      </c>
    </row>
    <row r="95" spans="1:20">
      <c r="A95" s="154">
        <v>10002</v>
      </c>
      <c r="B95" s="167" t="s">
        <v>640</v>
      </c>
      <c r="C95" s="167" t="s">
        <v>712</v>
      </c>
      <c r="D95" s="41" t="s">
        <v>774</v>
      </c>
      <c r="E95" s="168" t="s">
        <v>776</v>
      </c>
      <c r="F95" s="168" t="s">
        <v>777</v>
      </c>
      <c r="G95" s="41" t="s">
        <v>25</v>
      </c>
      <c r="H95" s="41" t="s">
        <v>654</v>
      </c>
      <c r="I95" s="41" t="s">
        <v>654</v>
      </c>
      <c r="J95" s="41" t="s">
        <v>654</v>
      </c>
      <c r="K95" s="41" t="s">
        <v>25</v>
      </c>
      <c r="L95" s="167" t="s">
        <v>775</v>
      </c>
      <c r="M95" s="167" t="s">
        <v>775</v>
      </c>
      <c r="N95" s="167" t="s">
        <v>775</v>
      </c>
      <c r="O95" s="41" t="s">
        <v>25</v>
      </c>
      <c r="P95" s="41" t="s">
        <v>22</v>
      </c>
      <c r="Q95" s="41" t="s">
        <v>32</v>
      </c>
      <c r="R95" s="72" t="s">
        <v>546</v>
      </c>
      <c r="S95" s="41" t="s">
        <v>545</v>
      </c>
      <c r="T95" s="41" t="s">
        <v>24</v>
      </c>
    </row>
    <row r="96" spans="1:20">
      <c r="A96" s="6" t="s">
        <v>779</v>
      </c>
    </row>
    <row r="97" spans="1:20">
      <c r="A97" s="161">
        <v>20028</v>
      </c>
      <c r="B97" s="167" t="s">
        <v>705</v>
      </c>
      <c r="C97" s="167" t="s">
        <v>782</v>
      </c>
      <c r="D97" s="38" t="s">
        <v>780</v>
      </c>
      <c r="E97" s="168" t="s">
        <v>25</v>
      </c>
      <c r="F97" s="168" t="s">
        <v>25</v>
      </c>
      <c r="G97" s="168" t="s">
        <v>25</v>
      </c>
      <c r="H97" s="41" t="s">
        <v>663</v>
      </c>
      <c r="I97" s="41" t="s">
        <v>25</v>
      </c>
      <c r="J97" s="41" t="s">
        <v>25</v>
      </c>
      <c r="K97" s="168" t="s">
        <v>25</v>
      </c>
      <c r="L97" s="168" t="s">
        <v>730</v>
      </c>
      <c r="M97" s="168" t="s">
        <v>25</v>
      </c>
      <c r="N97" s="168" t="s">
        <v>25</v>
      </c>
      <c r="O97" s="168" t="s">
        <v>25</v>
      </c>
      <c r="P97" s="41" t="s">
        <v>637</v>
      </c>
      <c r="Q97" s="41" t="s">
        <v>636</v>
      </c>
      <c r="R97" s="41" t="s">
        <v>19</v>
      </c>
      <c r="S97" s="41" t="s">
        <v>731</v>
      </c>
      <c r="T97" s="41" t="s">
        <v>24</v>
      </c>
    </row>
    <row r="98" spans="1:20">
      <c r="A98" s="169" t="s">
        <v>781</v>
      </c>
    </row>
    <row r="99" spans="1:20">
      <c r="A99" s="161">
        <v>20029</v>
      </c>
      <c r="B99" s="167" t="s">
        <v>705</v>
      </c>
      <c r="C99" s="167" t="s">
        <v>782</v>
      </c>
      <c r="D99" s="38" t="s">
        <v>780</v>
      </c>
      <c r="E99" s="168" t="s">
        <v>25</v>
      </c>
      <c r="F99" s="168" t="s">
        <v>25</v>
      </c>
      <c r="G99" s="168" t="s">
        <v>25</v>
      </c>
      <c r="H99" s="41" t="s">
        <v>663</v>
      </c>
      <c r="I99" s="41" t="s">
        <v>25</v>
      </c>
      <c r="J99" s="41" t="s">
        <v>25</v>
      </c>
      <c r="K99" s="168" t="s">
        <v>25</v>
      </c>
      <c r="L99" s="168" t="s">
        <v>730</v>
      </c>
      <c r="M99" s="168" t="s">
        <v>25</v>
      </c>
      <c r="N99" s="168" t="s">
        <v>25</v>
      </c>
      <c r="O99" s="168" t="s">
        <v>25</v>
      </c>
      <c r="P99" s="41" t="s">
        <v>637</v>
      </c>
      <c r="Q99" s="41" t="s">
        <v>636</v>
      </c>
      <c r="R99" s="41" t="s">
        <v>19</v>
      </c>
      <c r="S99" s="41" t="s">
        <v>731</v>
      </c>
      <c r="T99" s="41" t="s">
        <v>684</v>
      </c>
    </row>
    <row r="100" spans="1:20">
      <c r="A100" s="46" t="s">
        <v>783</v>
      </c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</row>
    <row r="101" spans="1:20">
      <c r="A101" s="161">
        <v>20030</v>
      </c>
      <c r="B101" s="167" t="s">
        <v>640</v>
      </c>
      <c r="C101" s="167" t="s">
        <v>782</v>
      </c>
      <c r="D101" s="38" t="s">
        <v>666</v>
      </c>
      <c r="E101" s="168" t="s">
        <v>25</v>
      </c>
      <c r="F101" s="168" t="s">
        <v>25</v>
      </c>
      <c r="G101" s="168" t="s">
        <v>25</v>
      </c>
      <c r="H101" s="41" t="s">
        <v>663</v>
      </c>
      <c r="I101" s="41" t="s">
        <v>25</v>
      </c>
      <c r="J101" s="41" t="s">
        <v>25</v>
      </c>
      <c r="K101" s="168" t="s">
        <v>25</v>
      </c>
      <c r="L101" s="40" t="s">
        <v>784</v>
      </c>
      <c r="M101" s="168" t="s">
        <v>25</v>
      </c>
      <c r="N101" s="168" t="s">
        <v>25</v>
      </c>
      <c r="O101" s="168" t="s">
        <v>25</v>
      </c>
      <c r="P101" s="41" t="s">
        <v>637</v>
      </c>
      <c r="Q101" s="41" t="s">
        <v>636</v>
      </c>
      <c r="R101" s="41" t="s">
        <v>19</v>
      </c>
      <c r="S101" s="41" t="s">
        <v>81</v>
      </c>
      <c r="T101" s="41" t="s">
        <v>682</v>
      </c>
    </row>
    <row r="102" spans="1:20" s="166" customFormat="1">
      <c r="A102" s="46" t="s">
        <v>785</v>
      </c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</row>
    <row r="103" spans="1:20" s="166" customFormat="1">
      <c r="A103" s="161">
        <v>20031</v>
      </c>
      <c r="B103" s="167" t="s">
        <v>640</v>
      </c>
      <c r="C103" s="167" t="s">
        <v>782</v>
      </c>
      <c r="D103" s="38" t="s">
        <v>666</v>
      </c>
      <c r="E103" s="168" t="s">
        <v>25</v>
      </c>
      <c r="F103" s="168" t="s">
        <v>25</v>
      </c>
      <c r="G103" s="168" t="s">
        <v>25</v>
      </c>
      <c r="H103" s="41" t="s">
        <v>663</v>
      </c>
      <c r="I103" s="41" t="s">
        <v>25</v>
      </c>
      <c r="J103" s="41" t="s">
        <v>25</v>
      </c>
      <c r="K103" s="168" t="s">
        <v>25</v>
      </c>
      <c r="L103" s="40" t="s">
        <v>784</v>
      </c>
      <c r="M103" s="168" t="s">
        <v>25</v>
      </c>
      <c r="N103" s="168" t="s">
        <v>25</v>
      </c>
      <c r="O103" s="168" t="s">
        <v>25</v>
      </c>
      <c r="P103" s="41" t="s">
        <v>637</v>
      </c>
      <c r="Q103" s="41" t="s">
        <v>636</v>
      </c>
      <c r="R103" s="41" t="s">
        <v>19</v>
      </c>
      <c r="S103" s="41" t="s">
        <v>81</v>
      </c>
      <c r="T103" s="41" t="s">
        <v>682</v>
      </c>
    </row>
    <row r="104" spans="1:20">
      <c r="A104" s="46" t="s">
        <v>787</v>
      </c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</row>
    <row r="105" spans="1:20">
      <c r="A105" s="162">
        <v>99108</v>
      </c>
      <c r="B105" s="167" t="s">
        <v>640</v>
      </c>
      <c r="C105" s="167" t="s">
        <v>782</v>
      </c>
      <c r="D105" s="41" t="s">
        <v>197</v>
      </c>
      <c r="E105" s="168" t="s">
        <v>93</v>
      </c>
      <c r="F105" s="168" t="s">
        <v>94</v>
      </c>
      <c r="G105" s="168" t="s">
        <v>764</v>
      </c>
      <c r="H105" s="41" t="s">
        <v>786</v>
      </c>
      <c r="I105" s="41" t="s">
        <v>786</v>
      </c>
      <c r="J105" s="41" t="s">
        <v>786</v>
      </c>
      <c r="K105" s="41" t="s">
        <v>786</v>
      </c>
      <c r="L105" s="168" t="s">
        <v>204</v>
      </c>
      <c r="M105" s="168" t="s">
        <v>204</v>
      </c>
      <c r="N105" s="168" t="s">
        <v>204</v>
      </c>
      <c r="O105" s="168" t="s">
        <v>204</v>
      </c>
      <c r="P105" s="41" t="s">
        <v>22</v>
      </c>
      <c r="Q105" s="41" t="s">
        <v>32</v>
      </c>
      <c r="R105" s="41" t="s">
        <v>19</v>
      </c>
      <c r="S105" s="41" t="s">
        <v>81</v>
      </c>
      <c r="T105" s="41" t="s">
        <v>24</v>
      </c>
    </row>
    <row r="106" spans="1:20" s="166" customFormat="1">
      <c r="A106" s="46" t="s">
        <v>789</v>
      </c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</row>
    <row r="107" spans="1:20" s="166" customFormat="1">
      <c r="A107" s="162">
        <v>99109</v>
      </c>
      <c r="B107" s="167" t="s">
        <v>640</v>
      </c>
      <c r="C107" s="167" t="s">
        <v>782</v>
      </c>
      <c r="D107" s="41" t="s">
        <v>197</v>
      </c>
      <c r="E107" s="168" t="s">
        <v>93</v>
      </c>
      <c r="F107" s="168" t="s">
        <v>94</v>
      </c>
      <c r="G107" s="168" t="s">
        <v>764</v>
      </c>
      <c r="H107" s="41" t="s">
        <v>786</v>
      </c>
      <c r="I107" s="41" t="s">
        <v>786</v>
      </c>
      <c r="J107" s="41" t="s">
        <v>786</v>
      </c>
      <c r="K107" s="41" t="s">
        <v>786</v>
      </c>
      <c r="L107" s="168" t="s">
        <v>788</v>
      </c>
      <c r="M107" s="168" t="s">
        <v>788</v>
      </c>
      <c r="N107" s="168" t="s">
        <v>788</v>
      </c>
      <c r="O107" s="168" t="s">
        <v>788</v>
      </c>
      <c r="P107" s="41" t="s">
        <v>22</v>
      </c>
      <c r="Q107" s="41" t="s">
        <v>32</v>
      </c>
      <c r="R107" s="41" t="s">
        <v>19</v>
      </c>
      <c r="S107" s="41" t="s">
        <v>81</v>
      </c>
      <c r="T107" s="41" t="s">
        <v>24</v>
      </c>
    </row>
  </sheetData>
  <autoFilter ref="A1:T1"/>
  <phoneticPr fontId="5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27"/>
  <sheetViews>
    <sheetView tabSelected="1" workbookViewId="0">
      <selection activeCell="H15" sqref="H15"/>
    </sheetView>
  </sheetViews>
  <sheetFormatPr defaultRowHeight="17.25"/>
  <sheetData>
    <row r="1" spans="1:1">
      <c r="A1">
        <v>5.86</v>
      </c>
    </row>
    <row r="2" spans="1:1">
      <c r="A2">
        <v>4.55</v>
      </c>
    </row>
    <row r="3" spans="1:1">
      <c r="A3">
        <v>4.29</v>
      </c>
    </row>
    <row r="4" spans="1:1">
      <c r="A4">
        <v>3.73</v>
      </c>
    </row>
    <row r="5" spans="1:1">
      <c r="A5">
        <v>3.22</v>
      </c>
    </row>
    <row r="6" spans="1:1">
      <c r="A6">
        <v>3.2</v>
      </c>
    </row>
    <row r="7" spans="1:1">
      <c r="A7">
        <v>2.75</v>
      </c>
    </row>
    <row r="8" spans="1:1">
      <c r="A8">
        <v>2.7</v>
      </c>
    </row>
    <row r="9" spans="1:1">
      <c r="A9">
        <v>2.52</v>
      </c>
    </row>
    <row r="10" spans="1:1">
      <c r="A10">
        <v>2.14</v>
      </c>
    </row>
    <row r="11" spans="1:1">
      <c r="A11">
        <v>2.1</v>
      </c>
    </row>
    <row r="12" spans="1:1">
      <c r="A12">
        <v>1.97</v>
      </c>
    </row>
    <row r="13" spans="1:1">
      <c r="A13">
        <v>1.9</v>
      </c>
    </row>
    <row r="14" spans="1:1">
      <c r="A14">
        <v>1.88</v>
      </c>
    </row>
    <row r="15" spans="1:1">
      <c r="A15">
        <v>1.68</v>
      </c>
    </row>
    <row r="16" spans="1:1">
      <c r="A16">
        <v>1.65</v>
      </c>
    </row>
    <row r="17" spans="1:2">
      <c r="A17">
        <v>1.42</v>
      </c>
    </row>
    <row r="18" spans="1:2">
      <c r="A18">
        <v>1.39</v>
      </c>
    </row>
    <row r="19" spans="1:2">
      <c r="A19">
        <v>1.34</v>
      </c>
    </row>
    <row r="20" spans="1:2">
      <c r="A20">
        <v>1.29</v>
      </c>
      <c r="B20">
        <f>SUM(A1:A20)</f>
        <v>51.580000000000005</v>
      </c>
    </row>
    <row r="21" spans="1:2">
      <c r="A21">
        <v>1.18</v>
      </c>
    </row>
    <row r="22" spans="1:2">
      <c r="A22">
        <v>1.1399999999999999</v>
      </c>
    </row>
    <row r="23" spans="1:2">
      <c r="A23">
        <v>1.1299999999999999</v>
      </c>
    </row>
    <row r="24" spans="1:2">
      <c r="A24">
        <v>1.08</v>
      </c>
    </row>
    <row r="25" spans="1:2">
      <c r="A25">
        <v>1.05</v>
      </c>
    </row>
    <row r="26" spans="1:2">
      <c r="A26">
        <v>1.02</v>
      </c>
    </row>
    <row r="27" spans="1:2">
      <c r="A27">
        <f>SUM(A1:A26)</f>
        <v>58.180000000000007</v>
      </c>
    </row>
  </sheetData>
  <phoneticPr fontId="2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Q78"/>
  <sheetViews>
    <sheetView topLeftCell="L1" zoomScale="115" zoomScaleNormal="115" workbookViewId="0">
      <pane ySplit="1" topLeftCell="A2" activePane="bottomLeft" state="frozen"/>
      <selection pane="bottomLeft" activeCell="P3" sqref="P3"/>
    </sheetView>
  </sheetViews>
  <sheetFormatPr defaultColWidth="9" defaultRowHeight="17.25"/>
  <cols>
    <col min="1" max="1" width="8.88671875" style="45" customWidth="1"/>
    <col min="2" max="2" width="9.77734375" style="59" customWidth="1"/>
    <col min="3" max="3" width="10" style="59" customWidth="1"/>
    <col min="4" max="4" width="16.109375" style="59" customWidth="1"/>
    <col min="5" max="5" width="17.77734375" style="59" customWidth="1"/>
    <col min="6" max="6" width="18" style="59" customWidth="1"/>
    <col min="7" max="7" width="13.77734375" style="59" customWidth="1"/>
    <col min="8" max="8" width="13" style="59" customWidth="1"/>
    <col min="9" max="9" width="14.88671875" style="59" customWidth="1"/>
    <col min="10" max="10" width="13.33203125" style="59" customWidth="1"/>
    <col min="11" max="12" width="14" style="59" customWidth="1"/>
    <col min="13" max="13" width="14.88671875" style="59" customWidth="1"/>
    <col min="14" max="14" width="9.88671875" style="59" customWidth="1"/>
    <col min="15" max="15" width="6.109375" style="59" customWidth="1"/>
    <col min="16" max="16" width="8" style="59" customWidth="1"/>
    <col min="17" max="17" width="8.77734375" style="59" customWidth="1"/>
    <col min="18" max="18" width="4.6640625" style="42" customWidth="1"/>
    <col min="19" max="16384" width="9" style="42"/>
  </cols>
  <sheetData>
    <row r="1" spans="1:17" s="16" customFormat="1" ht="34.5" customHeight="1">
      <c r="A1" s="4" t="s">
        <v>45</v>
      </c>
      <c r="B1" s="17" t="s">
        <v>2</v>
      </c>
      <c r="C1" s="17" t="s">
        <v>3</v>
      </c>
      <c r="D1" s="17" t="s">
        <v>11</v>
      </c>
      <c r="E1" s="17" t="s">
        <v>14</v>
      </c>
      <c r="F1" s="17" t="s">
        <v>17</v>
      </c>
      <c r="G1" s="17" t="s">
        <v>10</v>
      </c>
      <c r="H1" s="17" t="s">
        <v>13</v>
      </c>
      <c r="I1" s="17" t="s">
        <v>16</v>
      </c>
      <c r="J1" s="17" t="s">
        <v>9</v>
      </c>
      <c r="K1" s="17" t="s">
        <v>12</v>
      </c>
      <c r="L1" s="17" t="s">
        <v>15</v>
      </c>
      <c r="M1" s="17" t="s">
        <v>20</v>
      </c>
      <c r="N1" s="17" t="s">
        <v>21</v>
      </c>
      <c r="O1" s="17" t="s">
        <v>502</v>
      </c>
      <c r="P1" s="17" t="s">
        <v>4</v>
      </c>
      <c r="Q1" s="17" t="s">
        <v>5</v>
      </c>
    </row>
    <row r="2" spans="1:17">
      <c r="A2" s="61" t="s">
        <v>619</v>
      </c>
      <c r="D2" s="41"/>
      <c r="G2" s="41"/>
      <c r="H2" s="41"/>
      <c r="I2" s="41"/>
      <c r="M2" s="41"/>
      <c r="N2" s="41"/>
      <c r="O2" s="41"/>
      <c r="P2" s="41"/>
      <c r="Q2" s="41"/>
    </row>
    <row r="3" spans="1:17">
      <c r="A3" s="153">
        <v>99100</v>
      </c>
      <c r="B3" s="71" t="s">
        <v>543</v>
      </c>
      <c r="C3" s="71" t="s">
        <v>543</v>
      </c>
      <c r="D3" s="41" t="s">
        <v>493</v>
      </c>
      <c r="E3" s="59" t="s">
        <v>93</v>
      </c>
      <c r="F3" s="59" t="s">
        <v>94</v>
      </c>
      <c r="G3" s="41" t="s">
        <v>28</v>
      </c>
      <c r="H3" s="41" t="s">
        <v>28</v>
      </c>
      <c r="I3" s="41" t="s">
        <v>28</v>
      </c>
      <c r="J3" s="59" t="s">
        <v>329</v>
      </c>
      <c r="K3" s="59" t="s">
        <v>329</v>
      </c>
      <c r="L3" s="59" t="s">
        <v>329</v>
      </c>
      <c r="M3" s="41" t="s">
        <v>22</v>
      </c>
      <c r="N3" s="41" t="s">
        <v>32</v>
      </c>
      <c r="O3" s="41" t="s">
        <v>19</v>
      </c>
      <c r="P3" s="41">
        <v>1825</v>
      </c>
      <c r="Q3" s="41" t="s">
        <v>24</v>
      </c>
    </row>
    <row r="4" spans="1:17">
      <c r="A4" s="45" t="s">
        <v>599</v>
      </c>
    </row>
    <row r="5" spans="1:17">
      <c r="A5" s="157">
        <v>11609</v>
      </c>
      <c r="B5" s="71" t="s">
        <v>54</v>
      </c>
      <c r="C5" s="71" t="s">
        <v>470</v>
      </c>
      <c r="D5" s="41" t="s">
        <v>23</v>
      </c>
      <c r="E5" s="59" t="s">
        <v>93</v>
      </c>
      <c r="F5" s="59" t="s">
        <v>94</v>
      </c>
      <c r="G5" s="41" t="s">
        <v>28</v>
      </c>
      <c r="H5" s="41" t="s">
        <v>28</v>
      </c>
      <c r="I5" s="41" t="s">
        <v>28</v>
      </c>
      <c r="J5" s="71" t="s">
        <v>600</v>
      </c>
      <c r="K5" s="71" t="s">
        <v>600</v>
      </c>
      <c r="L5" s="71" t="s">
        <v>600</v>
      </c>
      <c r="M5" s="59" t="s">
        <v>583</v>
      </c>
      <c r="N5" s="59" t="s">
        <v>584</v>
      </c>
      <c r="O5" s="72" t="s">
        <v>546</v>
      </c>
      <c r="P5" s="41" t="s">
        <v>545</v>
      </c>
      <c r="Q5" s="41" t="s">
        <v>24</v>
      </c>
    </row>
    <row r="6" spans="1:17">
      <c r="A6" s="38" t="s">
        <v>471</v>
      </c>
      <c r="D6" s="41"/>
      <c r="G6" s="41"/>
      <c r="H6" s="41"/>
      <c r="I6" s="41"/>
      <c r="M6" s="41"/>
      <c r="N6" s="41"/>
      <c r="O6" s="41"/>
      <c r="P6" s="41"/>
      <c r="Q6" s="41"/>
    </row>
    <row r="7" spans="1:17">
      <c r="A7" s="38" t="s">
        <v>472</v>
      </c>
      <c r="D7" s="41"/>
      <c r="G7" s="41"/>
      <c r="H7" s="41"/>
      <c r="I7" s="41"/>
      <c r="M7" s="41"/>
      <c r="N7" s="41"/>
      <c r="O7" s="41"/>
      <c r="P7" s="41"/>
      <c r="Q7" s="41"/>
    </row>
    <row r="8" spans="1:17">
      <c r="A8" s="61" t="s">
        <v>631</v>
      </c>
      <c r="D8" s="41"/>
      <c r="G8" s="41"/>
      <c r="H8" s="41"/>
      <c r="I8" s="41"/>
      <c r="M8" s="41"/>
      <c r="N8" s="41"/>
      <c r="O8" s="41"/>
      <c r="P8" s="41"/>
      <c r="Q8" s="41"/>
    </row>
    <row r="9" spans="1:17">
      <c r="A9" s="154">
        <v>79101</v>
      </c>
      <c r="B9" s="59" t="s">
        <v>474</v>
      </c>
      <c r="C9" s="59" t="s">
        <v>470</v>
      </c>
      <c r="D9" s="59" t="s">
        <v>23</v>
      </c>
      <c r="E9" s="59" t="s">
        <v>93</v>
      </c>
      <c r="F9" s="59" t="s">
        <v>94</v>
      </c>
      <c r="G9" s="41" t="s">
        <v>28</v>
      </c>
      <c r="H9" s="41" t="s">
        <v>28</v>
      </c>
      <c r="I9" s="41" t="s">
        <v>28</v>
      </c>
      <c r="J9" s="59" t="s">
        <v>569</v>
      </c>
      <c r="K9" s="59" t="s">
        <v>473</v>
      </c>
      <c r="L9" s="59" t="s">
        <v>473</v>
      </c>
      <c r="M9" s="41" t="s">
        <v>528</v>
      </c>
      <c r="N9" s="41" t="s">
        <v>529</v>
      </c>
      <c r="O9" s="41" t="s">
        <v>19</v>
      </c>
      <c r="P9" s="41" t="s">
        <v>373</v>
      </c>
      <c r="Q9" s="41" t="s">
        <v>24</v>
      </c>
    </row>
    <row r="10" spans="1:17" s="73" customFormat="1">
      <c r="A10" s="45" t="s">
        <v>632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</row>
    <row r="11" spans="1:17" s="73" customFormat="1">
      <c r="A11" s="158">
        <v>21609</v>
      </c>
      <c r="B11" s="71" t="s">
        <v>474</v>
      </c>
      <c r="C11" s="71" t="s">
        <v>572</v>
      </c>
      <c r="D11" s="41" t="s">
        <v>23</v>
      </c>
      <c r="E11" s="59" t="s">
        <v>93</v>
      </c>
      <c r="F11" s="59" t="s">
        <v>94</v>
      </c>
      <c r="G11" s="41" t="s">
        <v>28</v>
      </c>
      <c r="H11" s="41" t="s">
        <v>28</v>
      </c>
      <c r="I11" s="41" t="s">
        <v>28</v>
      </c>
      <c r="J11" s="71" t="s">
        <v>615</v>
      </c>
      <c r="K11" s="71" t="s">
        <v>615</v>
      </c>
      <c r="L11" s="71" t="s">
        <v>615</v>
      </c>
      <c r="M11" s="59" t="s">
        <v>617</v>
      </c>
      <c r="N11" s="59" t="s">
        <v>618</v>
      </c>
      <c r="O11" s="72" t="s">
        <v>546</v>
      </c>
      <c r="P11" s="41" t="s">
        <v>80</v>
      </c>
      <c r="Q11" s="41" t="s">
        <v>24</v>
      </c>
    </row>
    <row r="12" spans="1:17" s="73" customFormat="1">
      <c r="A12" s="74"/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</row>
    <row r="13" spans="1:17" s="73" customFormat="1">
      <c r="A13" s="56" t="s">
        <v>332</v>
      </c>
      <c r="B13" s="71"/>
      <c r="C13" s="71"/>
      <c r="D13" s="41"/>
      <c r="E13" s="59"/>
      <c r="F13" s="59"/>
      <c r="G13" s="41"/>
      <c r="H13" s="41"/>
      <c r="I13" s="41"/>
      <c r="J13" s="71"/>
      <c r="K13" s="71"/>
      <c r="L13" s="71"/>
      <c r="M13" s="59"/>
      <c r="N13" s="59"/>
      <c r="O13" s="72"/>
      <c r="P13" s="41"/>
      <c r="Q13" s="41"/>
    </row>
    <row r="35" spans="1:17">
      <c r="A35" s="45" t="s">
        <v>223</v>
      </c>
      <c r="G35" s="42"/>
      <c r="H35" s="42"/>
      <c r="I35" s="42"/>
      <c r="J35" s="41"/>
      <c r="K35" s="41"/>
      <c r="L35" s="41"/>
      <c r="M35" s="41"/>
      <c r="N35" s="41"/>
      <c r="O35" s="41"/>
      <c r="P35" s="41"/>
      <c r="Q35" s="41"/>
    </row>
    <row r="36" spans="1:17">
      <c r="A36" s="45" t="s">
        <v>224</v>
      </c>
      <c r="B36" s="59" t="s">
        <v>54</v>
      </c>
      <c r="C36" s="59" t="s">
        <v>40</v>
      </c>
      <c r="D36" s="59" t="s">
        <v>216</v>
      </c>
      <c r="E36" s="59" t="s">
        <v>93</v>
      </c>
      <c r="F36" s="59" t="s">
        <v>94</v>
      </c>
      <c r="G36" s="41" t="s">
        <v>28</v>
      </c>
      <c r="H36" s="41" t="s">
        <v>28</v>
      </c>
      <c r="I36" s="41" t="s">
        <v>28</v>
      </c>
      <c r="J36" s="41" t="s">
        <v>218</v>
      </c>
      <c r="K36" s="41" t="s">
        <v>218</v>
      </c>
      <c r="L36" s="41" t="s">
        <v>218</v>
      </c>
      <c r="M36" s="41" t="s">
        <v>22</v>
      </c>
      <c r="N36" s="41" t="s">
        <v>32</v>
      </c>
      <c r="O36" s="41" t="s">
        <v>19</v>
      </c>
      <c r="P36" s="41">
        <v>1825</v>
      </c>
      <c r="Q36" s="41" t="s">
        <v>24</v>
      </c>
    </row>
    <row r="37" spans="1:17">
      <c r="A37" s="45" t="s">
        <v>225</v>
      </c>
      <c r="B37" s="59" t="s">
        <v>54</v>
      </c>
      <c r="C37" s="59" t="s">
        <v>40</v>
      </c>
      <c r="D37" s="59" t="s">
        <v>217</v>
      </c>
      <c r="E37" s="59" t="s">
        <v>93</v>
      </c>
      <c r="F37" s="59" t="s">
        <v>94</v>
      </c>
      <c r="G37" s="41" t="s">
        <v>27</v>
      </c>
      <c r="H37" s="41" t="s">
        <v>27</v>
      </c>
      <c r="I37" s="41" t="s">
        <v>27</v>
      </c>
      <c r="J37" s="41" t="s">
        <v>218</v>
      </c>
      <c r="K37" s="41" t="s">
        <v>218</v>
      </c>
      <c r="L37" s="41" t="s">
        <v>218</v>
      </c>
      <c r="M37" s="41" t="s">
        <v>22</v>
      </c>
      <c r="N37" s="41" t="s">
        <v>32</v>
      </c>
      <c r="O37" s="41" t="s">
        <v>19</v>
      </c>
      <c r="P37" s="41">
        <v>1825</v>
      </c>
      <c r="Q37" s="41" t="s">
        <v>24</v>
      </c>
    </row>
    <row r="38" spans="1:17">
      <c r="A38" s="45" t="s">
        <v>225</v>
      </c>
      <c r="B38" s="59" t="s">
        <v>54</v>
      </c>
      <c r="C38" s="59" t="s">
        <v>40</v>
      </c>
      <c r="D38" s="59" t="s">
        <v>23</v>
      </c>
      <c r="E38" s="59" t="s">
        <v>93</v>
      </c>
      <c r="F38" s="59" t="s">
        <v>94</v>
      </c>
      <c r="G38" s="42" t="s">
        <v>206</v>
      </c>
      <c r="H38" s="42" t="s">
        <v>206</v>
      </c>
      <c r="I38" s="42" t="s">
        <v>206</v>
      </c>
      <c r="J38" s="41" t="s">
        <v>218</v>
      </c>
      <c r="K38" s="41" t="s">
        <v>218</v>
      </c>
      <c r="L38" s="41" t="s">
        <v>218</v>
      </c>
      <c r="M38" s="41" t="s">
        <v>22</v>
      </c>
      <c r="N38" s="41" t="s">
        <v>32</v>
      </c>
      <c r="O38" s="41" t="s">
        <v>19</v>
      </c>
      <c r="P38" s="41">
        <v>1825</v>
      </c>
      <c r="Q38" s="41" t="s">
        <v>24</v>
      </c>
    </row>
    <row r="39" spans="1:17">
      <c r="A39" s="45" t="s">
        <v>225</v>
      </c>
      <c r="B39" s="59" t="s">
        <v>54</v>
      </c>
      <c r="C39" s="59" t="s">
        <v>40</v>
      </c>
      <c r="D39" s="59" t="s">
        <v>219</v>
      </c>
      <c r="E39" s="59" t="s">
        <v>93</v>
      </c>
      <c r="F39" s="59" t="s">
        <v>94</v>
      </c>
      <c r="G39" s="41" t="s">
        <v>28</v>
      </c>
      <c r="H39" s="41" t="s">
        <v>28</v>
      </c>
      <c r="I39" s="41" t="s">
        <v>28</v>
      </c>
      <c r="J39" s="41" t="s">
        <v>222</v>
      </c>
      <c r="K39" s="41" t="s">
        <v>222</v>
      </c>
      <c r="L39" s="41" t="s">
        <v>222</v>
      </c>
      <c r="M39" s="41" t="s">
        <v>22</v>
      </c>
      <c r="N39" s="41" t="s">
        <v>32</v>
      </c>
      <c r="O39" s="41" t="s">
        <v>19</v>
      </c>
      <c r="P39" s="41">
        <v>1825</v>
      </c>
      <c r="Q39" s="41" t="s">
        <v>24</v>
      </c>
    </row>
    <row r="40" spans="1:17">
      <c r="A40" s="45" t="s">
        <v>226</v>
      </c>
      <c r="B40" s="59" t="s">
        <v>54</v>
      </c>
      <c r="C40" s="59" t="s">
        <v>40</v>
      </c>
      <c r="D40" s="59" t="s">
        <v>219</v>
      </c>
      <c r="E40" s="59" t="s">
        <v>93</v>
      </c>
      <c r="F40" s="59" t="s">
        <v>94</v>
      </c>
      <c r="G40" s="41" t="s">
        <v>27</v>
      </c>
      <c r="H40" s="41" t="s">
        <v>27</v>
      </c>
      <c r="I40" s="41" t="s">
        <v>27</v>
      </c>
      <c r="J40" s="41" t="s">
        <v>222</v>
      </c>
      <c r="K40" s="41" t="s">
        <v>222</v>
      </c>
      <c r="L40" s="41" t="s">
        <v>222</v>
      </c>
      <c r="M40" s="41" t="s">
        <v>22</v>
      </c>
      <c r="N40" s="41" t="s">
        <v>32</v>
      </c>
      <c r="O40" s="41" t="s">
        <v>19</v>
      </c>
      <c r="P40" s="41">
        <v>1825</v>
      </c>
      <c r="Q40" s="41" t="s">
        <v>24</v>
      </c>
    </row>
    <row r="41" spans="1:17">
      <c r="A41" s="45" t="s">
        <v>225</v>
      </c>
      <c r="B41" s="59" t="s">
        <v>54</v>
      </c>
      <c r="C41" s="59" t="s">
        <v>40</v>
      </c>
      <c r="D41" s="59" t="s">
        <v>23</v>
      </c>
      <c r="E41" s="59" t="s">
        <v>93</v>
      </c>
      <c r="F41" s="59" t="s">
        <v>94</v>
      </c>
      <c r="G41" s="42" t="s">
        <v>206</v>
      </c>
      <c r="H41" s="42" t="s">
        <v>206</v>
      </c>
      <c r="I41" s="42" t="s">
        <v>206</v>
      </c>
      <c r="J41" s="41" t="s">
        <v>222</v>
      </c>
      <c r="K41" s="41" t="s">
        <v>222</v>
      </c>
      <c r="L41" s="41" t="s">
        <v>222</v>
      </c>
      <c r="M41" s="41" t="s">
        <v>22</v>
      </c>
      <c r="N41" s="41" t="s">
        <v>32</v>
      </c>
      <c r="O41" s="41" t="s">
        <v>19</v>
      </c>
      <c r="P41" s="41">
        <v>1825</v>
      </c>
      <c r="Q41" s="41" t="s">
        <v>24</v>
      </c>
    </row>
    <row r="42" spans="1:17">
      <c r="A42" s="5">
        <v>99063</v>
      </c>
      <c r="B42" s="59" t="s">
        <v>54</v>
      </c>
      <c r="C42" s="59" t="s">
        <v>40</v>
      </c>
      <c r="D42" s="41" t="s">
        <v>23</v>
      </c>
      <c r="E42" s="59" t="s">
        <v>96</v>
      </c>
      <c r="F42" s="59" t="s">
        <v>191</v>
      </c>
      <c r="G42" s="41" t="s">
        <v>28</v>
      </c>
      <c r="H42" s="41" t="s">
        <v>28</v>
      </c>
      <c r="I42" s="41" t="s">
        <v>28</v>
      </c>
      <c r="J42" s="59" t="s">
        <v>188</v>
      </c>
      <c r="K42" s="59" t="s">
        <v>188</v>
      </c>
      <c r="L42" s="59" t="s">
        <v>188</v>
      </c>
      <c r="M42" s="41" t="s">
        <v>22</v>
      </c>
      <c r="N42" s="41" t="s">
        <v>32</v>
      </c>
      <c r="O42" s="41" t="s">
        <v>19</v>
      </c>
      <c r="P42" s="41">
        <v>1825</v>
      </c>
      <c r="Q42" s="41" t="s">
        <v>24</v>
      </c>
    </row>
    <row r="43" spans="1:17">
      <c r="A43" s="31" t="s">
        <v>172</v>
      </c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41"/>
      <c r="Q43" s="41"/>
    </row>
    <row r="44" spans="1:17">
      <c r="A44" s="34">
        <v>99061</v>
      </c>
      <c r="B44" s="32" t="s">
        <v>54</v>
      </c>
      <c r="C44" s="32" t="s">
        <v>40</v>
      </c>
      <c r="D44" s="32" t="s">
        <v>138</v>
      </c>
      <c r="E44" s="32" t="s">
        <v>149</v>
      </c>
      <c r="F44" s="32" t="s">
        <v>148</v>
      </c>
      <c r="G44" s="32" t="s">
        <v>28</v>
      </c>
      <c r="H44" s="32" t="s">
        <v>28</v>
      </c>
      <c r="I44" s="32" t="s">
        <v>28</v>
      </c>
      <c r="J44" s="32" t="s">
        <v>133</v>
      </c>
      <c r="K44" s="32" t="s">
        <v>133</v>
      </c>
      <c r="L44" s="32" t="s">
        <v>133</v>
      </c>
      <c r="M44" s="32" t="s">
        <v>22</v>
      </c>
      <c r="N44" s="32" t="s">
        <v>32</v>
      </c>
      <c r="O44" s="32" t="s">
        <v>19</v>
      </c>
      <c r="P44" s="41">
        <v>1825</v>
      </c>
      <c r="Q44" s="41" t="s">
        <v>24</v>
      </c>
    </row>
    <row r="45" spans="1:17">
      <c r="A45" s="34">
        <v>99062</v>
      </c>
      <c r="B45" s="32" t="s">
        <v>54</v>
      </c>
      <c r="C45" s="32" t="s">
        <v>40</v>
      </c>
      <c r="D45" s="32" t="s">
        <v>138</v>
      </c>
      <c r="E45" s="32" t="s">
        <v>149</v>
      </c>
      <c r="F45" s="32" t="s">
        <v>152</v>
      </c>
      <c r="G45" s="32" t="s">
        <v>28</v>
      </c>
      <c r="H45" s="32" t="s">
        <v>28</v>
      </c>
      <c r="I45" s="32" t="s">
        <v>28</v>
      </c>
      <c r="J45" s="32" t="s">
        <v>133</v>
      </c>
      <c r="K45" s="32" t="s">
        <v>133</v>
      </c>
      <c r="L45" s="32" t="s">
        <v>133</v>
      </c>
      <c r="M45" s="32" t="s">
        <v>22</v>
      </c>
      <c r="N45" s="32" t="s">
        <v>32</v>
      </c>
      <c r="O45" s="32" t="s">
        <v>19</v>
      </c>
      <c r="P45" s="41">
        <v>1825</v>
      </c>
      <c r="Q45" s="41" t="s">
        <v>24</v>
      </c>
    </row>
    <row r="46" spans="1:17">
      <c r="A46" s="34">
        <v>99063</v>
      </c>
      <c r="B46" s="32" t="s">
        <v>54</v>
      </c>
      <c r="C46" s="32" t="s">
        <v>40</v>
      </c>
      <c r="D46" s="32" t="s">
        <v>138</v>
      </c>
      <c r="E46" s="32" t="s">
        <v>149</v>
      </c>
      <c r="F46" s="32" t="s">
        <v>158</v>
      </c>
      <c r="G46" s="32" t="s">
        <v>28</v>
      </c>
      <c r="H46" s="32" t="s">
        <v>28</v>
      </c>
      <c r="I46" s="32" t="s">
        <v>28</v>
      </c>
      <c r="J46" s="32" t="s">
        <v>133</v>
      </c>
      <c r="K46" s="32" t="s">
        <v>133</v>
      </c>
      <c r="L46" s="32" t="s">
        <v>133</v>
      </c>
      <c r="M46" s="32" t="s">
        <v>22</v>
      </c>
      <c r="N46" s="32" t="s">
        <v>32</v>
      </c>
      <c r="O46" s="32" t="s">
        <v>19</v>
      </c>
      <c r="P46" s="41">
        <v>1825</v>
      </c>
      <c r="Q46" s="41" t="s">
        <v>24</v>
      </c>
    </row>
    <row r="47" spans="1:17">
      <c r="A47" s="34">
        <v>99064</v>
      </c>
      <c r="B47" s="32" t="s">
        <v>54</v>
      </c>
      <c r="C47" s="32" t="s">
        <v>40</v>
      </c>
      <c r="D47" s="32" t="s">
        <v>138</v>
      </c>
      <c r="E47" s="32" t="s">
        <v>149</v>
      </c>
      <c r="F47" s="32" t="s">
        <v>159</v>
      </c>
      <c r="G47" s="32" t="s">
        <v>28</v>
      </c>
      <c r="H47" s="32" t="s">
        <v>28</v>
      </c>
      <c r="I47" s="32" t="s">
        <v>28</v>
      </c>
      <c r="J47" s="32" t="s">
        <v>133</v>
      </c>
      <c r="K47" s="32" t="s">
        <v>133</v>
      </c>
      <c r="L47" s="32" t="s">
        <v>133</v>
      </c>
      <c r="M47" s="32" t="s">
        <v>22</v>
      </c>
      <c r="N47" s="32" t="s">
        <v>32</v>
      </c>
      <c r="O47" s="32" t="s">
        <v>19</v>
      </c>
      <c r="P47" s="41">
        <v>1825</v>
      </c>
      <c r="Q47" s="41" t="s">
        <v>24</v>
      </c>
    </row>
    <row r="48" spans="1:17">
      <c r="A48" s="34">
        <v>99061</v>
      </c>
      <c r="B48" s="32" t="s">
        <v>54</v>
      </c>
      <c r="C48" s="32" t="s">
        <v>40</v>
      </c>
      <c r="D48" s="32" t="s">
        <v>138</v>
      </c>
      <c r="E48" s="32" t="s">
        <v>149</v>
      </c>
      <c r="F48" s="32" t="s">
        <v>148</v>
      </c>
      <c r="G48" s="32" t="s">
        <v>28</v>
      </c>
      <c r="H48" s="32" t="s">
        <v>28</v>
      </c>
      <c r="I48" s="32" t="s">
        <v>28</v>
      </c>
      <c r="J48" s="32" t="s">
        <v>133</v>
      </c>
      <c r="K48" s="32" t="s">
        <v>133</v>
      </c>
      <c r="L48" s="32" t="s">
        <v>133</v>
      </c>
      <c r="M48" s="32" t="s">
        <v>22</v>
      </c>
      <c r="N48" s="32" t="s">
        <v>32</v>
      </c>
      <c r="O48" s="32" t="s">
        <v>19</v>
      </c>
      <c r="P48" s="41">
        <v>1825</v>
      </c>
      <c r="Q48" s="41" t="s">
        <v>24</v>
      </c>
    </row>
    <row r="49" spans="1:17">
      <c r="A49" s="34">
        <v>99062</v>
      </c>
      <c r="B49" s="32" t="s">
        <v>54</v>
      </c>
      <c r="C49" s="32" t="s">
        <v>40</v>
      </c>
      <c r="D49" s="32" t="s">
        <v>138</v>
      </c>
      <c r="E49" s="32" t="s">
        <v>149</v>
      </c>
      <c r="F49" s="32" t="s">
        <v>152</v>
      </c>
      <c r="G49" s="32" t="s">
        <v>28</v>
      </c>
      <c r="H49" s="32" t="s">
        <v>28</v>
      </c>
      <c r="I49" s="32" t="s">
        <v>28</v>
      </c>
      <c r="J49" s="32" t="s">
        <v>133</v>
      </c>
      <c r="K49" s="32" t="s">
        <v>133</v>
      </c>
      <c r="L49" s="32" t="s">
        <v>133</v>
      </c>
      <c r="M49" s="32" t="s">
        <v>22</v>
      </c>
      <c r="N49" s="32" t="s">
        <v>32</v>
      </c>
      <c r="O49" s="32" t="s">
        <v>19</v>
      </c>
      <c r="P49" s="41">
        <v>1825</v>
      </c>
      <c r="Q49" s="41" t="s">
        <v>24</v>
      </c>
    </row>
    <row r="50" spans="1:17">
      <c r="A50" s="34">
        <v>99063</v>
      </c>
      <c r="B50" s="32" t="s">
        <v>54</v>
      </c>
      <c r="C50" s="32" t="s">
        <v>40</v>
      </c>
      <c r="D50" s="32" t="s">
        <v>138</v>
      </c>
      <c r="E50" s="32" t="s">
        <v>149</v>
      </c>
      <c r="F50" s="32" t="s">
        <v>158</v>
      </c>
      <c r="G50" s="32" t="s">
        <v>28</v>
      </c>
      <c r="H50" s="32" t="s">
        <v>28</v>
      </c>
      <c r="I50" s="32" t="s">
        <v>28</v>
      </c>
      <c r="J50" s="32" t="s">
        <v>133</v>
      </c>
      <c r="K50" s="32" t="s">
        <v>133</v>
      </c>
      <c r="L50" s="32" t="s">
        <v>133</v>
      </c>
      <c r="M50" s="32" t="s">
        <v>22</v>
      </c>
      <c r="N50" s="32" t="s">
        <v>32</v>
      </c>
      <c r="O50" s="32" t="s">
        <v>19</v>
      </c>
      <c r="P50" s="41">
        <v>1825</v>
      </c>
      <c r="Q50" s="41" t="s">
        <v>24</v>
      </c>
    </row>
    <row r="51" spans="1:17">
      <c r="A51" s="34">
        <v>99064</v>
      </c>
      <c r="B51" s="32" t="s">
        <v>54</v>
      </c>
      <c r="C51" s="32" t="s">
        <v>40</v>
      </c>
      <c r="D51" s="32" t="s">
        <v>138</v>
      </c>
      <c r="E51" s="32" t="s">
        <v>149</v>
      </c>
      <c r="F51" s="32" t="s">
        <v>159</v>
      </c>
      <c r="G51" s="32" t="s">
        <v>28</v>
      </c>
      <c r="H51" s="32" t="s">
        <v>28</v>
      </c>
      <c r="I51" s="32" t="s">
        <v>28</v>
      </c>
      <c r="J51" s="32" t="s">
        <v>133</v>
      </c>
      <c r="K51" s="32" t="s">
        <v>133</v>
      </c>
      <c r="L51" s="32" t="s">
        <v>133</v>
      </c>
      <c r="M51" s="32" t="s">
        <v>22</v>
      </c>
      <c r="N51" s="32" t="s">
        <v>32</v>
      </c>
      <c r="O51" s="32" t="s">
        <v>19</v>
      </c>
      <c r="P51" s="41">
        <v>1825</v>
      </c>
      <c r="Q51" s="41" t="s">
        <v>24</v>
      </c>
    </row>
    <row r="52" spans="1:17">
      <c r="A52" s="31" t="s">
        <v>175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41"/>
      <c r="Q52" s="41"/>
    </row>
    <row r="53" spans="1:17">
      <c r="A53" s="31">
        <v>99060</v>
      </c>
      <c r="B53" s="32" t="s">
        <v>54</v>
      </c>
      <c r="C53" s="32" t="s">
        <v>40</v>
      </c>
      <c r="D53" s="32" t="s">
        <v>138</v>
      </c>
      <c r="E53" s="32" t="s">
        <v>93</v>
      </c>
      <c r="F53" s="32" t="s">
        <v>94</v>
      </c>
      <c r="G53" s="32" t="s">
        <v>28</v>
      </c>
      <c r="H53" s="32" t="s">
        <v>28</v>
      </c>
      <c r="I53" s="32" t="s">
        <v>28</v>
      </c>
      <c r="J53" s="32" t="s">
        <v>133</v>
      </c>
      <c r="K53" s="32" t="s">
        <v>133</v>
      </c>
      <c r="L53" s="32" t="s">
        <v>133</v>
      </c>
      <c r="M53" s="35" t="s">
        <v>173</v>
      </c>
      <c r="N53" s="32" t="s">
        <v>32</v>
      </c>
      <c r="O53" s="32" t="s">
        <v>19</v>
      </c>
      <c r="P53" s="41">
        <v>1825</v>
      </c>
      <c r="Q53" s="41" t="s">
        <v>24</v>
      </c>
    </row>
    <row r="54" spans="1:17">
      <c r="A54" s="31" t="s">
        <v>176</v>
      </c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41"/>
      <c r="Q54" s="41"/>
    </row>
    <row r="55" spans="1:17">
      <c r="A55" s="31">
        <v>99061</v>
      </c>
      <c r="B55" s="32" t="s">
        <v>54</v>
      </c>
      <c r="C55" s="32" t="s">
        <v>40</v>
      </c>
      <c r="D55" s="32" t="s">
        <v>23</v>
      </c>
      <c r="E55" s="32" t="s">
        <v>150</v>
      </c>
      <c r="F55" s="32" t="s">
        <v>151</v>
      </c>
      <c r="G55" s="32" t="s">
        <v>28</v>
      </c>
      <c r="H55" s="32" t="s">
        <v>28</v>
      </c>
      <c r="I55" s="32" t="s">
        <v>28</v>
      </c>
      <c r="J55" s="32" t="s">
        <v>133</v>
      </c>
      <c r="K55" s="32" t="s">
        <v>133</v>
      </c>
      <c r="L55" s="32" t="s">
        <v>133</v>
      </c>
      <c r="M55" s="35" t="s">
        <v>160</v>
      </c>
      <c r="N55" s="32" t="s">
        <v>32</v>
      </c>
      <c r="O55" s="32" t="s">
        <v>19</v>
      </c>
      <c r="P55" s="41">
        <v>1825</v>
      </c>
      <c r="Q55" s="41" t="s">
        <v>24</v>
      </c>
    </row>
    <row r="56" spans="1:17">
      <c r="A56" s="31" t="s">
        <v>170</v>
      </c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41"/>
      <c r="Q56" s="41"/>
    </row>
    <row r="57" spans="1:17">
      <c r="A57" s="31">
        <v>99062</v>
      </c>
      <c r="B57" s="32" t="s">
        <v>54</v>
      </c>
      <c r="C57" s="32" t="s">
        <v>40</v>
      </c>
      <c r="D57" s="32" t="s">
        <v>179</v>
      </c>
      <c r="E57" s="32" t="s">
        <v>162</v>
      </c>
      <c r="F57" s="32" t="s">
        <v>163</v>
      </c>
      <c r="G57" s="32" t="s">
        <v>28</v>
      </c>
      <c r="H57" s="32" t="s">
        <v>28</v>
      </c>
      <c r="I57" s="32" t="s">
        <v>28</v>
      </c>
      <c r="J57" s="32" t="s">
        <v>133</v>
      </c>
      <c r="K57" s="32" t="s">
        <v>133</v>
      </c>
      <c r="L57" s="32" t="s">
        <v>133</v>
      </c>
      <c r="M57" s="35" t="s">
        <v>160</v>
      </c>
      <c r="N57" s="32" t="s">
        <v>32</v>
      </c>
      <c r="O57" s="32" t="s">
        <v>19</v>
      </c>
      <c r="P57" s="41">
        <v>1825</v>
      </c>
      <c r="Q57" s="41" t="s">
        <v>24</v>
      </c>
    </row>
    <row r="58" spans="1:17">
      <c r="A58" s="31" t="s">
        <v>169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</row>
    <row r="59" spans="1:17" ht="13.5" customHeight="1">
      <c r="A59" s="31">
        <v>99070</v>
      </c>
      <c r="B59" s="32" t="s">
        <v>54</v>
      </c>
      <c r="C59" s="32" t="s">
        <v>40</v>
      </c>
      <c r="D59" s="32" t="s">
        <v>161</v>
      </c>
      <c r="E59" s="32" t="s">
        <v>164</v>
      </c>
      <c r="F59" s="32" t="s">
        <v>153</v>
      </c>
      <c r="G59" s="32" t="s">
        <v>28</v>
      </c>
      <c r="H59" s="32" t="s">
        <v>28</v>
      </c>
      <c r="I59" s="32" t="s">
        <v>28</v>
      </c>
      <c r="J59" s="32" t="s">
        <v>133</v>
      </c>
      <c r="K59" s="32" t="s">
        <v>133</v>
      </c>
      <c r="L59" s="32" t="s">
        <v>133</v>
      </c>
      <c r="M59" s="35" t="s">
        <v>160</v>
      </c>
      <c r="N59" s="32" t="s">
        <v>32</v>
      </c>
      <c r="O59" s="32" t="s">
        <v>19</v>
      </c>
      <c r="P59" s="41">
        <v>1825</v>
      </c>
      <c r="Q59" s="41" t="s">
        <v>24</v>
      </c>
    </row>
    <row r="60" spans="1:17">
      <c r="A60" s="31">
        <v>99071</v>
      </c>
      <c r="B60" s="32" t="s">
        <v>54</v>
      </c>
      <c r="C60" s="32" t="s">
        <v>40</v>
      </c>
      <c r="D60" s="32" t="s">
        <v>161</v>
      </c>
      <c r="E60" s="32" t="s">
        <v>167</v>
      </c>
      <c r="F60" s="32" t="s">
        <v>154</v>
      </c>
      <c r="G60" s="32" t="s">
        <v>28</v>
      </c>
      <c r="H60" s="32" t="s">
        <v>28</v>
      </c>
      <c r="I60" s="32" t="s">
        <v>28</v>
      </c>
      <c r="J60" s="32" t="s">
        <v>133</v>
      </c>
      <c r="K60" s="32" t="s">
        <v>133</v>
      </c>
      <c r="L60" s="32" t="s">
        <v>133</v>
      </c>
      <c r="M60" s="35" t="s">
        <v>160</v>
      </c>
      <c r="N60" s="32" t="s">
        <v>32</v>
      </c>
      <c r="O60" s="32" t="s">
        <v>19</v>
      </c>
      <c r="P60" s="41">
        <v>1825</v>
      </c>
      <c r="Q60" s="41" t="s">
        <v>24</v>
      </c>
    </row>
    <row r="61" spans="1:17">
      <c r="A61" s="31">
        <v>99072</v>
      </c>
      <c r="B61" s="32" t="s">
        <v>54</v>
      </c>
      <c r="C61" s="32" t="s">
        <v>40</v>
      </c>
      <c r="D61" s="32" t="s">
        <v>161</v>
      </c>
      <c r="E61" s="32" t="s">
        <v>155</v>
      </c>
      <c r="F61" s="32" t="s">
        <v>156</v>
      </c>
      <c r="G61" s="32" t="s">
        <v>28</v>
      </c>
      <c r="H61" s="32" t="s">
        <v>28</v>
      </c>
      <c r="I61" s="32" t="s">
        <v>28</v>
      </c>
      <c r="J61" s="32" t="s">
        <v>133</v>
      </c>
      <c r="K61" s="32" t="s">
        <v>133</v>
      </c>
      <c r="L61" s="32" t="s">
        <v>133</v>
      </c>
      <c r="M61" s="35" t="s">
        <v>160</v>
      </c>
      <c r="N61" s="32" t="s">
        <v>32</v>
      </c>
      <c r="O61" s="32" t="s">
        <v>19</v>
      </c>
      <c r="P61" s="41">
        <v>1825</v>
      </c>
      <c r="Q61" s="41" t="s">
        <v>24</v>
      </c>
    </row>
    <row r="62" spans="1:17">
      <c r="A62" s="31">
        <v>99073</v>
      </c>
      <c r="B62" s="32" t="s">
        <v>54</v>
      </c>
      <c r="C62" s="32" t="s">
        <v>40</v>
      </c>
      <c r="D62" s="32" t="s">
        <v>161</v>
      </c>
      <c r="E62" s="32" t="s">
        <v>168</v>
      </c>
      <c r="F62" s="32" t="s">
        <v>157</v>
      </c>
      <c r="G62" s="32" t="s">
        <v>28</v>
      </c>
      <c r="H62" s="32" t="s">
        <v>28</v>
      </c>
      <c r="I62" s="32" t="s">
        <v>28</v>
      </c>
      <c r="J62" s="32" t="s">
        <v>133</v>
      </c>
      <c r="K62" s="32" t="s">
        <v>133</v>
      </c>
      <c r="L62" s="32" t="s">
        <v>133</v>
      </c>
      <c r="M62" s="35" t="s">
        <v>160</v>
      </c>
      <c r="N62" s="32" t="s">
        <v>32</v>
      </c>
      <c r="O62" s="32" t="s">
        <v>19</v>
      </c>
      <c r="P62" s="41">
        <v>1825</v>
      </c>
      <c r="Q62" s="41" t="s">
        <v>24</v>
      </c>
    </row>
    <row r="63" spans="1:17">
      <c r="A63" s="31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</row>
    <row r="64" spans="1:17">
      <c r="A64" s="31">
        <v>99066</v>
      </c>
      <c r="B64" s="32" t="s">
        <v>54</v>
      </c>
      <c r="C64" s="32" t="s">
        <v>40</v>
      </c>
      <c r="D64" s="32" t="s">
        <v>161</v>
      </c>
      <c r="E64" s="32" t="s">
        <v>164</v>
      </c>
      <c r="F64" s="32" t="s">
        <v>153</v>
      </c>
      <c r="G64" s="32" t="s">
        <v>28</v>
      </c>
      <c r="H64" s="32" t="s">
        <v>28</v>
      </c>
      <c r="I64" s="32" t="s">
        <v>28</v>
      </c>
      <c r="J64" s="32" t="s">
        <v>133</v>
      </c>
      <c r="K64" s="32" t="s">
        <v>133</v>
      </c>
      <c r="L64" s="32" t="s">
        <v>133</v>
      </c>
      <c r="M64" s="32" t="s">
        <v>22</v>
      </c>
      <c r="N64" s="32" t="s">
        <v>32</v>
      </c>
      <c r="O64" s="32" t="s">
        <v>19</v>
      </c>
      <c r="P64" s="41">
        <v>1825</v>
      </c>
      <c r="Q64" s="41" t="s">
        <v>24</v>
      </c>
    </row>
    <row r="65" spans="1:17">
      <c r="A65" s="31">
        <v>99067</v>
      </c>
      <c r="B65" s="32" t="s">
        <v>54</v>
      </c>
      <c r="C65" s="32" t="s">
        <v>40</v>
      </c>
      <c r="D65" s="32" t="s">
        <v>161</v>
      </c>
      <c r="E65" s="32" t="s">
        <v>165</v>
      </c>
      <c r="F65" s="32" t="s">
        <v>154</v>
      </c>
      <c r="G65" s="32" t="s">
        <v>28</v>
      </c>
      <c r="H65" s="32" t="s">
        <v>28</v>
      </c>
      <c r="I65" s="32" t="s">
        <v>28</v>
      </c>
      <c r="J65" s="32" t="s">
        <v>133</v>
      </c>
      <c r="K65" s="32" t="s">
        <v>133</v>
      </c>
      <c r="L65" s="32" t="s">
        <v>133</v>
      </c>
      <c r="M65" s="32" t="s">
        <v>22</v>
      </c>
      <c r="N65" s="32" t="s">
        <v>32</v>
      </c>
      <c r="O65" s="32" t="s">
        <v>19</v>
      </c>
      <c r="P65" s="41">
        <v>1825</v>
      </c>
      <c r="Q65" s="41" t="s">
        <v>24</v>
      </c>
    </row>
    <row r="66" spans="1:17">
      <c r="A66" s="31">
        <v>99068</v>
      </c>
      <c r="B66" s="32" t="s">
        <v>54</v>
      </c>
      <c r="C66" s="32" t="s">
        <v>40</v>
      </c>
      <c r="D66" s="32" t="s">
        <v>161</v>
      </c>
      <c r="E66" s="32" t="s">
        <v>155</v>
      </c>
      <c r="F66" s="32" t="s">
        <v>156</v>
      </c>
      <c r="G66" s="32" t="s">
        <v>28</v>
      </c>
      <c r="H66" s="32" t="s">
        <v>28</v>
      </c>
      <c r="I66" s="32" t="s">
        <v>28</v>
      </c>
      <c r="J66" s="32" t="s">
        <v>133</v>
      </c>
      <c r="K66" s="32" t="s">
        <v>133</v>
      </c>
      <c r="L66" s="32" t="s">
        <v>133</v>
      </c>
      <c r="M66" s="32" t="s">
        <v>22</v>
      </c>
      <c r="N66" s="32" t="s">
        <v>32</v>
      </c>
      <c r="O66" s="32" t="s">
        <v>19</v>
      </c>
      <c r="P66" s="41">
        <v>1825</v>
      </c>
      <c r="Q66" s="41" t="s">
        <v>24</v>
      </c>
    </row>
    <row r="67" spans="1:17">
      <c r="A67" s="31">
        <v>99069</v>
      </c>
      <c r="B67" s="32" t="s">
        <v>54</v>
      </c>
      <c r="C67" s="32" t="s">
        <v>40</v>
      </c>
      <c r="D67" s="32" t="s">
        <v>161</v>
      </c>
      <c r="E67" s="32" t="s">
        <v>166</v>
      </c>
      <c r="F67" s="32" t="s">
        <v>157</v>
      </c>
      <c r="G67" s="32" t="s">
        <v>28</v>
      </c>
      <c r="H67" s="32" t="s">
        <v>28</v>
      </c>
      <c r="I67" s="32" t="s">
        <v>28</v>
      </c>
      <c r="J67" s="32" t="s">
        <v>133</v>
      </c>
      <c r="K67" s="32" t="s">
        <v>133</v>
      </c>
      <c r="L67" s="32" t="s">
        <v>133</v>
      </c>
      <c r="M67" s="32" t="s">
        <v>22</v>
      </c>
      <c r="N67" s="32" t="s">
        <v>32</v>
      </c>
      <c r="O67" s="32" t="s">
        <v>19</v>
      </c>
      <c r="P67" s="41">
        <v>1825</v>
      </c>
      <c r="Q67" s="41" t="s">
        <v>24</v>
      </c>
    </row>
    <row r="68" spans="1:17">
      <c r="A68" s="31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</row>
    <row r="69" spans="1:17">
      <c r="A69" s="31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</row>
    <row r="70" spans="1:17">
      <c r="A70" s="31" t="s">
        <v>111</v>
      </c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</row>
    <row r="71" spans="1:17">
      <c r="A71" s="31" t="s">
        <v>120</v>
      </c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</row>
    <row r="72" spans="1:17">
      <c r="A72" s="31">
        <v>80001</v>
      </c>
      <c r="B72" s="32" t="s">
        <v>123</v>
      </c>
      <c r="C72" s="32" t="s">
        <v>40</v>
      </c>
      <c r="D72" s="32" t="s">
        <v>126</v>
      </c>
      <c r="E72" s="32" t="s">
        <v>112</v>
      </c>
      <c r="F72" s="32" t="s">
        <v>25</v>
      </c>
      <c r="G72" s="32" t="s">
        <v>124</v>
      </c>
      <c r="H72" s="32" t="s">
        <v>112</v>
      </c>
      <c r="I72" s="32" t="s">
        <v>112</v>
      </c>
      <c r="J72" s="32" t="s">
        <v>122</v>
      </c>
      <c r="K72" s="32" t="s">
        <v>25</v>
      </c>
      <c r="L72" s="32" t="s">
        <v>25</v>
      </c>
      <c r="M72" s="32" t="s">
        <v>114</v>
      </c>
      <c r="N72" s="32" t="s">
        <v>126</v>
      </c>
      <c r="O72" s="32" t="s">
        <v>19</v>
      </c>
      <c r="P72" s="41">
        <v>1825</v>
      </c>
      <c r="Q72" s="41" t="s">
        <v>24</v>
      </c>
    </row>
    <row r="73" spans="1:17">
      <c r="A73" s="31">
        <v>80012</v>
      </c>
      <c r="B73" s="32" t="s">
        <v>123</v>
      </c>
      <c r="C73" s="32" t="s">
        <v>40</v>
      </c>
      <c r="D73" s="32" t="s">
        <v>127</v>
      </c>
      <c r="E73" s="32" t="s">
        <v>112</v>
      </c>
      <c r="F73" s="32" t="s">
        <v>25</v>
      </c>
      <c r="G73" s="32" t="s">
        <v>125</v>
      </c>
      <c r="H73" s="32" t="s">
        <v>112</v>
      </c>
      <c r="I73" s="32" t="s">
        <v>112</v>
      </c>
      <c r="J73" s="32" t="s">
        <v>122</v>
      </c>
      <c r="K73" s="32" t="s">
        <v>25</v>
      </c>
      <c r="L73" s="32" t="s">
        <v>25</v>
      </c>
      <c r="M73" s="32" t="s">
        <v>114</v>
      </c>
      <c r="N73" s="32" t="s">
        <v>127</v>
      </c>
      <c r="O73" s="32" t="s">
        <v>19</v>
      </c>
      <c r="P73" s="41">
        <v>1825</v>
      </c>
      <c r="Q73" s="41" t="s">
        <v>24</v>
      </c>
    </row>
    <row r="74" spans="1:17">
      <c r="A74" s="31">
        <v>80123</v>
      </c>
      <c r="B74" s="32" t="s">
        <v>123</v>
      </c>
      <c r="C74" s="32" t="s">
        <v>40</v>
      </c>
      <c r="D74" s="32" t="s">
        <v>115</v>
      </c>
      <c r="E74" s="32" t="s">
        <v>112</v>
      </c>
      <c r="F74" s="32" t="s">
        <v>25</v>
      </c>
      <c r="G74" s="32" t="s">
        <v>125</v>
      </c>
      <c r="H74" s="32" t="s">
        <v>112</v>
      </c>
      <c r="I74" s="32" t="s">
        <v>112</v>
      </c>
      <c r="J74" s="32" t="s">
        <v>122</v>
      </c>
      <c r="K74" s="32" t="s">
        <v>25</v>
      </c>
      <c r="L74" s="32" t="s">
        <v>25</v>
      </c>
      <c r="M74" s="32" t="s">
        <v>114</v>
      </c>
      <c r="N74" s="32" t="s">
        <v>115</v>
      </c>
      <c r="O74" s="32" t="s">
        <v>19</v>
      </c>
      <c r="P74" s="41">
        <v>1825</v>
      </c>
      <c r="Q74" s="41" t="s">
        <v>24</v>
      </c>
    </row>
    <row r="75" spans="1:17">
      <c r="A75" s="31" t="s">
        <v>121</v>
      </c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</row>
    <row r="76" spans="1:17">
      <c r="A76" s="31">
        <v>90001</v>
      </c>
      <c r="B76" s="32" t="s">
        <v>123</v>
      </c>
      <c r="C76" s="32" t="s">
        <v>40</v>
      </c>
      <c r="D76" s="32" t="s">
        <v>116</v>
      </c>
      <c r="E76" s="32" t="s">
        <v>112</v>
      </c>
      <c r="F76" s="32" t="s">
        <v>25</v>
      </c>
      <c r="G76" s="32" t="s">
        <v>125</v>
      </c>
      <c r="H76" s="32" t="s">
        <v>112</v>
      </c>
      <c r="I76" s="32" t="s">
        <v>112</v>
      </c>
      <c r="J76" s="32" t="s">
        <v>122</v>
      </c>
      <c r="K76" s="32" t="s">
        <v>25</v>
      </c>
      <c r="L76" s="32" t="s">
        <v>25</v>
      </c>
      <c r="M76" s="32" t="s">
        <v>119</v>
      </c>
      <c r="N76" s="32" t="s">
        <v>126</v>
      </c>
      <c r="O76" s="32" t="s">
        <v>19</v>
      </c>
      <c r="P76" s="41">
        <v>1825</v>
      </c>
      <c r="Q76" s="41" t="s">
        <v>24</v>
      </c>
    </row>
    <row r="77" spans="1:17">
      <c r="A77" s="31">
        <v>90012</v>
      </c>
      <c r="B77" s="32" t="s">
        <v>123</v>
      </c>
      <c r="C77" s="32" t="s">
        <v>40</v>
      </c>
      <c r="D77" s="32" t="s">
        <v>117</v>
      </c>
      <c r="E77" s="32" t="s">
        <v>112</v>
      </c>
      <c r="F77" s="32" t="s">
        <v>25</v>
      </c>
      <c r="G77" s="32" t="s">
        <v>125</v>
      </c>
      <c r="H77" s="32" t="s">
        <v>112</v>
      </c>
      <c r="I77" s="32" t="s">
        <v>112</v>
      </c>
      <c r="J77" s="32" t="s">
        <v>122</v>
      </c>
      <c r="K77" s="32" t="s">
        <v>25</v>
      </c>
      <c r="L77" s="32" t="s">
        <v>25</v>
      </c>
      <c r="M77" s="32" t="s">
        <v>119</v>
      </c>
      <c r="N77" s="32" t="s">
        <v>127</v>
      </c>
      <c r="O77" s="32" t="s">
        <v>19</v>
      </c>
      <c r="P77" s="41">
        <v>1825</v>
      </c>
      <c r="Q77" s="41" t="s">
        <v>24</v>
      </c>
    </row>
    <row r="78" spans="1:17">
      <c r="A78" s="31">
        <v>90123</v>
      </c>
      <c r="B78" s="32" t="s">
        <v>123</v>
      </c>
      <c r="C78" s="32" t="s">
        <v>40</v>
      </c>
      <c r="D78" s="32" t="s">
        <v>118</v>
      </c>
      <c r="E78" s="32" t="s">
        <v>112</v>
      </c>
      <c r="F78" s="32" t="s">
        <v>25</v>
      </c>
      <c r="G78" s="32" t="s">
        <v>125</v>
      </c>
      <c r="H78" s="32" t="s">
        <v>112</v>
      </c>
      <c r="I78" s="32" t="s">
        <v>112</v>
      </c>
      <c r="J78" s="32" t="s">
        <v>122</v>
      </c>
      <c r="K78" s="32" t="s">
        <v>25</v>
      </c>
      <c r="L78" s="32" t="s">
        <v>25</v>
      </c>
      <c r="M78" s="32" t="s">
        <v>119</v>
      </c>
      <c r="N78" s="32" t="s">
        <v>115</v>
      </c>
      <c r="O78" s="32" t="s">
        <v>19</v>
      </c>
      <c r="P78" s="41">
        <v>1825</v>
      </c>
      <c r="Q78" s="41" t="s">
        <v>24</v>
      </c>
    </row>
  </sheetData>
  <autoFilter ref="A1:Q2"/>
  <phoneticPr fontId="5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B1:AB63"/>
  <sheetViews>
    <sheetView zoomScaleNormal="100"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40" sqref="A40"/>
    </sheetView>
  </sheetViews>
  <sheetFormatPr defaultColWidth="9" defaultRowHeight="17.25"/>
  <cols>
    <col min="1" max="1" width="9" style="64"/>
    <col min="2" max="2" width="7" style="69" customWidth="1"/>
    <col min="3" max="3" width="7" style="138" customWidth="1"/>
    <col min="4" max="4" width="7.6640625" style="138" customWidth="1"/>
    <col min="5" max="5" width="7.33203125" style="138" customWidth="1"/>
    <col min="6" max="8" width="9" style="64"/>
    <col min="9" max="9" width="11.33203125" style="64" customWidth="1"/>
    <col min="10" max="10" width="9.44140625" style="64" customWidth="1"/>
    <col min="11" max="11" width="7.77734375" style="64" customWidth="1"/>
    <col min="12" max="12" width="7.6640625" style="64" customWidth="1"/>
    <col min="13" max="15" width="9" style="64"/>
    <col min="16" max="18" width="0" style="64" hidden="1" customWidth="1"/>
    <col min="19" max="19" width="0.77734375" style="64" customWidth="1"/>
    <col min="20" max="25" width="9" style="64"/>
    <col min="26" max="28" width="0" style="64" hidden="1" customWidth="1"/>
    <col min="29" max="29" width="9" style="64"/>
    <col min="30" max="30" width="9.44140625" style="64" bestFit="1" customWidth="1"/>
    <col min="31" max="16384" width="9" style="64"/>
  </cols>
  <sheetData>
    <row r="1" spans="2:28">
      <c r="B1" s="98"/>
      <c r="C1" s="182" t="s">
        <v>524</v>
      </c>
      <c r="D1" s="183"/>
      <c r="E1" s="184"/>
      <c r="F1" s="173" t="s">
        <v>568</v>
      </c>
      <c r="G1" s="174"/>
      <c r="H1" s="175"/>
      <c r="I1" s="109"/>
      <c r="J1" s="176" t="s">
        <v>517</v>
      </c>
      <c r="K1" s="177"/>
      <c r="L1" s="178"/>
      <c r="M1" s="179" t="s">
        <v>521</v>
      </c>
      <c r="N1" s="180"/>
      <c r="O1" s="181"/>
      <c r="P1" s="179" t="s">
        <v>565</v>
      </c>
      <c r="Q1" s="180"/>
      <c r="R1" s="189"/>
      <c r="S1" s="119"/>
      <c r="T1" s="186" t="s">
        <v>517</v>
      </c>
      <c r="U1" s="187"/>
      <c r="V1" s="188"/>
      <c r="W1" s="170" t="s">
        <v>521</v>
      </c>
      <c r="X1" s="171"/>
      <c r="Y1" s="185"/>
      <c r="Z1" s="170" t="s">
        <v>565</v>
      </c>
      <c r="AA1" s="171"/>
      <c r="AB1" s="172"/>
    </row>
    <row r="2" spans="2:28" s="65" customFormat="1" ht="52.5" thickBot="1">
      <c r="B2" s="99" t="s">
        <v>540</v>
      </c>
      <c r="C2" s="123" t="s">
        <v>525</v>
      </c>
      <c r="D2" s="123" t="s">
        <v>526</v>
      </c>
      <c r="E2" s="124" t="s">
        <v>527</v>
      </c>
      <c r="F2" s="101" t="s">
        <v>523</v>
      </c>
      <c r="G2" s="79" t="s">
        <v>566</v>
      </c>
      <c r="H2" s="80" t="s">
        <v>567</v>
      </c>
      <c r="I2" s="110" t="s">
        <v>522</v>
      </c>
      <c r="J2" s="116" t="s">
        <v>518</v>
      </c>
      <c r="K2" s="81" t="s">
        <v>519</v>
      </c>
      <c r="L2" s="81" t="s">
        <v>520</v>
      </c>
      <c r="M2" s="82" t="s">
        <v>518</v>
      </c>
      <c r="N2" s="82" t="s">
        <v>519</v>
      </c>
      <c r="O2" s="82" t="s">
        <v>520</v>
      </c>
      <c r="P2" s="82" t="s">
        <v>518</v>
      </c>
      <c r="Q2" s="82" t="s">
        <v>519</v>
      </c>
      <c r="R2" s="117" t="s">
        <v>520</v>
      </c>
      <c r="S2" s="120"/>
      <c r="T2" s="116" t="s">
        <v>516</v>
      </c>
      <c r="U2" s="81" t="s">
        <v>562</v>
      </c>
      <c r="V2" s="81" t="s">
        <v>563</v>
      </c>
      <c r="W2" s="82" t="s">
        <v>516</v>
      </c>
      <c r="X2" s="82" t="s">
        <v>564</v>
      </c>
      <c r="Y2" s="82" t="s">
        <v>563</v>
      </c>
      <c r="Z2" s="82" t="s">
        <v>516</v>
      </c>
      <c r="AA2" s="82" t="s">
        <v>564</v>
      </c>
      <c r="AB2" s="117" t="s">
        <v>563</v>
      </c>
    </row>
    <row r="3" spans="2:28">
      <c r="B3" s="84" t="s">
        <v>602</v>
      </c>
      <c r="C3" s="125">
        <v>99100</v>
      </c>
      <c r="D3" s="125"/>
      <c r="E3" s="126"/>
      <c r="F3" s="102">
        <v>0.1</v>
      </c>
      <c r="G3" s="85">
        <v>0.75629999999999997</v>
      </c>
      <c r="H3" s="85">
        <v>0.56269999999999998</v>
      </c>
      <c r="I3" s="145">
        <f t="shared" ref="I3:I8" si="0">G3-H3</f>
        <v>0.19359999999999999</v>
      </c>
      <c r="J3" s="102">
        <v>0.62</v>
      </c>
      <c r="K3" s="85">
        <v>0.31</v>
      </c>
      <c r="L3" s="85">
        <v>0.22</v>
      </c>
      <c r="M3" s="85">
        <v>0.89</v>
      </c>
      <c r="N3" s="85">
        <v>0.44</v>
      </c>
      <c r="O3" s="85">
        <v>0.25</v>
      </c>
      <c r="P3" s="85">
        <v>30048</v>
      </c>
      <c r="Q3" s="85">
        <v>13755</v>
      </c>
      <c r="R3" s="100">
        <v>10918</v>
      </c>
      <c r="S3" s="111"/>
      <c r="T3" s="121"/>
      <c r="U3" s="86"/>
      <c r="V3" s="86"/>
      <c r="W3" s="86"/>
      <c r="X3" s="86"/>
      <c r="Y3" s="87"/>
      <c r="Z3" s="86"/>
      <c r="AA3" s="86"/>
      <c r="AB3" s="87"/>
    </row>
    <row r="4" spans="2:28">
      <c r="B4" s="88" t="s">
        <v>541</v>
      </c>
      <c r="C4" s="127"/>
      <c r="D4" s="127">
        <v>79101</v>
      </c>
      <c r="E4" s="128"/>
      <c r="F4" s="103">
        <v>0.1</v>
      </c>
      <c r="G4" s="66">
        <v>0.58740000000000003</v>
      </c>
      <c r="H4" s="66">
        <v>0.57150000000000001</v>
      </c>
      <c r="I4" s="146">
        <f t="shared" si="0"/>
        <v>1.5900000000000025E-2</v>
      </c>
      <c r="J4" s="103">
        <v>0.6</v>
      </c>
      <c r="K4" s="66">
        <v>0.31</v>
      </c>
      <c r="L4" s="66"/>
      <c r="M4" s="66">
        <v>0.94</v>
      </c>
      <c r="N4" s="66">
        <v>0.62</v>
      </c>
      <c r="O4" s="66"/>
      <c r="P4" s="66"/>
      <c r="Q4" s="66"/>
      <c r="R4" s="90"/>
      <c r="S4" s="112"/>
      <c r="T4" s="118"/>
      <c r="U4" s="68"/>
      <c r="V4" s="68"/>
      <c r="W4" s="68"/>
      <c r="X4" s="68"/>
      <c r="Y4" s="89"/>
      <c r="Z4" s="68"/>
      <c r="AA4" s="68"/>
      <c r="AB4" s="89"/>
    </row>
    <row r="5" spans="2:28">
      <c r="B5" s="88" t="s">
        <v>541</v>
      </c>
      <c r="C5" s="127"/>
      <c r="D5" s="127"/>
      <c r="E5" s="128">
        <v>79201</v>
      </c>
      <c r="F5" s="103">
        <v>0.1</v>
      </c>
      <c r="G5" s="66">
        <v>0.68830000000000002</v>
      </c>
      <c r="H5" s="66">
        <v>0.56310000000000004</v>
      </c>
      <c r="I5" s="146">
        <f t="shared" si="0"/>
        <v>0.12519999999999998</v>
      </c>
      <c r="J5" s="103">
        <v>0.62</v>
      </c>
      <c r="K5" s="66"/>
      <c r="L5" s="66"/>
      <c r="M5" s="66">
        <v>0.91</v>
      </c>
      <c r="N5" s="66"/>
      <c r="O5" s="66"/>
      <c r="P5" s="66"/>
      <c r="Q5" s="66"/>
      <c r="R5" s="90"/>
      <c r="S5" s="112"/>
      <c r="T5" s="118"/>
      <c r="U5" s="68"/>
      <c r="V5" s="68"/>
      <c r="W5" s="68"/>
      <c r="X5" s="68"/>
      <c r="Y5" s="89"/>
      <c r="Z5" s="68"/>
      <c r="AA5" s="68"/>
      <c r="AB5" s="89"/>
    </row>
    <row r="6" spans="2:28">
      <c r="B6" s="95"/>
      <c r="C6" s="129"/>
      <c r="D6" s="129"/>
      <c r="E6" s="130">
        <v>79201</v>
      </c>
      <c r="F6" s="104">
        <v>0.09</v>
      </c>
      <c r="G6" s="96">
        <v>0.61760000000000004</v>
      </c>
      <c r="H6" s="96">
        <v>0.58189999999999997</v>
      </c>
      <c r="I6" s="147">
        <f t="shared" si="0"/>
        <v>3.5700000000000065E-2</v>
      </c>
      <c r="J6" s="104">
        <v>0.62</v>
      </c>
      <c r="K6" s="96"/>
      <c r="L6" s="96"/>
      <c r="M6" s="96">
        <v>0.91</v>
      </c>
      <c r="N6" s="96"/>
      <c r="O6" s="96"/>
      <c r="P6" s="96"/>
      <c r="Q6" s="96"/>
      <c r="R6" s="97"/>
      <c r="S6" s="113"/>
      <c r="T6" s="118"/>
      <c r="U6" s="68"/>
      <c r="V6" s="68"/>
      <c r="W6" s="68"/>
      <c r="X6" s="68"/>
      <c r="Y6" s="89"/>
      <c r="Z6" s="68"/>
      <c r="AA6" s="68"/>
      <c r="AB6" s="89"/>
    </row>
    <row r="7" spans="2:28">
      <c r="B7" s="95"/>
      <c r="C7" s="129" t="s">
        <v>597</v>
      </c>
      <c r="D7" s="129"/>
      <c r="E7" s="130"/>
      <c r="F7" s="104">
        <v>0.1</v>
      </c>
      <c r="G7" s="96">
        <v>0.65169999999999995</v>
      </c>
      <c r="H7" s="96">
        <v>0.54849999999999999</v>
      </c>
      <c r="I7" s="147">
        <f t="shared" si="0"/>
        <v>0.10319999999999996</v>
      </c>
      <c r="J7" s="104">
        <v>0.62</v>
      </c>
      <c r="K7" s="96">
        <v>0.3</v>
      </c>
      <c r="L7" s="96">
        <v>0.22</v>
      </c>
      <c r="M7" s="96">
        <v>0.87</v>
      </c>
      <c r="N7" s="96">
        <v>0.42</v>
      </c>
      <c r="O7" s="96">
        <v>0.25</v>
      </c>
      <c r="P7" s="96"/>
      <c r="Q7" s="96"/>
      <c r="R7" s="97"/>
      <c r="S7" s="113"/>
      <c r="T7" s="118"/>
      <c r="U7" s="68"/>
      <c r="V7" s="68"/>
      <c r="W7" s="68"/>
      <c r="X7" s="68"/>
      <c r="Y7" s="89"/>
      <c r="Z7" s="68"/>
      <c r="AA7" s="68"/>
      <c r="AB7" s="89"/>
    </row>
    <row r="8" spans="2:28">
      <c r="B8" s="95"/>
      <c r="C8" s="129" t="s">
        <v>598</v>
      </c>
      <c r="D8" s="129"/>
      <c r="E8" s="130"/>
      <c r="F8" s="104">
        <v>0.1</v>
      </c>
      <c r="G8" s="96">
        <v>0.55659999999999998</v>
      </c>
      <c r="H8" s="96">
        <v>0.5675</v>
      </c>
      <c r="I8" s="147">
        <f t="shared" si="0"/>
        <v>-1.0900000000000021E-2</v>
      </c>
      <c r="J8" s="104">
        <v>0.6</v>
      </c>
      <c r="K8" s="96">
        <v>0.31</v>
      </c>
      <c r="L8" s="96">
        <v>0.25</v>
      </c>
      <c r="M8" s="96">
        <v>0.92</v>
      </c>
      <c r="N8" s="96">
        <v>0.62</v>
      </c>
      <c r="O8" s="96">
        <v>0.25</v>
      </c>
      <c r="P8" s="96"/>
      <c r="Q8" s="96"/>
      <c r="R8" s="97"/>
      <c r="S8" s="113"/>
      <c r="T8" s="118"/>
      <c r="U8" s="68"/>
      <c r="V8" s="68"/>
      <c r="W8" s="68"/>
      <c r="X8" s="68"/>
      <c r="Y8" s="89"/>
      <c r="Z8" s="68"/>
      <c r="AA8" s="68"/>
      <c r="AB8" s="89"/>
    </row>
    <row r="9" spans="2:28" ht="18" thickBot="1">
      <c r="B9" s="88"/>
      <c r="C9" s="131">
        <v>99103</v>
      </c>
      <c r="D9" s="131"/>
      <c r="E9" s="132"/>
      <c r="F9" s="103">
        <v>0.1</v>
      </c>
      <c r="G9" s="66">
        <v>2.18E-2</v>
      </c>
      <c r="H9" s="66">
        <v>2.1700000000000001E-2</v>
      </c>
      <c r="I9" s="146">
        <v>1E-4</v>
      </c>
      <c r="J9" s="118"/>
      <c r="K9" s="68"/>
      <c r="L9" s="68"/>
      <c r="M9" s="68"/>
      <c r="N9" s="68"/>
      <c r="O9" s="68"/>
      <c r="P9" s="68"/>
      <c r="Q9" s="68"/>
      <c r="R9" s="89"/>
      <c r="S9" s="112"/>
      <c r="T9" s="103">
        <v>7.0000000000000007E-2</v>
      </c>
      <c r="U9" s="66">
        <v>0.04</v>
      </c>
      <c r="V9" s="66">
        <v>0.02</v>
      </c>
      <c r="W9" s="66">
        <v>0.02</v>
      </c>
      <c r="X9" s="66">
        <v>0.01</v>
      </c>
      <c r="Y9" s="90">
        <v>0.01</v>
      </c>
      <c r="Z9" s="66">
        <v>3973</v>
      </c>
      <c r="AA9" s="66">
        <v>2955</v>
      </c>
      <c r="AB9" s="90">
        <v>1524</v>
      </c>
    </row>
    <row r="10" spans="2:28">
      <c r="B10" s="84" t="s">
        <v>602</v>
      </c>
      <c r="C10" s="127">
        <v>90100</v>
      </c>
      <c r="D10" s="127"/>
      <c r="E10" s="128"/>
      <c r="F10" s="103">
        <v>0.02</v>
      </c>
      <c r="G10" s="66">
        <v>0.59450000000000003</v>
      </c>
      <c r="H10" s="66">
        <v>0.57299999999999995</v>
      </c>
      <c r="I10" s="146">
        <f t="shared" ref="I10:I42" si="1">G10-H10</f>
        <v>2.1500000000000075E-2</v>
      </c>
      <c r="J10" s="103">
        <v>0.59</v>
      </c>
      <c r="K10" s="66">
        <v>0.3</v>
      </c>
      <c r="L10" s="66">
        <v>0.23</v>
      </c>
      <c r="M10" s="66">
        <v>0.96</v>
      </c>
      <c r="N10" s="66">
        <v>0.61</v>
      </c>
      <c r="O10" s="66">
        <v>0.3</v>
      </c>
      <c r="P10" s="66">
        <v>30048</v>
      </c>
      <c r="Q10" s="66">
        <v>13755</v>
      </c>
      <c r="R10" s="90">
        <v>10918</v>
      </c>
      <c r="S10" s="112"/>
      <c r="T10" s="118"/>
      <c r="U10" s="68"/>
      <c r="V10" s="68"/>
      <c r="W10" s="68"/>
      <c r="X10" s="68"/>
      <c r="Y10" s="89"/>
      <c r="Z10" s="68"/>
      <c r="AA10" s="68"/>
      <c r="AB10" s="89"/>
    </row>
    <row r="11" spans="2:28">
      <c r="B11" s="88" t="s">
        <v>541</v>
      </c>
      <c r="C11" s="127"/>
      <c r="D11" s="127">
        <v>70101</v>
      </c>
      <c r="E11" s="128"/>
      <c r="F11" s="103">
        <v>0.1</v>
      </c>
      <c r="G11" s="66">
        <v>0.58689999999999998</v>
      </c>
      <c r="H11" s="66">
        <v>0.57240000000000002</v>
      </c>
      <c r="I11" s="146">
        <f t="shared" si="1"/>
        <v>1.4499999999999957E-2</v>
      </c>
      <c r="J11" s="103">
        <v>0.6</v>
      </c>
      <c r="K11" s="66">
        <v>0.31</v>
      </c>
      <c r="L11" s="66"/>
      <c r="M11" s="66">
        <v>0.94</v>
      </c>
      <c r="N11" s="66">
        <v>0.64</v>
      </c>
      <c r="O11" s="66"/>
      <c r="P11" s="66"/>
      <c r="Q11" s="66"/>
      <c r="R11" s="90"/>
      <c r="S11" s="112"/>
      <c r="T11" s="118"/>
      <c r="U11" s="68"/>
      <c r="V11" s="68"/>
      <c r="W11" s="68"/>
      <c r="X11" s="68"/>
      <c r="Y11" s="89"/>
      <c r="Z11" s="68"/>
      <c r="AA11" s="68"/>
      <c r="AB11" s="89"/>
    </row>
    <row r="12" spans="2:28">
      <c r="B12" s="88"/>
      <c r="C12" s="127"/>
      <c r="D12" s="127"/>
      <c r="E12" s="128">
        <v>70201</v>
      </c>
      <c r="F12" s="103"/>
      <c r="G12" s="66"/>
      <c r="H12" s="66"/>
      <c r="I12" s="146">
        <f t="shared" si="1"/>
        <v>0</v>
      </c>
      <c r="J12" s="103"/>
      <c r="K12" s="66"/>
      <c r="L12" s="66"/>
      <c r="M12" s="66"/>
      <c r="N12" s="66"/>
      <c r="O12" s="66"/>
      <c r="P12" s="66"/>
      <c r="Q12" s="66"/>
      <c r="R12" s="90"/>
      <c r="S12" s="112"/>
      <c r="T12" s="118"/>
      <c r="U12" s="68"/>
      <c r="V12" s="68"/>
      <c r="W12" s="68"/>
      <c r="X12" s="68"/>
      <c r="Y12" s="89"/>
      <c r="Z12" s="68"/>
      <c r="AA12" s="68"/>
      <c r="AB12" s="89"/>
    </row>
    <row r="13" spans="2:28">
      <c r="B13" s="91"/>
      <c r="C13" s="131"/>
      <c r="D13" s="131">
        <v>79103</v>
      </c>
      <c r="E13" s="132"/>
      <c r="F13" s="103"/>
      <c r="G13" s="66"/>
      <c r="H13" s="66"/>
      <c r="I13" s="146">
        <f t="shared" si="1"/>
        <v>0</v>
      </c>
      <c r="J13" s="118"/>
      <c r="K13" s="68"/>
      <c r="L13" s="68"/>
      <c r="M13" s="68"/>
      <c r="N13" s="68"/>
      <c r="O13" s="68"/>
      <c r="P13" s="68"/>
      <c r="Q13" s="68"/>
      <c r="R13" s="89"/>
      <c r="S13" s="112"/>
      <c r="T13" s="103"/>
      <c r="U13" s="66"/>
      <c r="V13" s="66"/>
      <c r="W13" s="66"/>
      <c r="X13" s="66"/>
      <c r="Y13" s="90"/>
      <c r="Z13" s="66"/>
      <c r="AA13" s="66"/>
      <c r="AB13" s="90"/>
    </row>
    <row r="14" spans="2:28" ht="18" thickBot="1">
      <c r="B14" s="91"/>
      <c r="C14" s="131"/>
      <c r="D14" s="131"/>
      <c r="E14" s="132">
        <v>79203</v>
      </c>
      <c r="F14" s="103"/>
      <c r="G14" s="66"/>
      <c r="H14" s="66"/>
      <c r="I14" s="146">
        <f t="shared" si="1"/>
        <v>0</v>
      </c>
      <c r="J14" s="118"/>
      <c r="K14" s="68"/>
      <c r="L14" s="68"/>
      <c r="M14" s="68"/>
      <c r="N14" s="68"/>
      <c r="O14" s="68"/>
      <c r="P14" s="68"/>
      <c r="Q14" s="68"/>
      <c r="R14" s="89"/>
      <c r="S14" s="112"/>
      <c r="T14" s="103"/>
      <c r="U14" s="66"/>
      <c r="V14" s="66"/>
      <c r="W14" s="66"/>
      <c r="X14" s="66"/>
      <c r="Y14" s="90"/>
      <c r="Z14" s="66"/>
      <c r="AA14" s="66"/>
      <c r="AB14" s="90"/>
    </row>
    <row r="15" spans="2:28">
      <c r="B15" s="84" t="s">
        <v>602</v>
      </c>
      <c r="C15" s="127">
        <v>90103</v>
      </c>
      <c r="D15" s="127"/>
      <c r="E15" s="128"/>
      <c r="F15" s="103">
        <v>0.01</v>
      </c>
      <c r="G15" s="66">
        <v>0.33939999999999998</v>
      </c>
      <c r="H15" s="66">
        <v>0.10630000000000001</v>
      </c>
      <c r="I15" s="146">
        <f t="shared" si="1"/>
        <v>0.23309999999999997</v>
      </c>
      <c r="J15" s="118"/>
      <c r="K15" s="68"/>
      <c r="L15" s="68"/>
      <c r="M15" s="68"/>
      <c r="N15" s="68"/>
      <c r="O15" s="68"/>
      <c r="P15" s="68"/>
      <c r="Q15" s="68"/>
      <c r="R15" s="89"/>
      <c r="S15" s="112"/>
      <c r="T15" s="103">
        <v>0.13</v>
      </c>
      <c r="U15" s="66"/>
      <c r="V15" s="66"/>
      <c r="W15" s="66">
        <v>0.16</v>
      </c>
      <c r="X15" s="66"/>
      <c r="Y15" s="90"/>
      <c r="Z15" s="66"/>
      <c r="AA15" s="66"/>
      <c r="AB15" s="90"/>
    </row>
    <row r="16" spans="2:28">
      <c r="B16" s="95"/>
      <c r="C16" s="129">
        <v>90103</v>
      </c>
      <c r="D16" s="129"/>
      <c r="E16" s="130"/>
      <c r="F16" s="104">
        <v>7.0000000000000001E-3</v>
      </c>
      <c r="G16" s="96">
        <v>0.25269999999999998</v>
      </c>
      <c r="H16" s="96">
        <v>0.10299999999999999</v>
      </c>
      <c r="I16" s="146">
        <f t="shared" si="1"/>
        <v>0.1497</v>
      </c>
      <c r="J16" s="118"/>
      <c r="K16" s="68"/>
      <c r="L16" s="68"/>
      <c r="M16" s="68"/>
      <c r="N16" s="68"/>
      <c r="O16" s="68"/>
      <c r="P16" s="68"/>
      <c r="Q16" s="68"/>
      <c r="R16" s="89"/>
      <c r="S16" s="113"/>
      <c r="T16" s="104">
        <v>0.13</v>
      </c>
      <c r="U16" s="96">
        <v>0.12</v>
      </c>
      <c r="V16" s="96">
        <v>0.03</v>
      </c>
      <c r="W16" s="96">
        <v>0.28999999999999998</v>
      </c>
      <c r="X16" s="96">
        <v>0.08</v>
      </c>
      <c r="Y16" s="97">
        <v>0</v>
      </c>
      <c r="Z16" s="66">
        <v>3973</v>
      </c>
      <c r="AA16" s="66">
        <v>2955</v>
      </c>
      <c r="AB16" s="90">
        <v>1524</v>
      </c>
    </row>
    <row r="17" spans="2:28">
      <c r="B17" s="88" t="s">
        <v>541</v>
      </c>
      <c r="C17" s="131"/>
      <c r="D17" s="131">
        <v>70103</v>
      </c>
      <c r="E17" s="132"/>
      <c r="F17" s="103">
        <v>0.01</v>
      </c>
      <c r="G17" s="66">
        <v>0.19769999999999999</v>
      </c>
      <c r="H17" s="66">
        <v>0.1139</v>
      </c>
      <c r="I17" s="146">
        <f t="shared" si="1"/>
        <v>8.3799999999999986E-2</v>
      </c>
      <c r="J17" s="118"/>
      <c r="K17" s="68"/>
      <c r="L17" s="68"/>
      <c r="M17" s="68"/>
      <c r="N17" s="68"/>
      <c r="O17" s="68"/>
      <c r="P17" s="68"/>
      <c r="Q17" s="68"/>
      <c r="R17" s="89"/>
      <c r="S17" s="112"/>
      <c r="T17" s="103">
        <v>0.11</v>
      </c>
      <c r="U17" s="66"/>
      <c r="V17" s="66"/>
      <c r="W17" s="66">
        <v>0.6</v>
      </c>
      <c r="X17" s="66"/>
      <c r="Y17" s="90"/>
      <c r="Z17" s="66"/>
      <c r="AA17" s="66"/>
      <c r="AB17" s="90"/>
    </row>
    <row r="18" spans="2:28" ht="18" thickBot="1">
      <c r="B18" s="92"/>
      <c r="C18" s="127"/>
      <c r="D18" s="133"/>
      <c r="E18" s="134">
        <v>70203</v>
      </c>
      <c r="F18" s="105"/>
      <c r="G18" s="93"/>
      <c r="H18" s="93"/>
      <c r="I18" s="146">
        <f t="shared" si="1"/>
        <v>0</v>
      </c>
      <c r="J18" s="105"/>
      <c r="K18" s="93"/>
      <c r="L18" s="93"/>
      <c r="M18" s="93"/>
      <c r="N18" s="93"/>
      <c r="O18" s="93"/>
      <c r="P18" s="93"/>
      <c r="Q18" s="93"/>
      <c r="R18" s="94"/>
      <c r="S18" s="114"/>
      <c r="T18" s="105"/>
      <c r="U18" s="93"/>
      <c r="V18" s="93"/>
      <c r="W18" s="93"/>
      <c r="X18" s="93"/>
      <c r="Y18" s="94"/>
      <c r="Z18" s="93"/>
      <c r="AA18" s="93"/>
      <c r="AB18" s="94"/>
    </row>
    <row r="19" spans="2:28">
      <c r="B19" s="88"/>
      <c r="C19" s="137">
        <v>11100</v>
      </c>
      <c r="D19" s="127"/>
      <c r="E19" s="128"/>
      <c r="F19" s="108">
        <v>0.1</v>
      </c>
      <c r="G19" s="66">
        <v>0.6774</v>
      </c>
      <c r="H19" s="66">
        <v>0.66220000000000001</v>
      </c>
      <c r="I19" s="146">
        <f t="shared" si="1"/>
        <v>1.5199999999999991E-2</v>
      </c>
      <c r="J19" s="103">
        <v>0.69</v>
      </c>
      <c r="K19" s="67">
        <v>0.32</v>
      </c>
      <c r="L19" s="142">
        <v>0.24</v>
      </c>
      <c r="M19" s="66">
        <v>0.73</v>
      </c>
      <c r="N19" s="142">
        <v>0.59</v>
      </c>
      <c r="O19" s="142">
        <v>0.26</v>
      </c>
      <c r="P19" s="67">
        <v>30048</v>
      </c>
      <c r="Q19" s="142">
        <v>13755</v>
      </c>
      <c r="R19" s="143">
        <v>10918</v>
      </c>
      <c r="S19" s="112"/>
      <c r="T19" s="118"/>
      <c r="U19" s="68"/>
      <c r="V19" s="68"/>
      <c r="W19" s="68"/>
      <c r="X19" s="68"/>
      <c r="Y19" s="68"/>
      <c r="Z19" s="68"/>
      <c r="AA19" s="68"/>
      <c r="AB19" s="89"/>
    </row>
    <row r="20" spans="2:28">
      <c r="B20" s="88"/>
      <c r="C20" s="149">
        <v>11200</v>
      </c>
      <c r="D20" s="127"/>
      <c r="E20" s="128"/>
      <c r="F20" s="108">
        <v>0.1</v>
      </c>
      <c r="G20" s="66">
        <v>0.61280000000000001</v>
      </c>
      <c r="H20" s="66">
        <v>0.60119999999999996</v>
      </c>
      <c r="I20" s="146">
        <f t="shared" si="1"/>
        <v>1.1600000000000055E-2</v>
      </c>
      <c r="J20" s="103">
        <v>0.65</v>
      </c>
      <c r="K20" s="67">
        <v>0.32</v>
      </c>
      <c r="L20" s="142">
        <v>0.24</v>
      </c>
      <c r="M20" s="66">
        <v>0.83</v>
      </c>
      <c r="N20" s="142">
        <v>0.59</v>
      </c>
      <c r="O20" s="142">
        <v>0.26</v>
      </c>
      <c r="P20" s="67">
        <v>30048</v>
      </c>
      <c r="Q20" s="142">
        <v>13755</v>
      </c>
      <c r="R20" s="143">
        <v>10918</v>
      </c>
      <c r="S20" s="112"/>
      <c r="T20" s="118"/>
      <c r="U20" s="68"/>
      <c r="V20" s="68"/>
      <c r="W20" s="68"/>
      <c r="X20" s="68"/>
      <c r="Y20" s="68"/>
      <c r="Z20" s="68"/>
      <c r="AA20" s="68"/>
      <c r="AB20" s="89"/>
    </row>
    <row r="21" spans="2:28">
      <c r="B21" s="88"/>
      <c r="C21" s="137">
        <v>11300</v>
      </c>
      <c r="D21" s="127"/>
      <c r="E21" s="128"/>
      <c r="F21" s="108">
        <v>0.1</v>
      </c>
      <c r="G21" s="66">
        <v>0.58450000000000002</v>
      </c>
      <c r="H21" s="66">
        <v>0.57709999999999995</v>
      </c>
      <c r="I21" s="146">
        <f t="shared" si="1"/>
        <v>7.4000000000000732E-3</v>
      </c>
      <c r="J21" s="103">
        <v>0.63</v>
      </c>
      <c r="K21" s="67">
        <v>0.32</v>
      </c>
      <c r="L21" s="142">
        <v>0.24</v>
      </c>
      <c r="M21" s="66">
        <v>0.89</v>
      </c>
      <c r="N21" s="142">
        <v>0.59</v>
      </c>
      <c r="O21" s="142">
        <v>0.26</v>
      </c>
      <c r="P21" s="67">
        <v>30048</v>
      </c>
      <c r="Q21" s="142">
        <v>13755</v>
      </c>
      <c r="R21" s="143">
        <v>10918</v>
      </c>
      <c r="S21" s="112"/>
      <c r="T21" s="118"/>
      <c r="U21" s="68"/>
      <c r="V21" s="68"/>
      <c r="W21" s="68"/>
      <c r="X21" s="68"/>
      <c r="Y21" s="68"/>
      <c r="Z21" s="68"/>
      <c r="AA21" s="68"/>
      <c r="AB21" s="89"/>
    </row>
    <row r="22" spans="2:28">
      <c r="B22" s="88"/>
      <c r="C22" s="137">
        <v>11400</v>
      </c>
      <c r="D22" s="127"/>
      <c r="E22" s="128"/>
      <c r="F22" s="108">
        <v>0.1</v>
      </c>
      <c r="G22" s="66">
        <v>0.57789999999999997</v>
      </c>
      <c r="H22" s="66">
        <v>0.57230000000000003</v>
      </c>
      <c r="I22" s="146">
        <f t="shared" si="1"/>
        <v>5.5999999999999384E-3</v>
      </c>
      <c r="J22" s="103">
        <v>0.62</v>
      </c>
      <c r="K22" s="67">
        <v>0.32</v>
      </c>
      <c r="L22" s="142">
        <v>0.24</v>
      </c>
      <c r="M22" s="66">
        <v>0.91</v>
      </c>
      <c r="N22" s="142">
        <v>0.59</v>
      </c>
      <c r="O22" s="142">
        <v>0.26</v>
      </c>
      <c r="P22" s="67">
        <v>30048</v>
      </c>
      <c r="Q22" s="142">
        <v>13755</v>
      </c>
      <c r="R22" s="143">
        <v>10918</v>
      </c>
      <c r="S22" s="112"/>
      <c r="T22" s="118"/>
      <c r="U22" s="68"/>
      <c r="V22" s="68"/>
      <c r="W22" s="68"/>
      <c r="X22" s="68"/>
      <c r="Y22" s="68"/>
      <c r="Z22" s="68"/>
      <c r="AA22" s="68"/>
      <c r="AB22" s="89"/>
    </row>
    <row r="23" spans="2:28">
      <c r="B23" s="106"/>
      <c r="C23" s="150">
        <v>11603</v>
      </c>
      <c r="D23" s="135"/>
      <c r="E23" s="136"/>
      <c r="F23" s="108">
        <v>0.1</v>
      </c>
      <c r="G23" s="83">
        <v>0.57869999999999999</v>
      </c>
      <c r="H23" s="83">
        <v>0.57120000000000004</v>
      </c>
      <c r="I23" s="146">
        <f t="shared" si="1"/>
        <v>7.4999999999999512E-3</v>
      </c>
      <c r="J23" s="108">
        <v>0.61</v>
      </c>
      <c r="K23" s="83">
        <v>0.32</v>
      </c>
      <c r="L23" s="83">
        <v>0.24</v>
      </c>
      <c r="M23" s="83">
        <v>0.91</v>
      </c>
      <c r="N23" s="83">
        <v>0.59</v>
      </c>
      <c r="O23" s="83">
        <v>0.26</v>
      </c>
      <c r="P23" s="83">
        <v>30048</v>
      </c>
      <c r="Q23" s="83">
        <v>13755</v>
      </c>
      <c r="R23" s="107">
        <v>10918</v>
      </c>
      <c r="S23" s="115"/>
      <c r="T23" s="139"/>
      <c r="U23" s="140"/>
      <c r="V23" s="140"/>
      <c r="W23" s="140"/>
      <c r="X23" s="140"/>
      <c r="Y23" s="140"/>
      <c r="Z23" s="140"/>
      <c r="AA23" s="140"/>
      <c r="AB23" s="141"/>
    </row>
    <row r="24" spans="2:28">
      <c r="B24" s="88"/>
      <c r="C24" s="122">
        <v>13100</v>
      </c>
      <c r="D24" s="127"/>
      <c r="E24" s="128"/>
      <c r="F24" s="108">
        <v>0.1</v>
      </c>
      <c r="G24" s="66">
        <v>0.51829999999999998</v>
      </c>
      <c r="H24" s="66">
        <v>0.44</v>
      </c>
      <c r="I24" s="146">
        <f t="shared" si="1"/>
        <v>7.8299999999999981E-2</v>
      </c>
      <c r="J24" s="118"/>
      <c r="K24" s="68"/>
      <c r="L24" s="68"/>
      <c r="M24" s="68"/>
      <c r="N24" s="68"/>
      <c r="O24" s="68"/>
      <c r="P24" s="68"/>
      <c r="Q24" s="68"/>
      <c r="R24" s="89"/>
      <c r="S24" s="112"/>
      <c r="T24" s="103">
        <v>0.21</v>
      </c>
      <c r="U24" s="66">
        <v>0.17</v>
      </c>
      <c r="V24" s="66">
        <v>0.16</v>
      </c>
      <c r="W24" s="66">
        <v>0.03</v>
      </c>
      <c r="X24" s="66">
        <v>0.02</v>
      </c>
      <c r="Y24" s="66">
        <v>0.01</v>
      </c>
      <c r="Z24" s="67">
        <v>3973</v>
      </c>
      <c r="AA24" s="67">
        <v>2955</v>
      </c>
      <c r="AB24" s="144">
        <v>1524</v>
      </c>
    </row>
    <row r="25" spans="2:28">
      <c r="B25" s="88"/>
      <c r="C25" s="122">
        <v>13100</v>
      </c>
      <c r="D25" s="127"/>
      <c r="E25" s="128"/>
      <c r="F25" s="103">
        <v>0.05</v>
      </c>
      <c r="G25" s="66">
        <v>0.48399999999999999</v>
      </c>
      <c r="H25" s="66">
        <v>0.44330000000000003</v>
      </c>
      <c r="I25" s="146">
        <f t="shared" si="1"/>
        <v>4.0699999999999958E-2</v>
      </c>
      <c r="J25" s="118"/>
      <c r="K25" s="68"/>
      <c r="L25" s="68"/>
      <c r="M25" s="68"/>
      <c r="N25" s="68"/>
      <c r="O25" s="68"/>
      <c r="P25" s="68"/>
      <c r="Q25" s="68"/>
      <c r="R25" s="89"/>
      <c r="S25" s="112"/>
      <c r="T25" s="103">
        <v>0.24</v>
      </c>
      <c r="U25" s="66">
        <v>0.16</v>
      </c>
      <c r="V25" s="66">
        <v>0.27</v>
      </c>
      <c r="W25" s="66">
        <v>0.02</v>
      </c>
      <c r="X25" s="66">
        <v>0.01</v>
      </c>
      <c r="Y25" s="66">
        <v>0</v>
      </c>
      <c r="Z25" s="67"/>
      <c r="AA25" s="67"/>
      <c r="AB25" s="144"/>
    </row>
    <row r="26" spans="2:28" ht="18" thickBot="1">
      <c r="B26" s="88"/>
      <c r="C26" s="122">
        <v>13200</v>
      </c>
      <c r="D26" s="127"/>
      <c r="E26" s="128"/>
      <c r="F26" s="108">
        <v>0.1</v>
      </c>
      <c r="G26" s="66">
        <v>0.46129999999999999</v>
      </c>
      <c r="H26" s="66">
        <v>0.28260000000000002</v>
      </c>
      <c r="I26" s="146">
        <f t="shared" si="1"/>
        <v>0.17869999999999997</v>
      </c>
      <c r="J26" s="118"/>
      <c r="K26" s="68"/>
      <c r="L26" s="68"/>
      <c r="M26" s="68"/>
      <c r="N26" s="68"/>
      <c r="O26" s="68"/>
      <c r="P26" s="68"/>
      <c r="Q26" s="68"/>
      <c r="R26" s="89"/>
      <c r="S26" s="112"/>
      <c r="T26" s="103">
        <v>0.19</v>
      </c>
      <c r="U26" s="66">
        <v>0.16</v>
      </c>
      <c r="V26" s="66">
        <v>0.09</v>
      </c>
      <c r="W26" s="66">
        <v>0.11</v>
      </c>
      <c r="X26" s="66">
        <v>0.05</v>
      </c>
      <c r="Y26" s="66">
        <v>0.01</v>
      </c>
      <c r="Z26" s="67">
        <v>3973</v>
      </c>
      <c r="AA26" s="67">
        <v>2955</v>
      </c>
      <c r="AB26" s="144">
        <v>1524</v>
      </c>
    </row>
    <row r="27" spans="2:28">
      <c r="B27" s="84" t="s">
        <v>602</v>
      </c>
      <c r="C27" s="148">
        <v>13200</v>
      </c>
      <c r="D27" s="127"/>
      <c r="E27" s="128"/>
      <c r="F27" s="108">
        <v>0.05</v>
      </c>
      <c r="G27" s="66">
        <v>0.37369999999999998</v>
      </c>
      <c r="H27" s="66">
        <v>0.30180000000000001</v>
      </c>
      <c r="I27" s="146">
        <f t="shared" si="1"/>
        <v>7.1899999999999964E-2</v>
      </c>
      <c r="J27" s="118"/>
      <c r="K27" s="68"/>
      <c r="L27" s="68"/>
      <c r="M27" s="68"/>
      <c r="N27" s="68"/>
      <c r="O27" s="68"/>
      <c r="P27" s="68"/>
      <c r="Q27" s="68"/>
      <c r="R27" s="89"/>
      <c r="S27" s="112"/>
      <c r="T27" s="103">
        <v>0.2</v>
      </c>
      <c r="U27" s="66">
        <v>0.17</v>
      </c>
      <c r="V27" s="66">
        <v>0.17</v>
      </c>
      <c r="W27" s="66">
        <v>0.1</v>
      </c>
      <c r="X27" s="66">
        <v>0.04</v>
      </c>
      <c r="Y27" s="66">
        <v>0.01</v>
      </c>
      <c r="Z27" s="67"/>
      <c r="AA27" s="67"/>
      <c r="AB27" s="144"/>
    </row>
    <row r="28" spans="2:28">
      <c r="B28" s="88"/>
      <c r="C28" s="122">
        <v>13200</v>
      </c>
      <c r="D28" s="127"/>
      <c r="E28" s="128"/>
      <c r="F28" s="108">
        <v>7.0000000000000007E-2</v>
      </c>
      <c r="G28" s="66">
        <v>0.41039999999999999</v>
      </c>
      <c r="H28" s="66">
        <v>0.29809999999999998</v>
      </c>
      <c r="I28" s="146">
        <f t="shared" si="1"/>
        <v>0.11230000000000001</v>
      </c>
      <c r="J28" s="118"/>
      <c r="K28" s="68"/>
      <c r="L28" s="68"/>
      <c r="M28" s="68"/>
      <c r="N28" s="68"/>
      <c r="O28" s="68"/>
      <c r="P28" s="68"/>
      <c r="Q28" s="68"/>
      <c r="R28" s="89"/>
      <c r="S28" s="112"/>
      <c r="T28" s="103">
        <v>0.2</v>
      </c>
      <c r="U28" s="66">
        <v>0.16</v>
      </c>
      <c r="V28" s="66">
        <v>0.12</v>
      </c>
      <c r="W28" s="66">
        <v>0.11</v>
      </c>
      <c r="X28" s="66">
        <v>0.04</v>
      </c>
      <c r="Y28" s="66">
        <v>0.02</v>
      </c>
      <c r="Z28" s="67"/>
      <c r="AA28" s="67"/>
      <c r="AB28" s="144"/>
    </row>
    <row r="29" spans="2:28">
      <c r="B29" s="88"/>
      <c r="C29" s="122">
        <v>13300</v>
      </c>
      <c r="D29" s="127"/>
      <c r="E29" s="128"/>
      <c r="F29" s="108">
        <v>0.1</v>
      </c>
      <c r="G29" s="66">
        <v>0.47199999999999998</v>
      </c>
      <c r="H29" s="66">
        <v>0.1605</v>
      </c>
      <c r="I29" s="146">
        <f t="shared" si="1"/>
        <v>0.3115</v>
      </c>
      <c r="J29" s="118"/>
      <c r="K29" s="68"/>
      <c r="L29" s="68"/>
      <c r="M29" s="68"/>
      <c r="N29" s="68"/>
      <c r="O29" s="68"/>
      <c r="P29" s="68"/>
      <c r="Q29" s="68"/>
      <c r="R29" s="89"/>
      <c r="S29" s="112"/>
      <c r="T29" s="103">
        <v>0.16</v>
      </c>
      <c r="U29" s="66">
        <v>0.15</v>
      </c>
      <c r="V29" s="66">
        <v>0.11</v>
      </c>
      <c r="W29" s="66">
        <v>0.22</v>
      </c>
      <c r="X29" s="66">
        <v>0.08</v>
      </c>
      <c r="Y29" s="66">
        <v>0.02</v>
      </c>
      <c r="Z29" s="67">
        <v>3973</v>
      </c>
      <c r="AA29" s="67">
        <v>2955</v>
      </c>
      <c r="AB29" s="144">
        <v>1524</v>
      </c>
    </row>
    <row r="30" spans="2:28">
      <c r="B30" s="88"/>
      <c r="C30" s="122">
        <v>13300</v>
      </c>
      <c r="D30" s="127"/>
      <c r="E30" s="128"/>
      <c r="F30" s="108">
        <v>7.0000000000000007E-2</v>
      </c>
      <c r="G30" s="66">
        <v>0.41199999999999998</v>
      </c>
      <c r="H30" s="66">
        <v>0.18390000000000001</v>
      </c>
      <c r="I30" s="146">
        <f t="shared" si="1"/>
        <v>0.22809999999999997</v>
      </c>
      <c r="J30" s="118"/>
      <c r="K30" s="68"/>
      <c r="L30" s="68"/>
      <c r="M30" s="68"/>
      <c r="N30" s="68"/>
      <c r="O30" s="68"/>
      <c r="P30" s="68"/>
      <c r="Q30" s="68"/>
      <c r="R30" s="89"/>
      <c r="S30" s="112"/>
      <c r="T30" s="103">
        <v>0.16</v>
      </c>
      <c r="U30" s="66">
        <v>0.15</v>
      </c>
      <c r="V30" s="66">
        <v>0.13</v>
      </c>
      <c r="W30" s="66">
        <v>0.25</v>
      </c>
      <c r="X30" s="66">
        <v>0.08</v>
      </c>
      <c r="Y30" s="66">
        <v>0.02</v>
      </c>
      <c r="Z30" s="67"/>
      <c r="AA30" s="67"/>
      <c r="AB30" s="144"/>
    </row>
    <row r="31" spans="2:28">
      <c r="B31" s="88"/>
      <c r="C31" s="122">
        <v>13300</v>
      </c>
      <c r="D31" s="127"/>
      <c r="E31" s="128"/>
      <c r="F31" s="108">
        <v>0.05</v>
      </c>
      <c r="G31" s="66">
        <v>0.34670000000000001</v>
      </c>
      <c r="H31" s="66">
        <v>0.18959999999999999</v>
      </c>
      <c r="I31" s="146">
        <f t="shared" si="1"/>
        <v>0.15710000000000002</v>
      </c>
      <c r="J31" s="118"/>
      <c r="K31" s="68"/>
      <c r="L31" s="68"/>
      <c r="M31" s="68"/>
      <c r="N31" s="68"/>
      <c r="O31" s="68"/>
      <c r="P31" s="68"/>
      <c r="Q31" s="68"/>
      <c r="R31" s="89"/>
      <c r="S31" s="112"/>
      <c r="T31" s="103">
        <v>0.17</v>
      </c>
      <c r="U31" s="66">
        <v>0.16</v>
      </c>
      <c r="V31" s="66">
        <v>0.13</v>
      </c>
      <c r="W31" s="66">
        <v>0.25</v>
      </c>
      <c r="X31" s="66">
        <v>7.0000000000000007E-2</v>
      </c>
      <c r="Y31" s="66">
        <v>0.02</v>
      </c>
      <c r="Z31" s="67"/>
      <c r="AA31" s="67"/>
      <c r="AB31" s="144"/>
    </row>
    <row r="32" spans="2:28">
      <c r="B32" s="88"/>
      <c r="C32" s="122">
        <v>13300</v>
      </c>
      <c r="D32" s="127"/>
      <c r="E32" s="128"/>
      <c r="F32" s="108">
        <v>0.01</v>
      </c>
      <c r="G32" s="66">
        <v>0.20630000000000001</v>
      </c>
      <c r="H32" s="66">
        <v>0.18140000000000001</v>
      </c>
      <c r="I32" s="146">
        <f t="shared" si="1"/>
        <v>2.4900000000000005E-2</v>
      </c>
      <c r="J32" s="118"/>
      <c r="K32" s="68"/>
      <c r="L32" s="68"/>
      <c r="M32" s="68"/>
      <c r="N32" s="68"/>
      <c r="O32" s="68"/>
      <c r="P32" s="68"/>
      <c r="Q32" s="68"/>
      <c r="R32" s="89"/>
      <c r="S32" s="112"/>
      <c r="T32" s="103">
        <v>0.25</v>
      </c>
      <c r="U32" s="66">
        <v>0.13</v>
      </c>
      <c r="V32" s="66">
        <v>0.5</v>
      </c>
      <c r="W32" s="66">
        <v>0.03</v>
      </c>
      <c r="X32" s="66">
        <v>0</v>
      </c>
      <c r="Y32" s="66">
        <v>0</v>
      </c>
      <c r="Z32" s="67"/>
      <c r="AA32" s="67"/>
      <c r="AB32" s="144"/>
    </row>
    <row r="33" spans="2:28">
      <c r="B33" s="88"/>
      <c r="C33" s="122">
        <v>13400</v>
      </c>
      <c r="D33" s="127"/>
      <c r="E33" s="128"/>
      <c r="F33" s="108">
        <v>0.1</v>
      </c>
      <c r="G33" s="66">
        <v>0.52229999999999999</v>
      </c>
      <c r="H33" s="66">
        <v>8.4000000000000005E-2</v>
      </c>
      <c r="I33" s="146">
        <f t="shared" si="1"/>
        <v>0.43829999999999997</v>
      </c>
      <c r="J33" s="118"/>
      <c r="K33" s="68"/>
      <c r="L33" s="68"/>
      <c r="M33" s="68"/>
      <c r="N33" s="68"/>
      <c r="O33" s="68"/>
      <c r="P33" s="68"/>
      <c r="Q33" s="68"/>
      <c r="R33" s="89"/>
      <c r="S33" s="112"/>
      <c r="T33" s="103">
        <v>0.14000000000000001</v>
      </c>
      <c r="U33" s="66">
        <v>0.12</v>
      </c>
      <c r="V33" s="66">
        <v>0.09</v>
      </c>
      <c r="W33" s="66">
        <v>0.28999999999999998</v>
      </c>
      <c r="X33" s="66">
        <v>0.14000000000000001</v>
      </c>
      <c r="Y33" s="66">
        <v>0.04</v>
      </c>
      <c r="Z33" s="67">
        <v>3973</v>
      </c>
      <c r="AA33" s="67">
        <v>2955</v>
      </c>
      <c r="AB33" s="144">
        <v>1524</v>
      </c>
    </row>
    <row r="34" spans="2:28">
      <c r="B34" s="88"/>
      <c r="C34" s="152">
        <v>13600</v>
      </c>
      <c r="D34" s="127"/>
      <c r="E34" s="128"/>
      <c r="F34" s="108">
        <v>0.1</v>
      </c>
      <c r="G34" s="66">
        <v>0.1129</v>
      </c>
      <c r="H34" s="66">
        <v>6.5699999999999995E-2</v>
      </c>
      <c r="I34" s="146">
        <f t="shared" si="1"/>
        <v>4.7200000000000006E-2</v>
      </c>
      <c r="J34" s="118"/>
      <c r="K34" s="68"/>
      <c r="L34" s="68"/>
      <c r="M34" s="68"/>
      <c r="N34" s="68"/>
      <c r="O34" s="68"/>
      <c r="P34" s="68"/>
      <c r="Q34" s="68"/>
      <c r="R34" s="89"/>
      <c r="S34" s="112"/>
      <c r="T34" s="103">
        <v>0.12</v>
      </c>
      <c r="U34" s="66">
        <v>0.1</v>
      </c>
      <c r="V34" s="66">
        <v>0.09</v>
      </c>
      <c r="W34" s="66">
        <v>0.43</v>
      </c>
      <c r="X34" s="66">
        <v>0.16</v>
      </c>
      <c r="Y34" s="66">
        <v>0.02</v>
      </c>
      <c r="Z34" s="66">
        <v>3973</v>
      </c>
      <c r="AA34" s="66">
        <v>2955</v>
      </c>
      <c r="AB34" s="90">
        <v>1524</v>
      </c>
    </row>
    <row r="35" spans="2:28" ht="18" thickBot="1">
      <c r="B35" s="88"/>
      <c r="C35" s="150" t="s">
        <v>577</v>
      </c>
      <c r="D35" s="127"/>
      <c r="E35" s="128"/>
      <c r="F35" s="103">
        <v>0.1</v>
      </c>
      <c r="G35" s="66">
        <v>0.66579999999999995</v>
      </c>
      <c r="H35" s="66">
        <v>0.55820000000000003</v>
      </c>
      <c r="I35" s="66">
        <f t="shared" si="1"/>
        <v>0.10759999999999992</v>
      </c>
      <c r="J35" s="103">
        <v>0.61</v>
      </c>
      <c r="K35" s="66">
        <v>0.3</v>
      </c>
      <c r="L35" s="66">
        <v>0.21</v>
      </c>
      <c r="M35" s="66">
        <v>0.91</v>
      </c>
      <c r="N35" s="66">
        <v>0.48</v>
      </c>
      <c r="O35" s="66">
        <v>0.25</v>
      </c>
      <c r="P35" s="66">
        <v>30048</v>
      </c>
      <c r="Q35" s="66">
        <v>13755</v>
      </c>
      <c r="R35" s="90">
        <v>10918</v>
      </c>
      <c r="S35" s="112"/>
      <c r="T35" s="118"/>
      <c r="U35" s="68"/>
      <c r="V35" s="68"/>
      <c r="W35" s="68"/>
      <c r="X35" s="68"/>
      <c r="Y35" s="68"/>
      <c r="Z35" s="68"/>
      <c r="AA35" s="68"/>
      <c r="AB35" s="89"/>
    </row>
    <row r="36" spans="2:28">
      <c r="B36" s="84" t="s">
        <v>602</v>
      </c>
      <c r="C36" s="151" t="s">
        <v>578</v>
      </c>
      <c r="D36" s="127"/>
      <c r="E36" s="128"/>
      <c r="F36" s="103">
        <v>0.1</v>
      </c>
      <c r="G36" s="66">
        <v>0.88100000000000001</v>
      </c>
      <c r="H36" s="66">
        <v>7.8E-2</v>
      </c>
      <c r="I36" s="112">
        <f t="shared" si="1"/>
        <v>0.80300000000000005</v>
      </c>
      <c r="J36" s="118"/>
      <c r="K36" s="68"/>
      <c r="L36" s="68"/>
      <c r="M36" s="68"/>
      <c r="N36" s="68"/>
      <c r="O36" s="68"/>
      <c r="P36" s="68"/>
      <c r="Q36" s="68"/>
      <c r="R36" s="89"/>
      <c r="S36" s="112"/>
      <c r="T36" s="103">
        <v>0.1</v>
      </c>
      <c r="U36" s="66">
        <v>7.0000000000000007E-2</v>
      </c>
      <c r="V36" s="66">
        <v>0.05</v>
      </c>
      <c r="W36" s="66">
        <v>0.22</v>
      </c>
      <c r="X36" s="66">
        <v>0.11</v>
      </c>
      <c r="Y36" s="66">
        <v>0.05</v>
      </c>
      <c r="Z36" s="66"/>
      <c r="AA36" s="66"/>
      <c r="AB36" s="90"/>
    </row>
    <row r="37" spans="2:28">
      <c r="B37" s="88"/>
      <c r="C37" s="127" t="s">
        <v>593</v>
      </c>
      <c r="D37" s="127"/>
      <c r="E37" s="128"/>
      <c r="F37" s="103">
        <v>0.1</v>
      </c>
      <c r="G37" s="66">
        <v>0.58630000000000004</v>
      </c>
      <c r="H37" s="66">
        <v>0.5736</v>
      </c>
      <c r="I37" s="112">
        <f t="shared" si="1"/>
        <v>1.2700000000000045E-2</v>
      </c>
      <c r="J37" s="103">
        <v>0.62</v>
      </c>
      <c r="K37" s="66">
        <v>0.32</v>
      </c>
      <c r="L37" s="66">
        <v>0.25</v>
      </c>
      <c r="M37" s="66">
        <v>0.91</v>
      </c>
      <c r="N37" s="66">
        <v>0.57999999999999996</v>
      </c>
      <c r="O37" s="66">
        <v>0.26</v>
      </c>
      <c r="P37" s="66"/>
      <c r="Q37" s="66"/>
      <c r="R37" s="90"/>
      <c r="S37" s="112"/>
      <c r="T37" s="103"/>
      <c r="U37" s="66"/>
      <c r="V37" s="66"/>
      <c r="W37" s="66"/>
      <c r="X37" s="66"/>
      <c r="Y37" s="66"/>
      <c r="Z37" s="66"/>
      <c r="AA37" s="66"/>
      <c r="AB37" s="90"/>
    </row>
    <row r="38" spans="2:28">
      <c r="B38" s="88" t="s">
        <v>541</v>
      </c>
      <c r="C38" s="127" t="s">
        <v>594</v>
      </c>
      <c r="D38" s="127"/>
      <c r="E38" s="128"/>
      <c r="F38" s="103">
        <v>0.1</v>
      </c>
      <c r="G38" s="66">
        <v>0.75970000000000004</v>
      </c>
      <c r="H38" s="66">
        <v>0.56289999999999996</v>
      </c>
      <c r="I38" s="112">
        <f t="shared" si="1"/>
        <v>0.19680000000000009</v>
      </c>
      <c r="J38" s="103">
        <v>0.62</v>
      </c>
      <c r="K38" s="66">
        <v>0.31</v>
      </c>
      <c r="L38" s="66">
        <v>0.23</v>
      </c>
      <c r="M38" s="66">
        <v>0.89</v>
      </c>
      <c r="N38" s="66">
        <v>0.44</v>
      </c>
      <c r="O38" s="66">
        <v>0.26</v>
      </c>
      <c r="P38" s="66"/>
      <c r="Q38" s="66"/>
      <c r="R38" s="90"/>
      <c r="S38" s="112"/>
      <c r="T38" s="103"/>
      <c r="U38" s="66"/>
      <c r="V38" s="66"/>
      <c r="W38" s="66"/>
      <c r="X38" s="66"/>
      <c r="Y38" s="66"/>
      <c r="Z38" s="66"/>
      <c r="AA38" s="66"/>
      <c r="AB38" s="90"/>
    </row>
    <row r="39" spans="2:28">
      <c r="B39" s="88" t="s">
        <v>541</v>
      </c>
      <c r="C39" s="127" t="s">
        <v>595</v>
      </c>
      <c r="D39" s="127"/>
      <c r="E39" s="128"/>
      <c r="F39" s="103">
        <v>0.1</v>
      </c>
      <c r="G39" s="66">
        <v>0.73699999999999999</v>
      </c>
      <c r="H39" s="66">
        <v>0.55889999999999995</v>
      </c>
      <c r="I39" s="112">
        <f t="shared" si="1"/>
        <v>0.17810000000000004</v>
      </c>
      <c r="J39" s="103">
        <v>0.62</v>
      </c>
      <c r="K39" s="66">
        <v>0.31</v>
      </c>
      <c r="L39" s="66">
        <v>0.23</v>
      </c>
      <c r="M39" s="66">
        <v>0.88</v>
      </c>
      <c r="N39" s="66">
        <v>0.44</v>
      </c>
      <c r="O39" s="66">
        <v>0.27</v>
      </c>
      <c r="P39" s="66"/>
      <c r="Q39" s="66"/>
      <c r="R39" s="90"/>
      <c r="S39" s="112"/>
      <c r="T39" s="103"/>
      <c r="U39" s="66"/>
      <c r="V39" s="66"/>
      <c r="W39" s="66"/>
      <c r="X39" s="66"/>
      <c r="Y39" s="66"/>
      <c r="Z39" s="66"/>
      <c r="AA39" s="66"/>
      <c r="AB39" s="90"/>
    </row>
    <row r="40" spans="2:28" ht="18" thickBot="1">
      <c r="B40" s="88" t="s">
        <v>541</v>
      </c>
      <c r="C40" s="127" t="s">
        <v>596</v>
      </c>
      <c r="D40" s="127"/>
      <c r="E40" s="128"/>
      <c r="F40" s="103">
        <v>0.1</v>
      </c>
      <c r="G40" s="66">
        <v>0.57940000000000003</v>
      </c>
      <c r="H40" s="66">
        <v>0.57199999999999995</v>
      </c>
      <c r="I40" s="112">
        <f t="shared" si="1"/>
        <v>7.4000000000000732E-3</v>
      </c>
      <c r="J40" s="103">
        <v>0.61</v>
      </c>
      <c r="K40" s="66">
        <v>0.32</v>
      </c>
      <c r="L40" s="66">
        <v>0.25</v>
      </c>
      <c r="M40" s="66">
        <v>0.92</v>
      </c>
      <c r="N40" s="66">
        <v>0.59</v>
      </c>
      <c r="O40" s="66">
        <v>0.26</v>
      </c>
      <c r="P40" s="66"/>
      <c r="Q40" s="66"/>
      <c r="R40" s="90"/>
      <c r="S40" s="112"/>
      <c r="T40" s="103"/>
      <c r="U40" s="66"/>
      <c r="V40" s="66"/>
      <c r="W40" s="66"/>
      <c r="X40" s="66"/>
      <c r="Y40" s="66"/>
      <c r="Z40" s="66"/>
      <c r="AA40" s="66"/>
      <c r="AB40" s="90"/>
    </row>
    <row r="41" spans="2:28" ht="18" thickBot="1">
      <c r="B41" s="84" t="s">
        <v>602</v>
      </c>
      <c r="C41" s="127" t="s">
        <v>603</v>
      </c>
      <c r="D41" s="127"/>
      <c r="E41" s="128"/>
      <c r="F41" s="103">
        <v>0.1</v>
      </c>
      <c r="G41" s="66">
        <v>0.7409</v>
      </c>
      <c r="H41" s="66">
        <v>0.56089999999999995</v>
      </c>
      <c r="I41" s="112">
        <f t="shared" si="1"/>
        <v>0.18000000000000005</v>
      </c>
      <c r="J41" s="103">
        <v>0.62</v>
      </c>
      <c r="K41" s="66">
        <v>0.31</v>
      </c>
      <c r="L41" s="66">
        <v>0.23</v>
      </c>
      <c r="M41" s="66">
        <v>0.88</v>
      </c>
      <c r="N41" s="66">
        <v>0.44</v>
      </c>
      <c r="O41" s="66">
        <v>0.26</v>
      </c>
      <c r="P41" s="66"/>
      <c r="Q41" s="66"/>
      <c r="R41" s="90"/>
      <c r="S41" s="112"/>
      <c r="T41" s="103"/>
      <c r="U41" s="66"/>
      <c r="V41" s="66"/>
      <c r="W41" s="66"/>
      <c r="X41" s="66"/>
      <c r="Y41" s="66"/>
      <c r="Z41" s="66"/>
      <c r="AA41" s="66"/>
      <c r="AB41" s="90"/>
    </row>
    <row r="42" spans="2:28" ht="18" thickBot="1">
      <c r="B42" s="84"/>
      <c r="C42" s="127"/>
      <c r="D42" s="127"/>
      <c r="E42" s="128" t="s">
        <v>605</v>
      </c>
      <c r="F42" s="103">
        <v>0.1</v>
      </c>
      <c r="G42" s="66">
        <v>0.629</v>
      </c>
      <c r="H42" s="66">
        <v>0.58360000000000001</v>
      </c>
      <c r="I42" s="112">
        <f t="shared" si="1"/>
        <v>4.5399999999999996E-2</v>
      </c>
      <c r="J42" s="103">
        <v>0.62</v>
      </c>
      <c r="K42" s="66">
        <v>0.33</v>
      </c>
      <c r="L42" s="66">
        <v>0.25</v>
      </c>
      <c r="M42" s="66">
        <v>0.92</v>
      </c>
      <c r="N42" s="66">
        <v>0.57999999999999996</v>
      </c>
      <c r="O42" s="66">
        <v>0.28999999999999998</v>
      </c>
      <c r="P42" s="66"/>
      <c r="Q42" s="66"/>
      <c r="R42" s="90"/>
      <c r="S42" s="112"/>
      <c r="T42" s="103"/>
      <c r="U42" s="66"/>
      <c r="V42" s="66"/>
      <c r="W42" s="66"/>
      <c r="X42" s="66"/>
      <c r="Y42" s="66"/>
      <c r="Z42" s="66"/>
      <c r="AA42" s="66"/>
      <c r="AB42" s="90"/>
    </row>
    <row r="43" spans="2:28">
      <c r="B43" s="84" t="s">
        <v>602</v>
      </c>
      <c r="C43" s="127" t="s">
        <v>604</v>
      </c>
      <c r="D43" s="127"/>
      <c r="E43" s="128"/>
      <c r="F43" s="103"/>
      <c r="G43" s="66"/>
      <c r="H43" s="66"/>
      <c r="I43" s="112"/>
      <c r="J43" s="103"/>
      <c r="K43" s="66"/>
      <c r="L43" s="66"/>
      <c r="M43" s="66"/>
      <c r="N43" s="66"/>
      <c r="O43" s="66"/>
      <c r="P43" s="66"/>
      <c r="Q43" s="66"/>
      <c r="R43" s="90"/>
      <c r="S43" s="112"/>
      <c r="T43" s="103"/>
      <c r="U43" s="66"/>
      <c r="V43" s="66"/>
      <c r="W43" s="66"/>
      <c r="X43" s="66"/>
      <c r="Y43" s="66"/>
      <c r="Z43" s="66"/>
      <c r="AA43" s="66"/>
      <c r="AB43" s="90"/>
    </row>
    <row r="44" spans="2:28">
      <c r="B44" s="88"/>
      <c r="C44" s="127"/>
      <c r="D44" s="127"/>
      <c r="E44" s="128"/>
      <c r="F44" s="103"/>
      <c r="G44" s="66"/>
      <c r="H44" s="66"/>
      <c r="I44" s="112"/>
      <c r="J44" s="103"/>
      <c r="K44" s="66"/>
      <c r="L44" s="66"/>
      <c r="M44" s="66"/>
      <c r="N44" s="66"/>
      <c r="O44" s="66"/>
      <c r="P44" s="66"/>
      <c r="Q44" s="66"/>
      <c r="R44" s="90"/>
      <c r="S44" s="112"/>
      <c r="T44" s="103"/>
      <c r="U44" s="66"/>
      <c r="V44" s="66"/>
      <c r="W44" s="66"/>
      <c r="X44" s="66"/>
      <c r="Y44" s="66"/>
      <c r="Z44" s="66"/>
      <c r="AA44" s="66"/>
      <c r="AB44" s="90"/>
    </row>
    <row r="45" spans="2:28">
      <c r="B45" s="88"/>
      <c r="C45" s="127"/>
      <c r="D45" s="127"/>
      <c r="E45" s="128"/>
      <c r="F45" s="103"/>
      <c r="G45" s="66"/>
      <c r="H45" s="66"/>
      <c r="I45" s="112"/>
      <c r="J45" s="103"/>
      <c r="K45" s="66"/>
      <c r="L45" s="66"/>
      <c r="M45" s="66"/>
      <c r="N45" s="66"/>
      <c r="O45" s="66"/>
      <c r="P45" s="66"/>
      <c r="Q45" s="66"/>
      <c r="R45" s="90"/>
      <c r="S45" s="112"/>
      <c r="T45" s="103"/>
      <c r="U45" s="66"/>
      <c r="V45" s="66"/>
      <c r="W45" s="66"/>
      <c r="X45" s="66"/>
      <c r="Y45" s="66"/>
      <c r="Z45" s="66"/>
      <c r="AA45" s="66"/>
      <c r="AB45" s="90"/>
    </row>
    <row r="46" spans="2:28">
      <c r="B46" s="88"/>
      <c r="C46" s="127"/>
      <c r="D46" s="127"/>
      <c r="E46" s="128"/>
      <c r="F46" s="103"/>
      <c r="G46" s="66"/>
      <c r="H46" s="66"/>
      <c r="I46" s="112"/>
      <c r="J46" s="103"/>
      <c r="K46" s="66"/>
      <c r="L46" s="66"/>
      <c r="M46" s="66"/>
      <c r="N46" s="66"/>
      <c r="O46" s="66"/>
      <c r="P46" s="66"/>
      <c r="Q46" s="66"/>
      <c r="R46" s="90"/>
      <c r="S46" s="112"/>
      <c r="T46" s="103"/>
      <c r="U46" s="66"/>
      <c r="V46" s="66"/>
      <c r="W46" s="66"/>
      <c r="X46" s="66"/>
      <c r="Y46" s="66"/>
      <c r="Z46" s="66"/>
      <c r="AA46" s="66"/>
      <c r="AB46" s="90"/>
    </row>
    <row r="47" spans="2:28">
      <c r="B47" s="88"/>
      <c r="C47" s="127"/>
      <c r="D47" s="127"/>
      <c r="E47" s="128"/>
      <c r="F47" s="103"/>
      <c r="G47" s="66"/>
      <c r="H47" s="66"/>
      <c r="I47" s="112"/>
      <c r="J47" s="103"/>
      <c r="K47" s="66"/>
      <c r="L47" s="66"/>
      <c r="M47" s="66"/>
      <c r="N47" s="66"/>
      <c r="O47" s="66"/>
      <c r="P47" s="66"/>
      <c r="Q47" s="66"/>
      <c r="R47" s="90"/>
      <c r="S47" s="112"/>
      <c r="T47" s="103"/>
      <c r="U47" s="66"/>
      <c r="V47" s="66"/>
      <c r="W47" s="66"/>
      <c r="X47" s="66"/>
      <c r="Y47" s="66"/>
      <c r="Z47" s="66"/>
      <c r="AA47" s="66"/>
      <c r="AB47" s="90"/>
    </row>
    <row r="48" spans="2:28">
      <c r="B48" s="88"/>
      <c r="C48" s="127"/>
      <c r="D48" s="127"/>
      <c r="E48" s="128"/>
      <c r="F48" s="103"/>
      <c r="G48" s="66"/>
      <c r="H48" s="66"/>
      <c r="I48" s="112"/>
      <c r="J48" s="103"/>
      <c r="K48" s="66"/>
      <c r="L48" s="66"/>
      <c r="M48" s="66"/>
      <c r="N48" s="66"/>
      <c r="O48" s="66"/>
      <c r="P48" s="66"/>
      <c r="Q48" s="66"/>
      <c r="R48" s="90"/>
      <c r="S48" s="112"/>
      <c r="T48" s="103"/>
      <c r="U48" s="66"/>
      <c r="V48" s="66"/>
      <c r="W48" s="66"/>
      <c r="X48" s="66"/>
      <c r="Y48" s="66"/>
      <c r="Z48" s="66"/>
      <c r="AA48" s="66"/>
      <c r="AB48" s="90"/>
    </row>
    <row r="49" spans="2:28">
      <c r="B49" s="88"/>
      <c r="C49" s="127"/>
      <c r="D49" s="127"/>
      <c r="E49" s="128"/>
      <c r="F49" s="103"/>
      <c r="G49" s="66"/>
      <c r="H49" s="66"/>
      <c r="I49" s="112"/>
      <c r="J49" s="103"/>
      <c r="K49" s="66"/>
      <c r="L49" s="66"/>
      <c r="M49" s="66"/>
      <c r="N49" s="66"/>
      <c r="O49" s="66"/>
      <c r="P49" s="66"/>
      <c r="Q49" s="66"/>
      <c r="R49" s="90"/>
      <c r="S49" s="112"/>
      <c r="T49" s="103"/>
      <c r="U49" s="66"/>
      <c r="V49" s="66"/>
      <c r="W49" s="66"/>
      <c r="X49" s="66"/>
      <c r="Y49" s="66"/>
      <c r="Z49" s="66"/>
      <c r="AA49" s="66"/>
      <c r="AB49" s="90"/>
    </row>
    <row r="50" spans="2:28">
      <c r="B50" s="88"/>
      <c r="C50" s="127"/>
      <c r="D50" s="127"/>
      <c r="E50" s="128"/>
      <c r="F50" s="103"/>
      <c r="G50" s="66"/>
      <c r="H50" s="66"/>
      <c r="I50" s="112"/>
      <c r="J50" s="103"/>
      <c r="K50" s="66"/>
      <c r="L50" s="66"/>
      <c r="M50" s="66"/>
      <c r="N50" s="66"/>
      <c r="O50" s="66"/>
      <c r="P50" s="66"/>
      <c r="Q50" s="66"/>
      <c r="R50" s="90"/>
      <c r="S50" s="112"/>
      <c r="T50" s="103"/>
      <c r="U50" s="66"/>
      <c r="V50" s="66"/>
      <c r="W50" s="66"/>
      <c r="X50" s="66"/>
      <c r="Y50" s="66"/>
      <c r="Z50" s="66"/>
      <c r="AA50" s="66"/>
      <c r="AB50" s="90"/>
    </row>
    <row r="51" spans="2:28">
      <c r="B51" s="88"/>
      <c r="C51" s="127"/>
      <c r="D51" s="127"/>
      <c r="E51" s="128"/>
      <c r="F51" s="103"/>
      <c r="G51" s="66"/>
      <c r="H51" s="66"/>
      <c r="I51" s="112"/>
      <c r="J51" s="103"/>
      <c r="K51" s="66"/>
      <c r="L51" s="66"/>
      <c r="M51" s="66"/>
      <c r="N51" s="66"/>
      <c r="O51" s="66"/>
      <c r="P51" s="66"/>
      <c r="Q51" s="66"/>
      <c r="R51" s="90"/>
      <c r="S51" s="112"/>
      <c r="T51" s="103"/>
      <c r="U51" s="66"/>
      <c r="V51" s="66"/>
      <c r="W51" s="66"/>
      <c r="X51" s="66"/>
      <c r="Y51" s="66"/>
      <c r="Z51" s="66"/>
      <c r="AA51" s="66"/>
      <c r="AB51" s="90"/>
    </row>
    <row r="52" spans="2:28">
      <c r="B52" s="88"/>
      <c r="C52" s="127"/>
      <c r="D52" s="127"/>
      <c r="E52" s="128"/>
      <c r="F52" s="103"/>
      <c r="G52" s="66"/>
      <c r="H52" s="66"/>
      <c r="I52" s="112"/>
      <c r="J52" s="103"/>
      <c r="K52" s="66"/>
      <c r="L52" s="66"/>
      <c r="M52" s="66"/>
      <c r="N52" s="66"/>
      <c r="O52" s="66"/>
      <c r="P52" s="66"/>
      <c r="Q52" s="66"/>
      <c r="R52" s="90"/>
      <c r="S52" s="112"/>
      <c r="T52" s="103"/>
      <c r="U52" s="66"/>
      <c r="V52" s="66"/>
      <c r="W52" s="66"/>
      <c r="X52" s="66"/>
      <c r="Y52" s="66"/>
      <c r="Z52" s="66"/>
      <c r="AA52" s="66"/>
      <c r="AB52" s="90"/>
    </row>
    <row r="53" spans="2:28">
      <c r="B53" s="88"/>
      <c r="C53" s="127"/>
      <c r="D53" s="127"/>
      <c r="E53" s="128"/>
      <c r="F53" s="103"/>
      <c r="G53" s="66"/>
      <c r="H53" s="66"/>
      <c r="I53" s="112"/>
      <c r="J53" s="103"/>
      <c r="K53" s="66"/>
      <c r="L53" s="66"/>
      <c r="M53" s="66"/>
      <c r="N53" s="66"/>
      <c r="O53" s="66"/>
      <c r="P53" s="66"/>
      <c r="Q53" s="66"/>
      <c r="R53" s="90"/>
      <c r="S53" s="112"/>
      <c r="T53" s="103"/>
      <c r="U53" s="66"/>
      <c r="V53" s="66"/>
      <c r="W53" s="66"/>
      <c r="X53" s="66"/>
      <c r="Y53" s="66"/>
      <c r="Z53" s="66"/>
      <c r="AA53" s="66"/>
      <c r="AB53" s="90"/>
    </row>
    <row r="54" spans="2:28">
      <c r="B54" s="88"/>
      <c r="C54" s="127"/>
      <c r="D54" s="127"/>
      <c r="E54" s="128"/>
      <c r="F54" s="103"/>
      <c r="G54" s="66"/>
      <c r="H54" s="66"/>
      <c r="I54" s="112"/>
      <c r="J54" s="103"/>
      <c r="K54" s="66"/>
      <c r="L54" s="66"/>
      <c r="M54" s="66"/>
      <c r="N54" s="66"/>
      <c r="O54" s="66"/>
      <c r="P54" s="66"/>
      <c r="Q54" s="66"/>
      <c r="R54" s="90"/>
      <c r="S54" s="112"/>
      <c r="T54" s="103"/>
      <c r="U54" s="66"/>
      <c r="V54" s="66"/>
      <c r="W54" s="66"/>
      <c r="X54" s="66"/>
      <c r="Y54" s="66"/>
      <c r="Z54" s="66"/>
      <c r="AA54" s="66"/>
      <c r="AB54" s="90"/>
    </row>
    <row r="55" spans="2:28">
      <c r="B55" s="88"/>
      <c r="C55" s="127"/>
      <c r="D55" s="127"/>
      <c r="E55" s="128"/>
      <c r="F55" s="103"/>
      <c r="G55" s="66"/>
      <c r="H55" s="66"/>
      <c r="I55" s="112"/>
      <c r="J55" s="103"/>
      <c r="K55" s="66"/>
      <c r="L55" s="66"/>
      <c r="M55" s="66"/>
      <c r="N55" s="66"/>
      <c r="O55" s="66"/>
      <c r="P55" s="66"/>
      <c r="Q55" s="66"/>
      <c r="R55" s="90"/>
      <c r="S55" s="112"/>
      <c r="T55" s="103"/>
      <c r="U55" s="66"/>
      <c r="V55" s="66"/>
      <c r="W55" s="66"/>
      <c r="X55" s="66"/>
      <c r="Y55" s="66"/>
      <c r="Z55" s="66"/>
      <c r="AA55" s="66"/>
      <c r="AB55" s="90"/>
    </row>
    <row r="56" spans="2:28">
      <c r="B56" s="88"/>
      <c r="C56" s="127"/>
      <c r="D56" s="127"/>
      <c r="E56" s="128"/>
      <c r="F56" s="103"/>
      <c r="G56" s="66"/>
      <c r="H56" s="66"/>
      <c r="I56" s="112"/>
      <c r="J56" s="103"/>
      <c r="K56" s="66"/>
      <c r="L56" s="66"/>
      <c r="M56" s="66"/>
      <c r="N56" s="66"/>
      <c r="O56" s="66"/>
      <c r="P56" s="66"/>
      <c r="Q56" s="66"/>
      <c r="R56" s="90"/>
      <c r="S56" s="112"/>
      <c r="T56" s="103"/>
      <c r="U56" s="66"/>
      <c r="V56" s="66"/>
      <c r="W56" s="66"/>
      <c r="X56" s="66"/>
      <c r="Y56" s="66"/>
      <c r="Z56" s="66"/>
      <c r="AA56" s="66"/>
      <c r="AB56" s="90"/>
    </row>
    <row r="57" spans="2:28">
      <c r="B57" s="88"/>
      <c r="C57" s="127"/>
      <c r="D57" s="127"/>
      <c r="E57" s="128"/>
      <c r="F57" s="103"/>
      <c r="G57" s="66"/>
      <c r="H57" s="66"/>
      <c r="I57" s="112"/>
      <c r="J57" s="103"/>
      <c r="K57" s="66"/>
      <c r="L57" s="66"/>
      <c r="M57" s="66"/>
      <c r="N57" s="66"/>
      <c r="O57" s="66"/>
      <c r="P57" s="66"/>
      <c r="Q57" s="66"/>
      <c r="R57" s="90"/>
      <c r="S57" s="112"/>
      <c r="T57" s="103"/>
      <c r="U57" s="66"/>
      <c r="V57" s="66"/>
      <c r="W57" s="66"/>
      <c r="X57" s="66"/>
      <c r="Y57" s="66"/>
      <c r="Z57" s="66"/>
      <c r="AA57" s="66"/>
      <c r="AB57" s="90"/>
    </row>
    <row r="58" spans="2:28">
      <c r="B58" s="88"/>
      <c r="C58" s="127"/>
      <c r="D58" s="127"/>
      <c r="E58" s="128"/>
      <c r="F58" s="103"/>
      <c r="G58" s="66"/>
      <c r="H58" s="66"/>
      <c r="I58" s="112"/>
      <c r="J58" s="103"/>
      <c r="K58" s="66"/>
      <c r="L58" s="66"/>
      <c r="M58" s="66"/>
      <c r="N58" s="66"/>
      <c r="O58" s="66"/>
      <c r="P58" s="66"/>
      <c r="Q58" s="66"/>
      <c r="R58" s="90"/>
      <c r="S58" s="112"/>
      <c r="T58" s="103"/>
      <c r="U58" s="66"/>
      <c r="V58" s="66"/>
      <c r="W58" s="66"/>
      <c r="X58" s="66"/>
      <c r="Y58" s="66"/>
      <c r="Z58" s="66"/>
      <c r="AA58" s="66"/>
      <c r="AB58" s="90"/>
    </row>
    <row r="59" spans="2:28">
      <c r="B59" s="88"/>
      <c r="C59" s="127"/>
      <c r="D59" s="127"/>
      <c r="E59" s="128"/>
      <c r="F59" s="103"/>
      <c r="G59" s="66"/>
      <c r="H59" s="66"/>
      <c r="I59" s="112"/>
      <c r="J59" s="103"/>
      <c r="K59" s="66"/>
      <c r="L59" s="66"/>
      <c r="M59" s="66"/>
      <c r="N59" s="66"/>
      <c r="O59" s="66"/>
      <c r="P59" s="66"/>
      <c r="Q59" s="66"/>
      <c r="R59" s="90"/>
      <c r="S59" s="112"/>
      <c r="T59" s="103"/>
      <c r="U59" s="66"/>
      <c r="V59" s="66"/>
      <c r="W59" s="66"/>
      <c r="X59" s="66"/>
      <c r="Y59" s="66"/>
      <c r="Z59" s="66"/>
      <c r="AA59" s="66"/>
      <c r="AB59" s="90"/>
    </row>
    <row r="60" spans="2:28">
      <c r="B60" s="88"/>
      <c r="C60" s="127"/>
      <c r="D60" s="127"/>
      <c r="E60" s="128"/>
      <c r="F60" s="103"/>
      <c r="G60" s="66"/>
      <c r="H60" s="66"/>
      <c r="I60" s="112"/>
      <c r="J60" s="103"/>
      <c r="K60" s="66"/>
      <c r="L60" s="66"/>
      <c r="M60" s="66"/>
      <c r="N60" s="66"/>
      <c r="O60" s="66"/>
      <c r="P60" s="66"/>
      <c r="Q60" s="66"/>
      <c r="R60" s="90"/>
      <c r="S60" s="112"/>
      <c r="T60" s="103"/>
      <c r="U60" s="66"/>
      <c r="V60" s="66"/>
      <c r="W60" s="66"/>
      <c r="X60" s="66"/>
      <c r="Y60" s="66"/>
      <c r="Z60" s="66"/>
      <c r="AA60" s="66"/>
      <c r="AB60" s="90"/>
    </row>
    <row r="61" spans="2:28">
      <c r="B61" s="88"/>
      <c r="C61" s="127"/>
      <c r="D61" s="127"/>
      <c r="E61" s="128"/>
      <c r="F61" s="103"/>
      <c r="G61" s="66"/>
      <c r="H61" s="66"/>
      <c r="I61" s="112"/>
      <c r="J61" s="103"/>
      <c r="K61" s="66"/>
      <c r="L61" s="66"/>
      <c r="M61" s="66"/>
      <c r="N61" s="66"/>
      <c r="O61" s="66"/>
      <c r="P61" s="66"/>
      <c r="Q61" s="66"/>
      <c r="R61" s="90"/>
      <c r="S61" s="112"/>
      <c r="T61" s="103"/>
      <c r="U61" s="66"/>
      <c r="V61" s="66"/>
      <c r="W61" s="66"/>
      <c r="X61" s="66"/>
      <c r="Y61" s="66"/>
      <c r="Z61" s="66"/>
      <c r="AA61" s="66"/>
      <c r="AB61" s="90"/>
    </row>
    <row r="62" spans="2:28">
      <c r="B62" s="88"/>
      <c r="C62" s="127"/>
      <c r="D62" s="127"/>
      <c r="E62" s="128"/>
      <c r="F62" s="103"/>
      <c r="G62" s="66"/>
      <c r="H62" s="66"/>
      <c r="I62" s="112"/>
      <c r="J62" s="103"/>
      <c r="K62" s="66"/>
      <c r="L62" s="66"/>
      <c r="M62" s="66"/>
      <c r="N62" s="66"/>
      <c r="O62" s="66"/>
      <c r="P62" s="66"/>
      <c r="Q62" s="66"/>
      <c r="R62" s="90"/>
      <c r="S62" s="112"/>
      <c r="T62" s="103"/>
      <c r="U62" s="66"/>
      <c r="V62" s="66"/>
      <c r="W62" s="66"/>
      <c r="X62" s="66"/>
      <c r="Y62" s="66"/>
      <c r="Z62" s="66"/>
      <c r="AA62" s="66"/>
      <c r="AB62" s="90"/>
    </row>
    <row r="63" spans="2:28" ht="18" thickBot="1">
      <c r="B63" s="92"/>
      <c r="C63" s="133"/>
      <c r="D63" s="133"/>
      <c r="E63" s="134"/>
      <c r="F63" s="105"/>
      <c r="G63" s="93"/>
      <c r="H63" s="93"/>
      <c r="I63" s="93"/>
      <c r="J63" s="105"/>
      <c r="K63" s="93"/>
      <c r="L63" s="93"/>
      <c r="M63" s="93"/>
      <c r="N63" s="93"/>
      <c r="O63" s="93"/>
      <c r="P63" s="93"/>
      <c r="Q63" s="93"/>
      <c r="R63" s="94"/>
      <c r="S63" s="112"/>
      <c r="T63" s="105"/>
      <c r="U63" s="93"/>
      <c r="V63" s="93"/>
      <c r="W63" s="93"/>
      <c r="X63" s="93"/>
      <c r="Y63" s="93"/>
      <c r="Z63" s="93"/>
      <c r="AA63" s="93"/>
      <c r="AB63" s="94"/>
    </row>
  </sheetData>
  <autoFilter ref="B2:R34"/>
  <mergeCells count="8">
    <mergeCell ref="Z1:AB1"/>
    <mergeCell ref="F1:H1"/>
    <mergeCell ref="J1:L1"/>
    <mergeCell ref="M1:O1"/>
    <mergeCell ref="C1:E1"/>
    <mergeCell ref="W1:Y1"/>
    <mergeCell ref="T1:V1"/>
    <mergeCell ref="P1:R1"/>
  </mergeCells>
  <phoneticPr fontId="5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N22"/>
  <sheetViews>
    <sheetView workbookViewId="0">
      <selection activeCell="F3" sqref="F3"/>
    </sheetView>
  </sheetViews>
  <sheetFormatPr defaultRowHeight="17.25"/>
  <cols>
    <col min="3" max="3" width="9" style="42"/>
    <col min="5" max="6" width="9" style="42"/>
  </cols>
  <sheetData>
    <row r="1" spans="1:14" s="42" customFormat="1">
      <c r="A1" s="29" t="s">
        <v>582</v>
      </c>
    </row>
    <row r="2" spans="1:14">
      <c r="B2" t="s">
        <v>581</v>
      </c>
      <c r="C2" s="42" t="s">
        <v>580</v>
      </c>
      <c r="D2">
        <v>99100</v>
      </c>
      <c r="E2" s="42">
        <v>79101</v>
      </c>
      <c r="F2" s="42">
        <v>79201</v>
      </c>
      <c r="G2">
        <v>90100</v>
      </c>
      <c r="H2">
        <v>70101</v>
      </c>
      <c r="I2">
        <v>90103</v>
      </c>
      <c r="J2">
        <v>70103</v>
      </c>
      <c r="K2">
        <v>11200</v>
      </c>
      <c r="L2">
        <v>11402</v>
      </c>
      <c r="M2">
        <v>13200</v>
      </c>
      <c r="N2">
        <v>13402</v>
      </c>
    </row>
    <row r="3" spans="1:14">
      <c r="B3">
        <v>123</v>
      </c>
      <c r="C3" s="42">
        <v>3563</v>
      </c>
      <c r="D3">
        <v>4491</v>
      </c>
      <c r="E3" s="42">
        <v>7917</v>
      </c>
      <c r="F3" s="42">
        <v>5024</v>
      </c>
      <c r="G3">
        <v>9699</v>
      </c>
      <c r="H3">
        <v>8684</v>
      </c>
      <c r="I3">
        <v>11983</v>
      </c>
      <c r="J3">
        <v>19005</v>
      </c>
      <c r="K3">
        <v>6471</v>
      </c>
      <c r="L3">
        <v>5330</v>
      </c>
      <c r="M3">
        <v>2156</v>
      </c>
      <c r="N3">
        <v>8074</v>
      </c>
    </row>
    <row r="4" spans="1:14">
      <c r="B4">
        <v>124</v>
      </c>
      <c r="C4" s="42">
        <v>2627</v>
      </c>
      <c r="D4">
        <v>3964</v>
      </c>
      <c r="E4" s="42">
        <v>7145</v>
      </c>
      <c r="F4" s="42">
        <v>4377</v>
      </c>
      <c r="G4">
        <v>8866</v>
      </c>
      <c r="H4">
        <v>6663</v>
      </c>
      <c r="I4">
        <v>2746</v>
      </c>
      <c r="J4">
        <v>3796</v>
      </c>
      <c r="K4">
        <v>6204</v>
      </c>
      <c r="L4">
        <v>4528</v>
      </c>
      <c r="M4">
        <v>537</v>
      </c>
      <c r="N4">
        <v>4020</v>
      </c>
    </row>
    <row r="5" spans="1:14">
      <c r="B5">
        <v>125</v>
      </c>
      <c r="C5" s="42">
        <v>1800</v>
      </c>
      <c r="D5">
        <v>2651</v>
      </c>
      <c r="E5" s="42">
        <v>3651</v>
      </c>
      <c r="F5" s="42">
        <v>2233</v>
      </c>
      <c r="G5">
        <v>3742</v>
      </c>
      <c r="H5">
        <v>3542</v>
      </c>
      <c r="I5">
        <v>332</v>
      </c>
      <c r="J5">
        <v>107</v>
      </c>
      <c r="K5">
        <v>3212</v>
      </c>
      <c r="L5">
        <v>2303</v>
      </c>
      <c r="M5">
        <v>226</v>
      </c>
      <c r="N5">
        <v>1498</v>
      </c>
    </row>
    <row r="6" spans="1:14">
      <c r="B6">
        <v>126</v>
      </c>
      <c r="C6" s="42">
        <v>1386</v>
      </c>
      <c r="D6">
        <v>2014</v>
      </c>
      <c r="E6" s="42">
        <v>3468</v>
      </c>
      <c r="F6" s="42">
        <v>2205</v>
      </c>
      <c r="G6">
        <v>2874</v>
      </c>
      <c r="H6">
        <v>3542</v>
      </c>
      <c r="I6">
        <v>165</v>
      </c>
      <c r="J6">
        <v>49</v>
      </c>
      <c r="K6">
        <v>3218</v>
      </c>
      <c r="L6">
        <v>2324</v>
      </c>
      <c r="M6">
        <v>62</v>
      </c>
      <c r="N6">
        <v>1179</v>
      </c>
    </row>
    <row r="7" spans="1:14">
      <c r="B7">
        <v>132</v>
      </c>
      <c r="C7" s="42">
        <v>2600</v>
      </c>
      <c r="D7">
        <v>2042</v>
      </c>
      <c r="E7" s="42">
        <v>744</v>
      </c>
      <c r="F7" s="42">
        <v>1249</v>
      </c>
      <c r="G7">
        <v>1332</v>
      </c>
      <c r="H7">
        <v>916</v>
      </c>
      <c r="I7">
        <v>2078</v>
      </c>
      <c r="J7">
        <v>702</v>
      </c>
      <c r="K7">
        <v>566</v>
      </c>
      <c r="L7">
        <v>2272</v>
      </c>
      <c r="M7">
        <v>103</v>
      </c>
      <c r="N7">
        <v>3460</v>
      </c>
    </row>
    <row r="8" spans="1:14">
      <c r="B8">
        <v>134</v>
      </c>
      <c r="C8" s="42">
        <v>2190</v>
      </c>
      <c r="D8">
        <v>2313</v>
      </c>
      <c r="E8" s="42">
        <v>3375</v>
      </c>
      <c r="F8" s="42">
        <v>2198</v>
      </c>
      <c r="G8">
        <v>2771</v>
      </c>
      <c r="H8">
        <v>3431</v>
      </c>
      <c r="I8">
        <v>1349</v>
      </c>
      <c r="J8">
        <v>1641</v>
      </c>
      <c r="K8">
        <v>2517</v>
      </c>
      <c r="L8">
        <v>2502</v>
      </c>
      <c r="M8">
        <v>115</v>
      </c>
      <c r="N8">
        <v>2745</v>
      </c>
    </row>
    <row r="9" spans="1:14">
      <c r="B9">
        <v>135</v>
      </c>
      <c r="C9" s="42">
        <v>1573</v>
      </c>
      <c r="D9">
        <v>1795</v>
      </c>
      <c r="E9" s="42">
        <v>2515</v>
      </c>
      <c r="F9" s="42">
        <v>1775</v>
      </c>
      <c r="G9">
        <v>1349</v>
      </c>
      <c r="H9">
        <v>2520</v>
      </c>
      <c r="I9">
        <v>263</v>
      </c>
      <c r="J9">
        <v>134</v>
      </c>
      <c r="K9">
        <v>1745</v>
      </c>
      <c r="L9">
        <v>1587</v>
      </c>
      <c r="M9">
        <v>58</v>
      </c>
      <c r="N9">
        <v>1232</v>
      </c>
    </row>
    <row r="10" spans="1:14">
      <c r="B10">
        <v>136</v>
      </c>
      <c r="C10" s="42">
        <v>1176</v>
      </c>
      <c r="D10">
        <v>1342</v>
      </c>
      <c r="E10" s="42">
        <v>2136</v>
      </c>
      <c r="F10" s="42">
        <v>1287</v>
      </c>
      <c r="G10">
        <v>1236</v>
      </c>
      <c r="H10">
        <v>2189</v>
      </c>
      <c r="I10">
        <v>156</v>
      </c>
      <c r="J10">
        <v>43</v>
      </c>
      <c r="K10">
        <v>1643</v>
      </c>
      <c r="L10">
        <v>1708</v>
      </c>
      <c r="M10">
        <v>20</v>
      </c>
      <c r="N10">
        <v>745</v>
      </c>
    </row>
    <row r="11" spans="1:14">
      <c r="B11">
        <v>142</v>
      </c>
      <c r="C11" s="42">
        <v>1762</v>
      </c>
      <c r="D11">
        <v>1194</v>
      </c>
      <c r="E11" s="42">
        <v>409</v>
      </c>
      <c r="F11" s="42">
        <v>763</v>
      </c>
      <c r="G11">
        <v>438</v>
      </c>
      <c r="H11">
        <v>598</v>
      </c>
      <c r="I11">
        <v>886</v>
      </c>
      <c r="J11">
        <v>453</v>
      </c>
      <c r="K11">
        <v>426</v>
      </c>
      <c r="L11">
        <v>881</v>
      </c>
      <c r="M11">
        <v>54</v>
      </c>
      <c r="N11">
        <v>1460</v>
      </c>
    </row>
    <row r="12" spans="1:14">
      <c r="B12">
        <v>143</v>
      </c>
      <c r="C12" s="42">
        <v>1571</v>
      </c>
      <c r="D12">
        <v>1146</v>
      </c>
      <c r="E12" s="42">
        <v>474</v>
      </c>
      <c r="F12" s="42">
        <v>540</v>
      </c>
      <c r="G12">
        <v>695</v>
      </c>
      <c r="H12">
        <v>524</v>
      </c>
      <c r="I12">
        <v>456</v>
      </c>
      <c r="J12">
        <v>180</v>
      </c>
      <c r="K12">
        <v>414</v>
      </c>
      <c r="L12">
        <v>1033</v>
      </c>
      <c r="M12">
        <v>30</v>
      </c>
      <c r="N12">
        <v>1214</v>
      </c>
    </row>
    <row r="13" spans="1:14">
      <c r="B13">
        <v>145</v>
      </c>
      <c r="C13" s="42">
        <v>987</v>
      </c>
      <c r="D13">
        <v>907</v>
      </c>
      <c r="E13" s="42">
        <v>789</v>
      </c>
      <c r="F13" s="42">
        <v>659</v>
      </c>
      <c r="G13">
        <v>374</v>
      </c>
      <c r="H13">
        <v>858</v>
      </c>
      <c r="I13">
        <v>56</v>
      </c>
      <c r="J13">
        <v>36</v>
      </c>
      <c r="K13">
        <v>700</v>
      </c>
      <c r="L13">
        <v>637</v>
      </c>
      <c r="M13">
        <v>26</v>
      </c>
      <c r="N13">
        <v>423</v>
      </c>
    </row>
    <row r="14" spans="1:14">
      <c r="B14">
        <v>146</v>
      </c>
      <c r="C14" s="42">
        <v>904</v>
      </c>
      <c r="D14">
        <v>744</v>
      </c>
      <c r="E14" s="42">
        <v>1002</v>
      </c>
      <c r="F14" s="42">
        <v>907</v>
      </c>
      <c r="G14">
        <v>335</v>
      </c>
      <c r="H14">
        <v>1090</v>
      </c>
      <c r="I14">
        <v>58</v>
      </c>
      <c r="J14">
        <v>15</v>
      </c>
      <c r="K14">
        <v>792</v>
      </c>
      <c r="L14">
        <v>582</v>
      </c>
      <c r="M14">
        <v>17</v>
      </c>
      <c r="N14">
        <v>353</v>
      </c>
    </row>
    <row r="15" spans="1:14">
      <c r="B15">
        <v>152</v>
      </c>
      <c r="C15" s="42">
        <v>1041</v>
      </c>
      <c r="D15">
        <v>435</v>
      </c>
      <c r="E15" s="42">
        <v>75</v>
      </c>
      <c r="F15" s="42">
        <v>212</v>
      </c>
      <c r="G15">
        <v>74</v>
      </c>
      <c r="H15">
        <v>94</v>
      </c>
      <c r="I15">
        <v>44</v>
      </c>
      <c r="J15">
        <v>9</v>
      </c>
      <c r="K15">
        <v>37</v>
      </c>
      <c r="L15">
        <v>182</v>
      </c>
      <c r="M15">
        <v>34</v>
      </c>
      <c r="N15">
        <v>288</v>
      </c>
    </row>
    <row r="16" spans="1:14">
      <c r="B16">
        <v>153</v>
      </c>
      <c r="C16" s="42">
        <v>886</v>
      </c>
      <c r="D16">
        <v>435</v>
      </c>
      <c r="E16" s="42">
        <v>89</v>
      </c>
      <c r="F16" s="42">
        <v>210</v>
      </c>
      <c r="G16">
        <v>101</v>
      </c>
      <c r="H16">
        <v>84</v>
      </c>
      <c r="I16">
        <v>20</v>
      </c>
      <c r="J16">
        <v>9</v>
      </c>
      <c r="K16">
        <v>43</v>
      </c>
      <c r="L16">
        <v>198</v>
      </c>
      <c r="M16">
        <v>17</v>
      </c>
      <c r="N16">
        <v>188</v>
      </c>
    </row>
    <row r="17" spans="2:14">
      <c r="B17">
        <v>154</v>
      </c>
      <c r="C17" s="42">
        <v>656</v>
      </c>
      <c r="D17">
        <v>386</v>
      </c>
      <c r="E17" s="42">
        <v>70</v>
      </c>
      <c r="F17" s="42">
        <v>180</v>
      </c>
      <c r="G17">
        <v>94</v>
      </c>
      <c r="H17">
        <v>69</v>
      </c>
      <c r="I17">
        <v>3</v>
      </c>
      <c r="J17">
        <v>4</v>
      </c>
      <c r="K17">
        <v>37</v>
      </c>
      <c r="L17">
        <v>166</v>
      </c>
      <c r="M17">
        <v>13</v>
      </c>
      <c r="N17">
        <v>140</v>
      </c>
    </row>
    <row r="18" spans="2:14">
      <c r="B18">
        <v>156</v>
      </c>
      <c r="C18" s="42">
        <v>495</v>
      </c>
      <c r="D18">
        <v>361</v>
      </c>
      <c r="E18" s="42">
        <v>370</v>
      </c>
      <c r="F18" s="42">
        <v>492</v>
      </c>
      <c r="G18">
        <v>86</v>
      </c>
      <c r="H18">
        <v>393</v>
      </c>
      <c r="I18">
        <v>6</v>
      </c>
      <c r="J18">
        <v>3</v>
      </c>
      <c r="K18">
        <v>245</v>
      </c>
      <c r="L18">
        <v>131</v>
      </c>
      <c r="M18">
        <v>25</v>
      </c>
      <c r="N18">
        <v>86</v>
      </c>
    </row>
    <row r="19" spans="2:14">
      <c r="B19">
        <v>162</v>
      </c>
      <c r="C19" s="42">
        <v>663</v>
      </c>
      <c r="D19">
        <v>211</v>
      </c>
      <c r="E19" s="42">
        <v>32</v>
      </c>
      <c r="F19" s="42">
        <v>129</v>
      </c>
      <c r="G19">
        <v>18</v>
      </c>
      <c r="H19">
        <v>37</v>
      </c>
      <c r="I19">
        <v>27</v>
      </c>
      <c r="K19">
        <v>20</v>
      </c>
      <c r="L19">
        <v>243</v>
      </c>
      <c r="M19">
        <v>37</v>
      </c>
      <c r="N19">
        <v>228</v>
      </c>
    </row>
    <row r="20" spans="2:14">
      <c r="B20">
        <v>163</v>
      </c>
      <c r="C20" s="42">
        <v>533</v>
      </c>
      <c r="D20">
        <v>224</v>
      </c>
      <c r="E20" s="42">
        <v>53</v>
      </c>
      <c r="F20" s="42">
        <v>111</v>
      </c>
      <c r="G20">
        <v>38</v>
      </c>
      <c r="H20">
        <v>46</v>
      </c>
      <c r="I20">
        <v>21</v>
      </c>
      <c r="K20">
        <v>17</v>
      </c>
      <c r="L20">
        <v>210</v>
      </c>
      <c r="M20">
        <v>28</v>
      </c>
      <c r="N20">
        <v>151</v>
      </c>
    </row>
    <row r="21" spans="2:14">
      <c r="B21">
        <v>164</v>
      </c>
      <c r="C21" s="42">
        <v>451</v>
      </c>
      <c r="D21">
        <v>188</v>
      </c>
      <c r="E21" s="42">
        <v>57</v>
      </c>
      <c r="F21" s="42">
        <v>77</v>
      </c>
      <c r="G21">
        <v>34</v>
      </c>
      <c r="H21">
        <v>31</v>
      </c>
      <c r="I21">
        <v>11</v>
      </c>
      <c r="K21">
        <v>15</v>
      </c>
      <c r="L21">
        <v>174</v>
      </c>
      <c r="M21">
        <v>22</v>
      </c>
      <c r="N21">
        <v>95</v>
      </c>
    </row>
    <row r="22" spans="2:14">
      <c r="B22">
        <v>165</v>
      </c>
      <c r="C22" s="42">
        <v>322</v>
      </c>
      <c r="D22">
        <v>128</v>
      </c>
      <c r="E22" s="42">
        <v>26</v>
      </c>
      <c r="F22" s="42">
        <v>57</v>
      </c>
      <c r="G22">
        <v>9</v>
      </c>
      <c r="H22">
        <v>12</v>
      </c>
      <c r="K22">
        <v>11</v>
      </c>
      <c r="L22">
        <v>80</v>
      </c>
      <c r="M22">
        <v>16</v>
      </c>
      <c r="N22">
        <v>92</v>
      </c>
    </row>
  </sheetData>
  <phoneticPr fontId="5"/>
  <conditionalFormatting sqref="C3:N2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T177"/>
  <sheetViews>
    <sheetView zoomScaleNormal="100" workbookViewId="0">
      <pane ySplit="1" topLeftCell="A2" activePane="bottomLeft" state="frozen"/>
      <selection pane="bottomLeft" activeCell="H5" sqref="H5"/>
    </sheetView>
  </sheetViews>
  <sheetFormatPr defaultColWidth="8.88671875" defaultRowHeight="17.25"/>
  <cols>
    <col min="1" max="1" width="8.88671875" style="45" customWidth="1"/>
    <col min="2" max="2" width="9.77734375" style="59" customWidth="1"/>
    <col min="3" max="3" width="10" style="59" customWidth="1"/>
    <col min="4" max="4" width="16.109375" style="59" customWidth="1"/>
    <col min="5" max="5" width="14.5546875" style="59" customWidth="1"/>
    <col min="6" max="6" width="13.21875" style="59" customWidth="1"/>
    <col min="7" max="7" width="10" style="59" customWidth="1"/>
    <col min="8" max="8" width="7.77734375" style="59" customWidth="1"/>
    <col min="9" max="9" width="6.6640625" style="59" customWidth="1"/>
    <col min="10" max="10" width="7.88671875" style="59" customWidth="1"/>
    <col min="11" max="11" width="7.5546875" style="59" customWidth="1"/>
    <col min="12" max="12" width="9.33203125" style="59" customWidth="1"/>
    <col min="13" max="13" width="11.109375" style="59" customWidth="1"/>
    <col min="14" max="14" width="10.21875" style="59" customWidth="1"/>
    <col min="15" max="15" width="9.6640625" style="59" customWidth="1"/>
    <col min="16" max="16" width="14.88671875" style="59" customWidth="1"/>
    <col min="17" max="17" width="9.88671875" style="59" customWidth="1"/>
    <col min="18" max="18" width="6.109375" style="59" customWidth="1"/>
    <col min="19" max="19" width="8" style="59" customWidth="1"/>
    <col min="20" max="20" width="8.77734375" style="59" customWidth="1"/>
    <col min="21" max="21" width="4.6640625" style="42" customWidth="1"/>
    <col min="22" max="16384" width="8.88671875" style="42"/>
  </cols>
  <sheetData>
    <row r="1" spans="1:20" s="16" customFormat="1" ht="34.5" customHeight="1">
      <c r="A1" s="4" t="s">
        <v>45</v>
      </c>
      <c r="B1" s="17" t="s">
        <v>2</v>
      </c>
      <c r="C1" s="17" t="s">
        <v>3</v>
      </c>
      <c r="D1" s="17" t="s">
        <v>11</v>
      </c>
      <c r="E1" s="17" t="s">
        <v>14</v>
      </c>
      <c r="F1" s="17" t="s">
        <v>17</v>
      </c>
      <c r="G1" s="17" t="s">
        <v>650</v>
      </c>
      <c r="H1" s="17" t="s">
        <v>10</v>
      </c>
      <c r="I1" s="17" t="s">
        <v>13</v>
      </c>
      <c r="J1" s="17" t="s">
        <v>16</v>
      </c>
      <c r="K1" s="17" t="s">
        <v>651</v>
      </c>
      <c r="L1" s="17" t="s">
        <v>9</v>
      </c>
      <c r="M1" s="17" t="s">
        <v>12</v>
      </c>
      <c r="N1" s="17" t="s">
        <v>15</v>
      </c>
      <c r="O1" s="17" t="s">
        <v>652</v>
      </c>
      <c r="P1" s="17" t="s">
        <v>20</v>
      </c>
      <c r="Q1" s="17" t="s">
        <v>21</v>
      </c>
      <c r="R1" s="17" t="s">
        <v>502</v>
      </c>
      <c r="S1" s="17" t="s">
        <v>4</v>
      </c>
      <c r="T1" s="17" t="s">
        <v>5</v>
      </c>
    </row>
    <row r="2" spans="1:20">
      <c r="A2" s="61" t="s">
        <v>619</v>
      </c>
      <c r="D2" s="41"/>
      <c r="H2" s="41"/>
      <c r="I2" s="41"/>
      <c r="J2" s="41"/>
      <c r="K2" s="41"/>
      <c r="P2" s="41"/>
      <c r="Q2" s="41"/>
      <c r="R2" s="41"/>
      <c r="S2" s="41"/>
      <c r="T2" s="41"/>
    </row>
    <row r="3" spans="1:20">
      <c r="A3" s="61">
        <v>99080</v>
      </c>
      <c r="B3" s="71" t="s">
        <v>367</v>
      </c>
      <c r="C3" s="71" t="s">
        <v>367</v>
      </c>
      <c r="D3" s="41" t="s">
        <v>23</v>
      </c>
      <c r="E3" s="59" t="s">
        <v>93</v>
      </c>
      <c r="F3" s="59" t="s">
        <v>94</v>
      </c>
      <c r="G3" s="41" t="s">
        <v>25</v>
      </c>
      <c r="H3" s="41" t="s">
        <v>28</v>
      </c>
      <c r="I3" s="41" t="s">
        <v>28</v>
      </c>
      <c r="J3" s="41" t="s">
        <v>28</v>
      </c>
      <c r="K3" s="41" t="s">
        <v>25</v>
      </c>
      <c r="L3" s="41" t="s">
        <v>60</v>
      </c>
      <c r="M3" s="41" t="s">
        <v>60</v>
      </c>
      <c r="N3" s="41" t="s">
        <v>60</v>
      </c>
      <c r="O3" s="41" t="s">
        <v>25</v>
      </c>
      <c r="P3" s="41" t="s">
        <v>22</v>
      </c>
      <c r="Q3" s="41" t="s">
        <v>32</v>
      </c>
      <c r="R3" s="41" t="s">
        <v>19</v>
      </c>
      <c r="S3" s="41">
        <v>1825</v>
      </c>
      <c r="T3" s="41" t="s">
        <v>24</v>
      </c>
    </row>
    <row r="4" spans="1:20">
      <c r="A4" s="61">
        <v>99083</v>
      </c>
      <c r="B4" s="71" t="s">
        <v>367</v>
      </c>
      <c r="C4" s="71" t="s">
        <v>367</v>
      </c>
      <c r="D4" s="41" t="s">
        <v>23</v>
      </c>
      <c r="E4" s="59" t="s">
        <v>93</v>
      </c>
      <c r="F4" s="59" t="s">
        <v>94</v>
      </c>
      <c r="G4" s="41" t="s">
        <v>25</v>
      </c>
      <c r="H4" s="41" t="s">
        <v>28</v>
      </c>
      <c r="I4" s="41" t="s">
        <v>28</v>
      </c>
      <c r="J4" s="41" t="s">
        <v>28</v>
      </c>
      <c r="K4" s="41" t="s">
        <v>25</v>
      </c>
      <c r="L4" s="41" t="s">
        <v>61</v>
      </c>
      <c r="M4" s="41" t="s">
        <v>61</v>
      </c>
      <c r="N4" s="41" t="s">
        <v>61</v>
      </c>
      <c r="O4" s="41" t="s">
        <v>25</v>
      </c>
      <c r="P4" s="41" t="s">
        <v>22</v>
      </c>
      <c r="Q4" s="41" t="s">
        <v>32</v>
      </c>
      <c r="R4" s="41" t="s">
        <v>19</v>
      </c>
      <c r="S4" s="41">
        <v>1825</v>
      </c>
      <c r="T4" s="41" t="s">
        <v>24</v>
      </c>
    </row>
    <row r="5" spans="1:20">
      <c r="A5" s="61">
        <v>99103</v>
      </c>
      <c r="B5" s="71" t="s">
        <v>367</v>
      </c>
      <c r="C5" s="71" t="s">
        <v>367</v>
      </c>
      <c r="D5" s="21" t="s">
        <v>108</v>
      </c>
      <c r="E5" s="41" t="s">
        <v>25</v>
      </c>
      <c r="F5" s="41" t="s">
        <v>25</v>
      </c>
      <c r="G5" s="41" t="s">
        <v>25</v>
      </c>
      <c r="H5" s="41" t="s">
        <v>28</v>
      </c>
      <c r="I5" s="41" t="s">
        <v>25</v>
      </c>
      <c r="J5" s="41" t="s">
        <v>25</v>
      </c>
      <c r="K5" s="41" t="s">
        <v>25</v>
      </c>
      <c r="L5" s="59" t="s">
        <v>204</v>
      </c>
      <c r="M5" s="41" t="s">
        <v>25</v>
      </c>
      <c r="N5" s="41" t="s">
        <v>25</v>
      </c>
      <c r="O5" s="41" t="s">
        <v>25</v>
      </c>
      <c r="P5" s="41" t="s">
        <v>22</v>
      </c>
      <c r="Q5" s="41" t="s">
        <v>32</v>
      </c>
      <c r="R5" s="41" t="s">
        <v>19</v>
      </c>
      <c r="S5" s="41">
        <v>1825</v>
      </c>
      <c r="T5" s="41" t="s">
        <v>24</v>
      </c>
    </row>
    <row r="6" spans="1:20">
      <c r="A6" s="61" t="s">
        <v>620</v>
      </c>
      <c r="D6" s="21"/>
      <c r="E6" s="41"/>
      <c r="F6" s="41"/>
      <c r="G6" s="41"/>
      <c r="H6" s="41"/>
      <c r="I6" s="41"/>
      <c r="J6" s="41"/>
      <c r="K6" s="41"/>
      <c r="M6" s="41"/>
      <c r="N6" s="41"/>
      <c r="O6" s="41"/>
      <c r="P6" s="41"/>
      <c r="Q6" s="41"/>
      <c r="R6" s="41"/>
      <c r="S6" s="41"/>
      <c r="T6" s="41"/>
    </row>
    <row r="7" spans="1:20">
      <c r="A7" s="153">
        <v>90100</v>
      </c>
      <c r="B7" s="71" t="s">
        <v>367</v>
      </c>
      <c r="C7" s="71" t="s">
        <v>367</v>
      </c>
      <c r="D7" s="41" t="s">
        <v>484</v>
      </c>
      <c r="E7" s="59" t="s">
        <v>93</v>
      </c>
      <c r="F7" s="59" t="s">
        <v>94</v>
      </c>
      <c r="G7" s="41" t="s">
        <v>25</v>
      </c>
      <c r="H7" s="41" t="s">
        <v>488</v>
      </c>
      <c r="I7" s="41" t="s">
        <v>487</v>
      </c>
      <c r="J7" s="41" t="s">
        <v>487</v>
      </c>
      <c r="K7" s="41" t="s">
        <v>25</v>
      </c>
      <c r="L7" s="59" t="s">
        <v>204</v>
      </c>
      <c r="M7" s="59" t="s">
        <v>204</v>
      </c>
      <c r="N7" s="59" t="s">
        <v>204</v>
      </c>
      <c r="O7" s="41" t="s">
        <v>25</v>
      </c>
      <c r="P7" s="41" t="s">
        <v>22</v>
      </c>
      <c r="Q7" s="41" t="s">
        <v>32</v>
      </c>
      <c r="R7" s="41" t="s">
        <v>19</v>
      </c>
      <c r="S7" s="41">
        <v>1825</v>
      </c>
      <c r="T7" s="41" t="s">
        <v>24</v>
      </c>
    </row>
    <row r="8" spans="1:20">
      <c r="A8" s="61" t="s">
        <v>621</v>
      </c>
      <c r="D8" s="41"/>
      <c r="H8" s="41"/>
      <c r="I8" s="41"/>
      <c r="J8" s="41"/>
      <c r="P8" s="41"/>
      <c r="Q8" s="41"/>
      <c r="R8" s="41"/>
      <c r="S8" s="41"/>
      <c r="T8" s="41"/>
    </row>
    <row r="9" spans="1:20">
      <c r="A9" s="153">
        <v>90103</v>
      </c>
      <c r="B9" s="71" t="s">
        <v>367</v>
      </c>
      <c r="C9" s="71" t="s">
        <v>367</v>
      </c>
      <c r="D9" s="59" t="s">
        <v>486</v>
      </c>
      <c r="E9" s="41" t="s">
        <v>25</v>
      </c>
      <c r="F9" s="41" t="s">
        <v>25</v>
      </c>
      <c r="G9" s="41" t="s">
        <v>25</v>
      </c>
      <c r="H9" s="41" t="s">
        <v>487</v>
      </c>
      <c r="I9" s="41" t="s">
        <v>25</v>
      </c>
      <c r="J9" s="41" t="s">
        <v>25</v>
      </c>
      <c r="K9" s="41" t="s">
        <v>25</v>
      </c>
      <c r="L9" s="59" t="s">
        <v>204</v>
      </c>
      <c r="M9" s="41" t="s">
        <v>25</v>
      </c>
      <c r="N9" s="41" t="s">
        <v>25</v>
      </c>
      <c r="O9" s="41" t="s">
        <v>25</v>
      </c>
      <c r="P9" s="41" t="s">
        <v>22</v>
      </c>
      <c r="Q9" s="41" t="s">
        <v>32</v>
      </c>
      <c r="R9" s="41" t="s">
        <v>19</v>
      </c>
      <c r="S9" s="41">
        <v>1825</v>
      </c>
      <c r="T9" s="41" t="s">
        <v>24</v>
      </c>
    </row>
    <row r="10" spans="1:20">
      <c r="A10" s="61" t="s">
        <v>622</v>
      </c>
      <c r="H10" s="41"/>
      <c r="I10" s="41"/>
      <c r="J10" s="41"/>
      <c r="P10" s="41"/>
      <c r="Q10" s="41"/>
      <c r="R10" s="41"/>
      <c r="S10" s="41"/>
      <c r="T10" s="41"/>
    </row>
    <row r="11" spans="1:20">
      <c r="A11" s="154">
        <v>70101</v>
      </c>
      <c r="B11" s="59" t="s">
        <v>367</v>
      </c>
      <c r="C11" s="59" t="s">
        <v>470</v>
      </c>
      <c r="D11" s="41" t="s">
        <v>484</v>
      </c>
      <c r="E11" s="59" t="s">
        <v>93</v>
      </c>
      <c r="F11" s="59" t="s">
        <v>94</v>
      </c>
      <c r="G11" s="41" t="s">
        <v>25</v>
      </c>
      <c r="H11" s="41" t="s">
        <v>28</v>
      </c>
      <c r="I11" s="41" t="s">
        <v>28</v>
      </c>
      <c r="J11" s="41" t="s">
        <v>28</v>
      </c>
      <c r="K11" s="41" t="s">
        <v>25</v>
      </c>
      <c r="L11" s="59" t="s">
        <v>498</v>
      </c>
      <c r="M11" s="59" t="s">
        <v>498</v>
      </c>
      <c r="N11" s="59" t="s">
        <v>498</v>
      </c>
      <c r="O11" s="41" t="s">
        <v>25</v>
      </c>
      <c r="P11" s="41" t="s">
        <v>531</v>
      </c>
      <c r="Q11" s="41" t="s">
        <v>530</v>
      </c>
      <c r="R11" s="41" t="s">
        <v>19</v>
      </c>
      <c r="S11" s="41" t="s">
        <v>80</v>
      </c>
      <c r="T11" s="41" t="s">
        <v>24</v>
      </c>
    </row>
    <row r="12" spans="1:20">
      <c r="A12" s="61" t="s">
        <v>623</v>
      </c>
      <c r="D12" s="41"/>
      <c r="H12" s="41"/>
      <c r="I12" s="41"/>
      <c r="J12" s="41"/>
      <c r="P12" s="41"/>
      <c r="Q12" s="41"/>
      <c r="R12" s="41"/>
      <c r="S12" s="41"/>
      <c r="T12" s="41"/>
    </row>
    <row r="13" spans="1:20">
      <c r="A13" s="154">
        <v>70103</v>
      </c>
      <c r="B13" s="59" t="s">
        <v>367</v>
      </c>
      <c r="C13" s="59" t="s">
        <v>367</v>
      </c>
      <c r="D13" s="59" t="s">
        <v>486</v>
      </c>
      <c r="E13" s="41" t="s">
        <v>25</v>
      </c>
      <c r="F13" s="41" t="s">
        <v>25</v>
      </c>
      <c r="G13" s="41" t="s">
        <v>25</v>
      </c>
      <c r="H13" s="41" t="s">
        <v>487</v>
      </c>
      <c r="I13" s="41" t="s">
        <v>25</v>
      </c>
      <c r="J13" s="41" t="s">
        <v>25</v>
      </c>
      <c r="K13" s="41" t="s">
        <v>25</v>
      </c>
      <c r="L13" s="59" t="s">
        <v>497</v>
      </c>
      <c r="M13" s="41" t="s">
        <v>25</v>
      </c>
      <c r="N13" s="41" t="s">
        <v>25</v>
      </c>
      <c r="O13" s="41" t="s">
        <v>25</v>
      </c>
      <c r="P13" s="41" t="s">
        <v>532</v>
      </c>
      <c r="Q13" s="41" t="s">
        <v>533</v>
      </c>
      <c r="R13" s="41" t="s">
        <v>19</v>
      </c>
      <c r="S13" s="41" t="s">
        <v>80</v>
      </c>
      <c r="T13" s="41" t="s">
        <v>24</v>
      </c>
    </row>
    <row r="14" spans="1:20">
      <c r="A14" s="61" t="s">
        <v>624</v>
      </c>
      <c r="E14" s="41"/>
      <c r="F14" s="41"/>
      <c r="G14" s="41"/>
      <c r="H14" s="41"/>
      <c r="I14" s="41"/>
      <c r="J14" s="41"/>
      <c r="K14" s="41"/>
      <c r="M14" s="41"/>
      <c r="N14" s="41"/>
      <c r="O14" s="41"/>
      <c r="P14" s="41"/>
      <c r="Q14" s="41"/>
      <c r="R14" s="41"/>
      <c r="S14" s="41"/>
      <c r="T14" s="41"/>
    </row>
    <row r="15" spans="1:20">
      <c r="A15" s="155" t="s">
        <v>500</v>
      </c>
      <c r="B15" s="59" t="s">
        <v>477</v>
      </c>
      <c r="C15" s="59" t="s">
        <v>470</v>
      </c>
      <c r="D15" s="41" t="s">
        <v>23</v>
      </c>
      <c r="E15" s="59" t="s">
        <v>93</v>
      </c>
      <c r="F15" s="59" t="s">
        <v>94</v>
      </c>
      <c r="G15" s="41" t="s">
        <v>25</v>
      </c>
      <c r="H15" s="41" t="s">
        <v>28</v>
      </c>
      <c r="I15" s="41" t="s">
        <v>28</v>
      </c>
      <c r="J15" s="41" t="s">
        <v>28</v>
      </c>
      <c r="K15" s="41" t="s">
        <v>25</v>
      </c>
      <c r="L15" s="40" t="s">
        <v>503</v>
      </c>
      <c r="M15" s="40" t="s">
        <v>503</v>
      </c>
      <c r="N15" s="40" t="s">
        <v>503</v>
      </c>
      <c r="O15" s="41" t="s">
        <v>25</v>
      </c>
      <c r="P15" s="41" t="s">
        <v>534</v>
      </c>
      <c r="Q15" s="41" t="s">
        <v>535</v>
      </c>
      <c r="R15" s="38" t="s">
        <v>0</v>
      </c>
      <c r="S15" s="41" t="s">
        <v>482</v>
      </c>
      <c r="T15" s="41" t="s">
        <v>24</v>
      </c>
    </row>
    <row r="16" spans="1:20">
      <c r="A16" s="62" t="s">
        <v>508</v>
      </c>
      <c r="D16" s="41"/>
      <c r="H16" s="41"/>
      <c r="I16" s="41"/>
      <c r="J16" s="41"/>
      <c r="L16" s="40"/>
      <c r="M16" s="40"/>
      <c r="N16" s="40"/>
      <c r="P16" s="41"/>
      <c r="Q16" s="41"/>
      <c r="R16" s="38"/>
      <c r="S16" s="41"/>
      <c r="T16" s="41"/>
    </row>
    <row r="17" spans="1:20">
      <c r="A17" s="74">
        <v>70203</v>
      </c>
      <c r="B17" s="59" t="s">
        <v>470</v>
      </c>
      <c r="C17" s="59" t="s">
        <v>470</v>
      </c>
      <c r="D17" s="59" t="s">
        <v>486</v>
      </c>
      <c r="E17" s="41" t="s">
        <v>25</v>
      </c>
      <c r="F17" s="41" t="s">
        <v>25</v>
      </c>
      <c r="G17" s="41" t="s">
        <v>25</v>
      </c>
      <c r="H17" s="41" t="s">
        <v>28</v>
      </c>
      <c r="I17" s="41" t="s">
        <v>25</v>
      </c>
      <c r="J17" s="41" t="s">
        <v>25</v>
      </c>
      <c r="K17" s="41" t="s">
        <v>25</v>
      </c>
      <c r="L17" s="40" t="s">
        <v>503</v>
      </c>
      <c r="M17" s="40" t="s">
        <v>503</v>
      </c>
      <c r="N17" s="40" t="s">
        <v>503</v>
      </c>
      <c r="O17" s="41" t="s">
        <v>25</v>
      </c>
      <c r="P17" s="41" t="s">
        <v>536</v>
      </c>
      <c r="Q17" s="41" t="s">
        <v>537</v>
      </c>
      <c r="R17" s="38" t="s">
        <v>0</v>
      </c>
      <c r="S17" s="41" t="s">
        <v>482</v>
      </c>
      <c r="T17" s="41" t="s">
        <v>24</v>
      </c>
    </row>
    <row r="18" spans="1:20">
      <c r="A18" s="63" t="s">
        <v>509</v>
      </c>
      <c r="E18" s="41"/>
      <c r="F18" s="41"/>
      <c r="G18" s="41"/>
      <c r="H18" s="41"/>
      <c r="I18" s="41"/>
      <c r="J18" s="41"/>
      <c r="K18" s="41"/>
      <c r="L18" s="40"/>
      <c r="M18" s="40"/>
      <c r="N18" s="40"/>
      <c r="O18" s="41"/>
      <c r="P18" s="41"/>
      <c r="Q18" s="41"/>
      <c r="R18" s="38"/>
      <c r="S18" s="41"/>
      <c r="T18" s="41"/>
    </row>
    <row r="19" spans="1:20">
      <c r="A19" s="70">
        <v>70201</v>
      </c>
      <c r="B19" s="59" t="s">
        <v>477</v>
      </c>
      <c r="C19" s="59" t="s">
        <v>470</v>
      </c>
      <c r="D19" s="41" t="s">
        <v>484</v>
      </c>
      <c r="E19" s="59" t="s">
        <v>93</v>
      </c>
      <c r="F19" s="59" t="s">
        <v>94</v>
      </c>
      <c r="G19" s="41" t="s">
        <v>25</v>
      </c>
      <c r="H19" s="41" t="s">
        <v>28</v>
      </c>
      <c r="I19" s="41" t="s">
        <v>28</v>
      </c>
      <c r="J19" s="41" t="s">
        <v>28</v>
      </c>
      <c r="K19" s="41" t="s">
        <v>25</v>
      </c>
      <c r="L19" s="40" t="s">
        <v>503</v>
      </c>
      <c r="M19" s="40" t="s">
        <v>503</v>
      </c>
      <c r="N19" s="40" t="s">
        <v>503</v>
      </c>
      <c r="O19" s="41" t="s">
        <v>25</v>
      </c>
      <c r="P19" s="41" t="s">
        <v>538</v>
      </c>
      <c r="Q19" s="41" t="s">
        <v>539</v>
      </c>
      <c r="R19" s="38" t="s">
        <v>0</v>
      </c>
      <c r="S19" s="41" t="s">
        <v>80</v>
      </c>
      <c r="T19" s="41" t="s">
        <v>24</v>
      </c>
    </row>
    <row r="20" spans="1:20" s="76" customFormat="1">
      <c r="A20" s="70" t="s">
        <v>625</v>
      </c>
      <c r="B20" s="60"/>
      <c r="C20" s="60"/>
      <c r="D20" s="75"/>
      <c r="E20" s="60"/>
      <c r="F20" s="60"/>
      <c r="G20" s="60"/>
      <c r="H20" s="75"/>
      <c r="I20" s="75"/>
      <c r="J20" s="75"/>
      <c r="K20" s="60"/>
      <c r="L20" s="60"/>
      <c r="M20" s="60"/>
      <c r="N20" s="60"/>
      <c r="O20" s="60"/>
      <c r="P20" s="75"/>
      <c r="Q20" s="75"/>
      <c r="R20" s="75"/>
      <c r="S20" s="75"/>
      <c r="T20" s="75"/>
    </row>
    <row r="21" spans="1:20" s="73" customFormat="1">
      <c r="A21" s="70" t="s">
        <v>542</v>
      </c>
      <c r="B21" s="71"/>
      <c r="C21" s="71"/>
      <c r="D21" s="72"/>
      <c r="E21" s="71"/>
      <c r="F21" s="71"/>
      <c r="G21" s="71"/>
      <c r="H21" s="72"/>
      <c r="I21" s="72"/>
      <c r="J21" s="72"/>
      <c r="K21" s="71"/>
      <c r="L21" s="71"/>
      <c r="M21" s="71"/>
      <c r="N21" s="71"/>
      <c r="O21" s="71"/>
      <c r="P21" s="72"/>
      <c r="Q21" s="72"/>
      <c r="R21" s="72"/>
      <c r="S21" s="72"/>
      <c r="T21" s="72"/>
    </row>
    <row r="22" spans="1:20" s="73" customFormat="1">
      <c r="A22" s="78">
        <v>11600</v>
      </c>
      <c r="B22" s="71" t="s">
        <v>367</v>
      </c>
      <c r="C22" s="71" t="s">
        <v>367</v>
      </c>
      <c r="D22" s="41" t="s">
        <v>23</v>
      </c>
      <c r="E22" s="59" t="s">
        <v>93</v>
      </c>
      <c r="F22" s="59" t="s">
        <v>94</v>
      </c>
      <c r="G22" s="41" t="s">
        <v>25</v>
      </c>
      <c r="H22" s="41" t="s">
        <v>28</v>
      </c>
      <c r="I22" s="41" t="s">
        <v>28</v>
      </c>
      <c r="J22" s="41" t="s">
        <v>28</v>
      </c>
      <c r="K22" s="41" t="s">
        <v>25</v>
      </c>
      <c r="L22" s="71" t="s">
        <v>547</v>
      </c>
      <c r="M22" s="71" t="s">
        <v>547</v>
      </c>
      <c r="N22" s="71" t="s">
        <v>547</v>
      </c>
      <c r="O22" s="41" t="s">
        <v>25</v>
      </c>
      <c r="P22" s="77" t="s">
        <v>544</v>
      </c>
      <c r="Q22" s="77" t="s">
        <v>32</v>
      </c>
      <c r="R22" s="72" t="s">
        <v>546</v>
      </c>
      <c r="S22" s="41" t="s">
        <v>545</v>
      </c>
      <c r="T22" s="41" t="s">
        <v>24</v>
      </c>
    </row>
    <row r="23" spans="1:20" s="73" customFormat="1">
      <c r="A23" s="78">
        <v>11601</v>
      </c>
      <c r="B23" s="71" t="s">
        <v>367</v>
      </c>
      <c r="C23" s="71" t="s">
        <v>367</v>
      </c>
      <c r="D23" s="41" t="s">
        <v>23</v>
      </c>
      <c r="E23" s="59" t="s">
        <v>93</v>
      </c>
      <c r="F23" s="59" t="s">
        <v>94</v>
      </c>
      <c r="G23" s="41" t="s">
        <v>25</v>
      </c>
      <c r="H23" s="41" t="s">
        <v>28</v>
      </c>
      <c r="I23" s="41" t="s">
        <v>28</v>
      </c>
      <c r="J23" s="41" t="s">
        <v>28</v>
      </c>
      <c r="K23" s="41" t="s">
        <v>25</v>
      </c>
      <c r="L23" s="71" t="s">
        <v>548</v>
      </c>
      <c r="M23" s="71" t="s">
        <v>548</v>
      </c>
      <c r="N23" s="71" t="s">
        <v>548</v>
      </c>
      <c r="O23" s="41" t="s">
        <v>25</v>
      </c>
      <c r="P23" s="77" t="s">
        <v>544</v>
      </c>
      <c r="Q23" s="77" t="s">
        <v>32</v>
      </c>
      <c r="R23" s="72" t="s">
        <v>546</v>
      </c>
      <c r="S23" s="41" t="s">
        <v>545</v>
      </c>
      <c r="T23" s="41" t="s">
        <v>24</v>
      </c>
    </row>
    <row r="24" spans="1:20" s="73" customFormat="1">
      <c r="A24" s="78">
        <v>11602</v>
      </c>
      <c r="B24" s="71" t="s">
        <v>367</v>
      </c>
      <c r="C24" s="71" t="s">
        <v>367</v>
      </c>
      <c r="D24" s="41" t="s">
        <v>23</v>
      </c>
      <c r="E24" s="59" t="s">
        <v>93</v>
      </c>
      <c r="F24" s="59" t="s">
        <v>94</v>
      </c>
      <c r="G24" s="41" t="s">
        <v>25</v>
      </c>
      <c r="H24" s="41" t="s">
        <v>28</v>
      </c>
      <c r="I24" s="41" t="s">
        <v>28</v>
      </c>
      <c r="J24" s="41" t="s">
        <v>28</v>
      </c>
      <c r="K24" s="41" t="s">
        <v>25</v>
      </c>
      <c r="L24" s="71" t="s">
        <v>549</v>
      </c>
      <c r="M24" s="71" t="s">
        <v>549</v>
      </c>
      <c r="N24" s="71" t="s">
        <v>549</v>
      </c>
      <c r="O24" s="41" t="s">
        <v>25</v>
      </c>
      <c r="P24" s="77" t="s">
        <v>544</v>
      </c>
      <c r="Q24" s="77" t="s">
        <v>32</v>
      </c>
      <c r="R24" s="72" t="s">
        <v>546</v>
      </c>
      <c r="S24" s="41" t="s">
        <v>545</v>
      </c>
      <c r="T24" s="41" t="s">
        <v>24</v>
      </c>
    </row>
    <row r="25" spans="1:20" s="73" customFormat="1">
      <c r="A25" s="78">
        <v>11603</v>
      </c>
      <c r="B25" s="71" t="s">
        <v>367</v>
      </c>
      <c r="C25" s="71" t="s">
        <v>367</v>
      </c>
      <c r="D25" s="41" t="s">
        <v>23</v>
      </c>
      <c r="E25" s="59" t="s">
        <v>93</v>
      </c>
      <c r="F25" s="59" t="s">
        <v>94</v>
      </c>
      <c r="G25" s="41" t="s">
        <v>25</v>
      </c>
      <c r="H25" s="41" t="s">
        <v>28</v>
      </c>
      <c r="I25" s="41" t="s">
        <v>28</v>
      </c>
      <c r="J25" s="41" t="s">
        <v>28</v>
      </c>
      <c r="K25" s="41" t="s">
        <v>25</v>
      </c>
      <c r="L25" s="71" t="s">
        <v>550</v>
      </c>
      <c r="M25" s="71" t="s">
        <v>550</v>
      </c>
      <c r="N25" s="71" t="s">
        <v>550</v>
      </c>
      <c r="O25" s="41" t="s">
        <v>25</v>
      </c>
      <c r="P25" s="77" t="s">
        <v>544</v>
      </c>
      <c r="Q25" s="77" t="s">
        <v>32</v>
      </c>
      <c r="R25" s="72" t="s">
        <v>546</v>
      </c>
      <c r="S25" s="41" t="s">
        <v>545</v>
      </c>
      <c r="T25" s="41" t="s">
        <v>24</v>
      </c>
    </row>
    <row r="26" spans="1:20" s="73" customFormat="1">
      <c r="A26" s="78">
        <v>11604</v>
      </c>
      <c r="B26" s="71" t="s">
        <v>367</v>
      </c>
      <c r="C26" s="71" t="s">
        <v>367</v>
      </c>
      <c r="D26" s="41" t="s">
        <v>23</v>
      </c>
      <c r="E26" s="59" t="s">
        <v>93</v>
      </c>
      <c r="F26" s="59" t="s">
        <v>94</v>
      </c>
      <c r="G26" s="41" t="s">
        <v>25</v>
      </c>
      <c r="H26" s="41" t="s">
        <v>28</v>
      </c>
      <c r="I26" s="41" t="s">
        <v>28</v>
      </c>
      <c r="J26" s="41" t="s">
        <v>28</v>
      </c>
      <c r="K26" s="41" t="s">
        <v>25</v>
      </c>
      <c r="L26" s="71" t="s">
        <v>551</v>
      </c>
      <c r="M26" s="71" t="s">
        <v>551</v>
      </c>
      <c r="N26" s="71" t="s">
        <v>551</v>
      </c>
      <c r="O26" s="41" t="s">
        <v>25</v>
      </c>
      <c r="P26" s="77" t="s">
        <v>544</v>
      </c>
      <c r="Q26" s="77" t="s">
        <v>32</v>
      </c>
      <c r="R26" s="72" t="s">
        <v>546</v>
      </c>
      <c r="S26" s="41" t="s">
        <v>545</v>
      </c>
      <c r="T26" s="41" t="s">
        <v>24</v>
      </c>
    </row>
    <row r="27" spans="1:20" s="73" customFormat="1">
      <c r="A27" s="78">
        <v>13600</v>
      </c>
      <c r="B27" s="71" t="s">
        <v>367</v>
      </c>
      <c r="C27" s="71" t="s">
        <v>367</v>
      </c>
      <c r="D27" s="21" t="s">
        <v>108</v>
      </c>
      <c r="E27" s="41" t="s">
        <v>25</v>
      </c>
      <c r="F27" s="41" t="s">
        <v>25</v>
      </c>
      <c r="G27" s="41" t="s">
        <v>25</v>
      </c>
      <c r="H27" s="41" t="s">
        <v>28</v>
      </c>
      <c r="I27" s="41" t="s">
        <v>25</v>
      </c>
      <c r="J27" s="41" t="s">
        <v>25</v>
      </c>
      <c r="K27" s="41" t="s">
        <v>25</v>
      </c>
      <c r="L27" s="71" t="s">
        <v>550</v>
      </c>
      <c r="M27" s="71" t="s">
        <v>550</v>
      </c>
      <c r="N27" s="71" t="s">
        <v>550</v>
      </c>
      <c r="O27" s="41" t="s">
        <v>25</v>
      </c>
      <c r="P27" s="77" t="s">
        <v>544</v>
      </c>
      <c r="Q27" s="77" t="s">
        <v>32</v>
      </c>
      <c r="R27" s="72" t="s">
        <v>546</v>
      </c>
      <c r="S27" s="41" t="s">
        <v>545</v>
      </c>
      <c r="T27" s="41" t="s">
        <v>24</v>
      </c>
    </row>
    <row r="28" spans="1:20" s="73" customFormat="1">
      <c r="A28" s="154">
        <v>11100</v>
      </c>
      <c r="B28" s="71" t="s">
        <v>367</v>
      </c>
      <c r="C28" s="71" t="s">
        <v>342</v>
      </c>
      <c r="D28" s="41" t="s">
        <v>107</v>
      </c>
      <c r="E28" s="59" t="s">
        <v>93</v>
      </c>
      <c r="F28" s="59" t="s">
        <v>94</v>
      </c>
      <c r="G28" s="41" t="s">
        <v>25</v>
      </c>
      <c r="H28" s="41" t="s">
        <v>28</v>
      </c>
      <c r="I28" s="41" t="s">
        <v>28</v>
      </c>
      <c r="J28" s="41" t="s">
        <v>28</v>
      </c>
      <c r="K28" s="41" t="s">
        <v>25</v>
      </c>
      <c r="L28" s="71" t="s">
        <v>550</v>
      </c>
      <c r="M28" s="71" t="s">
        <v>550</v>
      </c>
      <c r="N28" s="71" t="s">
        <v>550</v>
      </c>
      <c r="O28" s="41" t="s">
        <v>25</v>
      </c>
      <c r="P28" s="77" t="s">
        <v>544</v>
      </c>
      <c r="Q28" s="77" t="s">
        <v>32</v>
      </c>
      <c r="R28" s="72" t="s">
        <v>546</v>
      </c>
      <c r="S28" s="41" t="s">
        <v>545</v>
      </c>
      <c r="T28" s="41" t="s">
        <v>24</v>
      </c>
    </row>
    <row r="29" spans="1:20" s="73" customFormat="1">
      <c r="A29" s="154">
        <v>11101</v>
      </c>
      <c r="B29" s="71" t="s">
        <v>367</v>
      </c>
      <c r="C29" s="71" t="s">
        <v>342</v>
      </c>
      <c r="D29" s="41" t="s">
        <v>628</v>
      </c>
      <c r="E29" s="59" t="s">
        <v>626</v>
      </c>
      <c r="F29" s="59" t="s">
        <v>627</v>
      </c>
      <c r="G29" s="41" t="s">
        <v>25</v>
      </c>
      <c r="H29" s="41" t="s">
        <v>28</v>
      </c>
      <c r="I29" s="41" t="s">
        <v>28</v>
      </c>
      <c r="J29" s="41" t="s">
        <v>28</v>
      </c>
      <c r="K29" s="41" t="s">
        <v>25</v>
      </c>
      <c r="L29" s="71" t="s">
        <v>550</v>
      </c>
      <c r="M29" s="71" t="s">
        <v>550</v>
      </c>
      <c r="N29" s="71" t="s">
        <v>550</v>
      </c>
      <c r="O29" s="41" t="s">
        <v>25</v>
      </c>
      <c r="P29" s="77" t="s">
        <v>544</v>
      </c>
      <c r="Q29" s="77" t="s">
        <v>32</v>
      </c>
      <c r="R29" s="72" t="s">
        <v>546</v>
      </c>
      <c r="S29" s="41" t="s">
        <v>545</v>
      </c>
      <c r="T29" s="41" t="s">
        <v>24</v>
      </c>
    </row>
    <row r="30" spans="1:20" s="73" customFormat="1">
      <c r="A30" s="154">
        <v>11102</v>
      </c>
      <c r="B30" s="71" t="s">
        <v>367</v>
      </c>
      <c r="C30" s="71" t="s">
        <v>342</v>
      </c>
      <c r="D30" s="41" t="s">
        <v>107</v>
      </c>
      <c r="E30" s="59" t="s">
        <v>93</v>
      </c>
      <c r="F30" s="59" t="s">
        <v>94</v>
      </c>
      <c r="G30" s="41" t="s">
        <v>25</v>
      </c>
      <c r="H30" s="41" t="s">
        <v>28</v>
      </c>
      <c r="I30" s="41" t="s">
        <v>28</v>
      </c>
      <c r="J30" s="41" t="s">
        <v>28</v>
      </c>
      <c r="K30" s="41" t="s">
        <v>25</v>
      </c>
      <c r="L30" s="71" t="s">
        <v>600</v>
      </c>
      <c r="M30" s="71" t="s">
        <v>600</v>
      </c>
      <c r="N30" s="71" t="s">
        <v>600</v>
      </c>
      <c r="O30" s="41" t="s">
        <v>25</v>
      </c>
      <c r="P30" s="59" t="s">
        <v>583</v>
      </c>
      <c r="Q30" s="59" t="s">
        <v>584</v>
      </c>
      <c r="R30" s="72" t="s">
        <v>546</v>
      </c>
      <c r="S30" s="41" t="s">
        <v>545</v>
      </c>
      <c r="T30" s="41" t="s">
        <v>24</v>
      </c>
    </row>
    <row r="31" spans="1:20" s="73" customFormat="1">
      <c r="A31" s="154">
        <v>11103</v>
      </c>
      <c r="B31" s="71" t="s">
        <v>367</v>
      </c>
      <c r="C31" s="71" t="s">
        <v>342</v>
      </c>
      <c r="D31" s="41" t="s">
        <v>630</v>
      </c>
      <c r="E31" s="59" t="s">
        <v>626</v>
      </c>
      <c r="F31" s="59" t="s">
        <v>627</v>
      </c>
      <c r="G31" s="41" t="s">
        <v>25</v>
      </c>
      <c r="H31" s="41" t="s">
        <v>28</v>
      </c>
      <c r="I31" s="41" t="s">
        <v>28</v>
      </c>
      <c r="J31" s="41" t="s">
        <v>28</v>
      </c>
      <c r="K31" s="41" t="s">
        <v>25</v>
      </c>
      <c r="L31" s="71" t="s">
        <v>600</v>
      </c>
      <c r="M31" s="71" t="s">
        <v>600</v>
      </c>
      <c r="N31" s="71" t="s">
        <v>600</v>
      </c>
      <c r="O31" s="41" t="s">
        <v>25</v>
      </c>
      <c r="P31" s="59" t="s">
        <v>583</v>
      </c>
      <c r="Q31" s="59" t="s">
        <v>584</v>
      </c>
      <c r="R31" s="72" t="s">
        <v>546</v>
      </c>
      <c r="S31" s="41" t="s">
        <v>545</v>
      </c>
      <c r="T31" s="41" t="s">
        <v>24</v>
      </c>
    </row>
    <row r="32" spans="1:20" s="73" customFormat="1">
      <c r="A32" s="156">
        <v>11104</v>
      </c>
      <c r="B32" s="71" t="s">
        <v>367</v>
      </c>
      <c r="C32" s="71" t="s">
        <v>572</v>
      </c>
      <c r="D32" s="41" t="s">
        <v>107</v>
      </c>
      <c r="E32" s="59" t="s">
        <v>626</v>
      </c>
      <c r="F32" s="59" t="s">
        <v>627</v>
      </c>
      <c r="G32" s="41" t="s">
        <v>25</v>
      </c>
      <c r="H32" s="41" t="s">
        <v>28</v>
      </c>
      <c r="I32" s="41" t="s">
        <v>28</v>
      </c>
      <c r="J32" s="41" t="s">
        <v>28</v>
      </c>
      <c r="K32" s="41" t="s">
        <v>25</v>
      </c>
      <c r="L32" s="71" t="s">
        <v>585</v>
      </c>
      <c r="M32" s="71" t="s">
        <v>586</v>
      </c>
      <c r="N32" s="71" t="s">
        <v>586</v>
      </c>
      <c r="O32" s="41" t="s">
        <v>25</v>
      </c>
      <c r="P32" s="59" t="s">
        <v>583</v>
      </c>
      <c r="Q32" s="59" t="s">
        <v>584</v>
      </c>
      <c r="R32" s="72" t="s">
        <v>546</v>
      </c>
      <c r="S32" s="41" t="s">
        <v>545</v>
      </c>
      <c r="T32" s="41" t="s">
        <v>24</v>
      </c>
    </row>
    <row r="33" spans="1:20" s="73" customFormat="1">
      <c r="A33" s="78">
        <v>11200</v>
      </c>
      <c r="B33" s="71" t="s">
        <v>54</v>
      </c>
      <c r="C33" s="71" t="s">
        <v>572</v>
      </c>
      <c r="D33" s="41" t="s">
        <v>343</v>
      </c>
      <c r="E33" s="59" t="s">
        <v>93</v>
      </c>
      <c r="F33" s="59" t="s">
        <v>94</v>
      </c>
      <c r="G33" s="41" t="s">
        <v>25</v>
      </c>
      <c r="H33" s="41" t="s">
        <v>28</v>
      </c>
      <c r="I33" s="41" t="s">
        <v>28</v>
      </c>
      <c r="J33" s="41" t="s">
        <v>28</v>
      </c>
      <c r="K33" s="41" t="s">
        <v>25</v>
      </c>
      <c r="L33" s="71" t="s">
        <v>550</v>
      </c>
      <c r="M33" s="71" t="s">
        <v>550</v>
      </c>
      <c r="N33" s="71" t="s">
        <v>550</v>
      </c>
      <c r="O33" s="41" t="s">
        <v>25</v>
      </c>
      <c r="P33" s="77" t="s">
        <v>544</v>
      </c>
      <c r="Q33" s="77" t="s">
        <v>32</v>
      </c>
      <c r="R33" s="72" t="s">
        <v>546</v>
      </c>
      <c r="S33" s="41" t="s">
        <v>545</v>
      </c>
      <c r="T33" s="41" t="s">
        <v>24</v>
      </c>
    </row>
    <row r="34" spans="1:20" s="73" customFormat="1">
      <c r="A34" s="78">
        <v>11300</v>
      </c>
      <c r="B34" s="71" t="s">
        <v>367</v>
      </c>
      <c r="C34" s="71" t="s">
        <v>367</v>
      </c>
      <c r="D34" s="41" t="s">
        <v>555</v>
      </c>
      <c r="E34" s="59" t="s">
        <v>93</v>
      </c>
      <c r="F34" s="59" t="s">
        <v>94</v>
      </c>
      <c r="G34" s="41" t="s">
        <v>25</v>
      </c>
      <c r="H34" s="41" t="s">
        <v>28</v>
      </c>
      <c r="I34" s="41" t="s">
        <v>28</v>
      </c>
      <c r="J34" s="41" t="s">
        <v>28</v>
      </c>
      <c r="K34" s="41" t="s">
        <v>25</v>
      </c>
      <c r="L34" s="71" t="s">
        <v>550</v>
      </c>
      <c r="M34" s="71" t="s">
        <v>550</v>
      </c>
      <c r="N34" s="71" t="s">
        <v>550</v>
      </c>
      <c r="O34" s="41" t="s">
        <v>25</v>
      </c>
      <c r="P34" s="77" t="s">
        <v>544</v>
      </c>
      <c r="Q34" s="77" t="s">
        <v>32</v>
      </c>
      <c r="R34" s="72" t="s">
        <v>546</v>
      </c>
      <c r="S34" s="41" t="s">
        <v>545</v>
      </c>
      <c r="T34" s="41" t="s">
        <v>24</v>
      </c>
    </row>
    <row r="35" spans="1:20" s="73" customFormat="1">
      <c r="A35" s="78">
        <v>11400</v>
      </c>
      <c r="B35" s="71" t="s">
        <v>367</v>
      </c>
      <c r="C35" s="71" t="s">
        <v>367</v>
      </c>
      <c r="D35" s="41" t="s">
        <v>484</v>
      </c>
      <c r="E35" s="59" t="s">
        <v>93</v>
      </c>
      <c r="F35" s="59" t="s">
        <v>94</v>
      </c>
      <c r="G35" s="41" t="s">
        <v>25</v>
      </c>
      <c r="H35" s="41" t="s">
        <v>28</v>
      </c>
      <c r="I35" s="41" t="s">
        <v>28</v>
      </c>
      <c r="J35" s="41" t="s">
        <v>28</v>
      </c>
      <c r="K35" s="41" t="s">
        <v>25</v>
      </c>
      <c r="L35" s="71" t="s">
        <v>550</v>
      </c>
      <c r="M35" s="71" t="s">
        <v>550</v>
      </c>
      <c r="N35" s="71" t="s">
        <v>550</v>
      </c>
      <c r="O35" s="41" t="s">
        <v>25</v>
      </c>
      <c r="P35" s="77" t="s">
        <v>544</v>
      </c>
      <c r="Q35" s="77" t="s">
        <v>32</v>
      </c>
      <c r="R35" s="72" t="s">
        <v>546</v>
      </c>
      <c r="S35" s="41" t="s">
        <v>545</v>
      </c>
      <c r="T35" s="41" t="s">
        <v>24</v>
      </c>
    </row>
    <row r="36" spans="1:20" s="73" customFormat="1">
      <c r="A36" s="78">
        <v>13100</v>
      </c>
      <c r="B36" s="71" t="s">
        <v>367</v>
      </c>
      <c r="C36" s="71" t="s">
        <v>367</v>
      </c>
      <c r="D36" s="41" t="s">
        <v>557</v>
      </c>
      <c r="E36" s="59" t="s">
        <v>25</v>
      </c>
      <c r="F36" s="59" t="s">
        <v>25</v>
      </c>
      <c r="G36" s="59" t="s">
        <v>25</v>
      </c>
      <c r="H36" s="41" t="s">
        <v>28</v>
      </c>
      <c r="I36" s="41" t="s">
        <v>25</v>
      </c>
      <c r="J36" s="41" t="s">
        <v>25</v>
      </c>
      <c r="K36" s="59" t="s">
        <v>25</v>
      </c>
      <c r="L36" s="71" t="s">
        <v>550</v>
      </c>
      <c r="M36" s="71" t="s">
        <v>550</v>
      </c>
      <c r="N36" s="71" t="s">
        <v>550</v>
      </c>
      <c r="O36" s="59" t="s">
        <v>25</v>
      </c>
      <c r="P36" s="77" t="s">
        <v>544</v>
      </c>
      <c r="Q36" s="77" t="s">
        <v>32</v>
      </c>
      <c r="R36" s="72" t="s">
        <v>546</v>
      </c>
      <c r="S36" s="41" t="s">
        <v>545</v>
      </c>
      <c r="T36" s="41" t="s">
        <v>24</v>
      </c>
    </row>
    <row r="37" spans="1:20">
      <c r="A37" s="156">
        <v>13200</v>
      </c>
      <c r="B37" s="71" t="s">
        <v>54</v>
      </c>
      <c r="C37" s="71" t="s">
        <v>572</v>
      </c>
      <c r="D37" s="41" t="s">
        <v>559</v>
      </c>
      <c r="E37" s="59" t="s">
        <v>25</v>
      </c>
      <c r="F37" s="59" t="s">
        <v>25</v>
      </c>
      <c r="G37" s="59" t="s">
        <v>25</v>
      </c>
      <c r="H37" s="41" t="s">
        <v>570</v>
      </c>
      <c r="I37" s="41" t="s">
        <v>25</v>
      </c>
      <c r="J37" s="41" t="s">
        <v>25</v>
      </c>
      <c r="K37" s="59" t="s">
        <v>25</v>
      </c>
      <c r="L37" s="71" t="s">
        <v>550</v>
      </c>
      <c r="M37" s="71" t="s">
        <v>550</v>
      </c>
      <c r="N37" s="71" t="s">
        <v>550</v>
      </c>
      <c r="O37" s="59" t="s">
        <v>25</v>
      </c>
      <c r="P37" s="77" t="s">
        <v>544</v>
      </c>
      <c r="Q37" s="77" t="s">
        <v>32</v>
      </c>
      <c r="R37" s="72" t="s">
        <v>546</v>
      </c>
      <c r="S37" s="41" t="s">
        <v>545</v>
      </c>
      <c r="T37" s="41" t="s">
        <v>24</v>
      </c>
    </row>
    <row r="38" spans="1:20">
      <c r="A38" s="78">
        <v>13300</v>
      </c>
      <c r="B38" s="71" t="s">
        <v>367</v>
      </c>
      <c r="C38" s="71" t="s">
        <v>367</v>
      </c>
      <c r="D38" s="41" t="s">
        <v>560</v>
      </c>
      <c r="E38" s="59" t="s">
        <v>25</v>
      </c>
      <c r="F38" s="59" t="s">
        <v>25</v>
      </c>
      <c r="G38" s="59" t="s">
        <v>25</v>
      </c>
      <c r="H38" s="41" t="s">
        <v>28</v>
      </c>
      <c r="I38" s="41" t="s">
        <v>25</v>
      </c>
      <c r="J38" s="41" t="s">
        <v>25</v>
      </c>
      <c r="K38" s="59" t="s">
        <v>25</v>
      </c>
      <c r="L38" s="71" t="s">
        <v>550</v>
      </c>
      <c r="M38" s="71" t="s">
        <v>550</v>
      </c>
      <c r="N38" s="71" t="s">
        <v>550</v>
      </c>
      <c r="O38" s="59" t="s">
        <v>25</v>
      </c>
      <c r="P38" s="77" t="s">
        <v>544</v>
      </c>
      <c r="Q38" s="77" t="s">
        <v>32</v>
      </c>
      <c r="R38" s="72" t="s">
        <v>546</v>
      </c>
      <c r="S38" s="41" t="s">
        <v>545</v>
      </c>
      <c r="T38" s="41" t="s">
        <v>24</v>
      </c>
    </row>
    <row r="39" spans="1:20">
      <c r="A39" s="78">
        <v>13400</v>
      </c>
      <c r="B39" s="71" t="s">
        <v>367</v>
      </c>
      <c r="C39" s="71" t="s">
        <v>367</v>
      </c>
      <c r="D39" s="41" t="s">
        <v>561</v>
      </c>
      <c r="E39" s="59" t="s">
        <v>25</v>
      </c>
      <c r="F39" s="59" t="s">
        <v>25</v>
      </c>
      <c r="G39" s="59" t="s">
        <v>25</v>
      </c>
      <c r="H39" s="41" t="s">
        <v>28</v>
      </c>
      <c r="I39" s="41" t="s">
        <v>25</v>
      </c>
      <c r="J39" s="41" t="s">
        <v>25</v>
      </c>
      <c r="K39" s="59" t="s">
        <v>25</v>
      </c>
      <c r="L39" s="71" t="s">
        <v>550</v>
      </c>
      <c r="M39" s="71" t="s">
        <v>550</v>
      </c>
      <c r="N39" s="71" t="s">
        <v>550</v>
      </c>
      <c r="O39" s="59" t="s">
        <v>25</v>
      </c>
      <c r="P39" s="77" t="s">
        <v>544</v>
      </c>
      <c r="Q39" s="77" t="s">
        <v>32</v>
      </c>
      <c r="R39" s="72" t="s">
        <v>546</v>
      </c>
      <c r="S39" s="41" t="s">
        <v>545</v>
      </c>
      <c r="T39" s="41" t="s">
        <v>24</v>
      </c>
    </row>
    <row r="40" spans="1:20">
      <c r="A40" s="59" t="s">
        <v>576</v>
      </c>
      <c r="B40" s="71"/>
      <c r="C40" s="71"/>
      <c r="D40" s="41"/>
      <c r="H40" s="41"/>
      <c r="I40" s="41"/>
      <c r="J40" s="41"/>
      <c r="L40" s="71"/>
      <c r="M40" s="71"/>
      <c r="N40" s="71"/>
      <c r="P40" s="77"/>
      <c r="Q40" s="77"/>
      <c r="R40" s="72"/>
      <c r="S40" s="41"/>
      <c r="T40" s="41"/>
    </row>
    <row r="41" spans="1:20">
      <c r="A41" s="45">
        <v>11401</v>
      </c>
      <c r="B41" s="71" t="s">
        <v>367</v>
      </c>
      <c r="C41" s="71" t="s">
        <v>367</v>
      </c>
      <c r="D41" s="41" t="s">
        <v>484</v>
      </c>
      <c r="E41" s="59" t="s">
        <v>93</v>
      </c>
      <c r="F41" s="59" t="s">
        <v>94</v>
      </c>
      <c r="G41" s="41" t="s">
        <v>25</v>
      </c>
      <c r="H41" s="41" t="s">
        <v>28</v>
      </c>
      <c r="I41" s="41" t="s">
        <v>28</v>
      </c>
      <c r="J41" s="41" t="s">
        <v>28</v>
      </c>
      <c r="K41" s="41" t="s">
        <v>25</v>
      </c>
      <c r="L41" s="71" t="s">
        <v>573</v>
      </c>
      <c r="M41" s="71" t="s">
        <v>573</v>
      </c>
      <c r="N41" s="71" t="s">
        <v>573</v>
      </c>
      <c r="O41" s="41" t="s">
        <v>25</v>
      </c>
      <c r="P41" s="77" t="s">
        <v>544</v>
      </c>
      <c r="Q41" s="77" t="s">
        <v>32</v>
      </c>
      <c r="R41" s="72" t="s">
        <v>546</v>
      </c>
      <c r="S41" s="41" t="s">
        <v>545</v>
      </c>
      <c r="T41" s="41" t="s">
        <v>24</v>
      </c>
    </row>
    <row r="42" spans="1:20">
      <c r="A42" s="45">
        <v>13401</v>
      </c>
      <c r="B42" s="71" t="s">
        <v>367</v>
      </c>
      <c r="C42" s="71" t="s">
        <v>367</v>
      </c>
      <c r="D42" s="41" t="s">
        <v>561</v>
      </c>
      <c r="E42" s="59" t="s">
        <v>25</v>
      </c>
      <c r="F42" s="59" t="s">
        <v>25</v>
      </c>
      <c r="G42" s="59" t="s">
        <v>25</v>
      </c>
      <c r="H42" s="41" t="s">
        <v>28</v>
      </c>
      <c r="I42" s="41" t="s">
        <v>25</v>
      </c>
      <c r="J42" s="41" t="s">
        <v>25</v>
      </c>
      <c r="K42" s="59" t="s">
        <v>25</v>
      </c>
      <c r="L42" s="71" t="s">
        <v>573</v>
      </c>
      <c r="M42" s="71" t="s">
        <v>573</v>
      </c>
      <c r="N42" s="71" t="s">
        <v>573</v>
      </c>
      <c r="O42" s="59" t="s">
        <v>25</v>
      </c>
      <c r="P42" s="77" t="s">
        <v>544</v>
      </c>
      <c r="Q42" s="77" t="s">
        <v>32</v>
      </c>
      <c r="R42" s="72" t="s">
        <v>546</v>
      </c>
      <c r="S42" s="41" t="s">
        <v>545</v>
      </c>
      <c r="T42" s="41" t="s">
        <v>24</v>
      </c>
    </row>
    <row r="43" spans="1:20">
      <c r="A43" s="59" t="s">
        <v>575</v>
      </c>
      <c r="B43" s="71"/>
      <c r="C43" s="71"/>
      <c r="D43" s="41"/>
      <c r="H43" s="41"/>
      <c r="I43" s="41"/>
      <c r="J43" s="41"/>
      <c r="L43" s="71"/>
      <c r="M43" s="71"/>
      <c r="N43" s="71"/>
      <c r="P43" s="77"/>
      <c r="Q43" s="77"/>
      <c r="R43" s="72"/>
      <c r="S43" s="41"/>
      <c r="T43" s="41"/>
    </row>
    <row r="44" spans="1:20">
      <c r="A44" s="45">
        <v>11402</v>
      </c>
      <c r="B44" s="71" t="s">
        <v>54</v>
      </c>
      <c r="C44" s="71" t="s">
        <v>470</v>
      </c>
      <c r="D44" s="41" t="s">
        <v>484</v>
      </c>
      <c r="E44" s="59" t="s">
        <v>93</v>
      </c>
      <c r="F44" s="59" t="s">
        <v>94</v>
      </c>
      <c r="G44" s="41" t="s">
        <v>25</v>
      </c>
      <c r="H44" s="41" t="s">
        <v>28</v>
      </c>
      <c r="I44" s="41" t="s">
        <v>28</v>
      </c>
      <c r="J44" s="41" t="s">
        <v>28</v>
      </c>
      <c r="K44" s="41" t="s">
        <v>25</v>
      </c>
      <c r="L44" s="71" t="s">
        <v>574</v>
      </c>
      <c r="M44" s="71" t="s">
        <v>574</v>
      </c>
      <c r="N44" s="71" t="s">
        <v>574</v>
      </c>
      <c r="O44" s="41" t="s">
        <v>25</v>
      </c>
      <c r="P44" s="77" t="s">
        <v>544</v>
      </c>
      <c r="Q44" s="77" t="s">
        <v>32</v>
      </c>
      <c r="R44" s="72" t="s">
        <v>546</v>
      </c>
      <c r="S44" s="41" t="s">
        <v>545</v>
      </c>
      <c r="T44" s="41" t="s">
        <v>24</v>
      </c>
    </row>
    <row r="45" spans="1:20">
      <c r="A45" s="157">
        <v>13402</v>
      </c>
      <c r="B45" s="71" t="s">
        <v>54</v>
      </c>
      <c r="C45" s="71" t="s">
        <v>470</v>
      </c>
      <c r="D45" s="41" t="s">
        <v>561</v>
      </c>
      <c r="E45" s="59" t="s">
        <v>25</v>
      </c>
      <c r="F45" s="59" t="s">
        <v>25</v>
      </c>
      <c r="G45" s="59" t="s">
        <v>25</v>
      </c>
      <c r="H45" s="41" t="s">
        <v>28</v>
      </c>
      <c r="I45" s="41" t="s">
        <v>25</v>
      </c>
      <c r="J45" s="41" t="s">
        <v>25</v>
      </c>
      <c r="K45" s="59" t="s">
        <v>25</v>
      </c>
      <c r="L45" s="71" t="s">
        <v>574</v>
      </c>
      <c r="M45" s="71" t="s">
        <v>574</v>
      </c>
      <c r="N45" s="71" t="s">
        <v>574</v>
      </c>
      <c r="O45" s="59" t="s">
        <v>25</v>
      </c>
      <c r="P45" s="77" t="s">
        <v>544</v>
      </c>
      <c r="Q45" s="77" t="s">
        <v>32</v>
      </c>
      <c r="R45" s="72" t="s">
        <v>546</v>
      </c>
      <c r="S45" s="41" t="s">
        <v>545</v>
      </c>
      <c r="T45" s="41" t="s">
        <v>24</v>
      </c>
    </row>
    <row r="46" spans="1:20">
      <c r="A46" s="59" t="s">
        <v>587</v>
      </c>
    </row>
    <row r="47" spans="1:20">
      <c r="A47" s="45">
        <v>11605</v>
      </c>
      <c r="B47" s="71" t="s">
        <v>367</v>
      </c>
      <c r="C47" s="71" t="s">
        <v>342</v>
      </c>
      <c r="D47" s="41" t="s">
        <v>23</v>
      </c>
      <c r="E47" s="59" t="s">
        <v>93</v>
      </c>
      <c r="F47" s="59" t="s">
        <v>94</v>
      </c>
      <c r="G47" s="41" t="s">
        <v>25</v>
      </c>
      <c r="H47" s="41" t="s">
        <v>28</v>
      </c>
      <c r="I47" s="41" t="s">
        <v>28</v>
      </c>
      <c r="J47" s="41" t="s">
        <v>28</v>
      </c>
      <c r="K47" s="41" t="s">
        <v>25</v>
      </c>
      <c r="L47" s="71" t="s">
        <v>585</v>
      </c>
      <c r="M47" s="71" t="s">
        <v>585</v>
      </c>
      <c r="N47" s="71" t="s">
        <v>585</v>
      </c>
      <c r="O47" s="41" t="s">
        <v>25</v>
      </c>
      <c r="P47" s="59" t="s">
        <v>583</v>
      </c>
      <c r="Q47" s="59" t="s">
        <v>584</v>
      </c>
      <c r="R47" s="72" t="s">
        <v>546</v>
      </c>
      <c r="S47" s="41" t="s">
        <v>545</v>
      </c>
      <c r="T47" s="41" t="s">
        <v>24</v>
      </c>
    </row>
    <row r="48" spans="1:20">
      <c r="A48" s="59" t="s">
        <v>588</v>
      </c>
    </row>
    <row r="49" spans="1:20">
      <c r="A49" s="159">
        <v>11606</v>
      </c>
      <c r="B49" s="71" t="s">
        <v>367</v>
      </c>
      <c r="C49" s="71" t="s">
        <v>342</v>
      </c>
      <c r="D49" s="41" t="s">
        <v>23</v>
      </c>
      <c r="E49" s="59" t="s">
        <v>93</v>
      </c>
      <c r="F49" s="59" t="s">
        <v>94</v>
      </c>
      <c r="G49" s="41" t="s">
        <v>25</v>
      </c>
      <c r="H49" s="41" t="s">
        <v>28</v>
      </c>
      <c r="I49" s="41" t="s">
        <v>28</v>
      </c>
      <c r="J49" s="41" t="s">
        <v>28</v>
      </c>
      <c r="K49" s="41" t="s">
        <v>25</v>
      </c>
      <c r="L49" s="71" t="s">
        <v>586</v>
      </c>
      <c r="M49" s="71" t="s">
        <v>586</v>
      </c>
      <c r="N49" s="71" t="s">
        <v>586</v>
      </c>
      <c r="O49" s="41" t="s">
        <v>25</v>
      </c>
      <c r="P49" s="59" t="s">
        <v>583</v>
      </c>
      <c r="Q49" s="59" t="s">
        <v>584</v>
      </c>
      <c r="R49" s="72" t="s">
        <v>546</v>
      </c>
      <c r="S49" s="41" t="s">
        <v>545</v>
      </c>
      <c r="T49" s="41" t="s">
        <v>24</v>
      </c>
    </row>
    <row r="50" spans="1:20">
      <c r="A50" s="59" t="s">
        <v>589</v>
      </c>
    </row>
    <row r="51" spans="1:20">
      <c r="A51" s="159">
        <v>11607</v>
      </c>
      <c r="B51" s="71" t="s">
        <v>367</v>
      </c>
      <c r="C51" s="71" t="s">
        <v>342</v>
      </c>
      <c r="D51" s="41" t="s">
        <v>23</v>
      </c>
      <c r="E51" s="59" t="s">
        <v>93</v>
      </c>
      <c r="F51" s="59" t="s">
        <v>94</v>
      </c>
      <c r="G51" s="41" t="s">
        <v>25</v>
      </c>
      <c r="H51" s="41" t="s">
        <v>28</v>
      </c>
      <c r="I51" s="41" t="s">
        <v>28</v>
      </c>
      <c r="J51" s="41" t="s">
        <v>28</v>
      </c>
      <c r="K51" s="41" t="s">
        <v>25</v>
      </c>
      <c r="L51" s="71" t="s">
        <v>591</v>
      </c>
      <c r="M51" s="71" t="s">
        <v>591</v>
      </c>
      <c r="N51" s="71" t="s">
        <v>591</v>
      </c>
      <c r="O51" s="41" t="s">
        <v>25</v>
      </c>
      <c r="P51" s="59" t="s">
        <v>583</v>
      </c>
      <c r="Q51" s="59" t="s">
        <v>584</v>
      </c>
      <c r="R51" s="72" t="s">
        <v>546</v>
      </c>
      <c r="S51" s="41" t="s">
        <v>545</v>
      </c>
      <c r="T51" s="41" t="s">
        <v>24</v>
      </c>
    </row>
    <row r="52" spans="1:20">
      <c r="A52" s="59" t="s">
        <v>590</v>
      </c>
    </row>
    <row r="53" spans="1:20">
      <c r="A53" s="159">
        <v>11608</v>
      </c>
      <c r="B53" s="71" t="s">
        <v>367</v>
      </c>
      <c r="C53" s="71" t="s">
        <v>342</v>
      </c>
      <c r="D53" s="41" t="s">
        <v>23</v>
      </c>
      <c r="E53" s="59" t="s">
        <v>93</v>
      </c>
      <c r="F53" s="59" t="s">
        <v>94</v>
      </c>
      <c r="G53" s="41" t="s">
        <v>25</v>
      </c>
      <c r="H53" s="41" t="s">
        <v>28</v>
      </c>
      <c r="I53" s="41" t="s">
        <v>28</v>
      </c>
      <c r="J53" s="41" t="s">
        <v>28</v>
      </c>
      <c r="K53" s="41" t="s">
        <v>25</v>
      </c>
      <c r="L53" s="71" t="s">
        <v>592</v>
      </c>
      <c r="M53" s="71" t="s">
        <v>592</v>
      </c>
      <c r="N53" s="71" t="s">
        <v>592</v>
      </c>
      <c r="O53" s="41" t="s">
        <v>25</v>
      </c>
      <c r="P53" s="59" t="s">
        <v>583</v>
      </c>
      <c r="Q53" s="59" t="s">
        <v>584</v>
      </c>
      <c r="R53" s="72" t="s">
        <v>546</v>
      </c>
      <c r="S53" s="41" t="s">
        <v>545</v>
      </c>
      <c r="T53" s="41" t="s">
        <v>24</v>
      </c>
    </row>
    <row r="54" spans="1:20" s="73" customFormat="1">
      <c r="A54" s="157">
        <v>13609</v>
      </c>
      <c r="B54" s="71" t="s">
        <v>54</v>
      </c>
      <c r="C54" s="71" t="s">
        <v>470</v>
      </c>
      <c r="D54" s="21" t="s">
        <v>108</v>
      </c>
      <c r="E54" s="59" t="s">
        <v>25</v>
      </c>
      <c r="F54" s="59" t="s">
        <v>25</v>
      </c>
      <c r="G54" s="59" t="s">
        <v>25</v>
      </c>
      <c r="H54" s="41" t="s">
        <v>28</v>
      </c>
      <c r="I54" s="41" t="s">
        <v>25</v>
      </c>
      <c r="J54" s="41" t="s">
        <v>25</v>
      </c>
      <c r="K54" s="59" t="s">
        <v>25</v>
      </c>
      <c r="L54" s="71" t="s">
        <v>600</v>
      </c>
      <c r="M54" s="71" t="s">
        <v>25</v>
      </c>
      <c r="N54" s="71" t="s">
        <v>25</v>
      </c>
      <c r="O54" s="59" t="s">
        <v>25</v>
      </c>
      <c r="P54" s="59" t="s">
        <v>583</v>
      </c>
      <c r="Q54" s="59" t="s">
        <v>584</v>
      </c>
      <c r="R54" s="72" t="s">
        <v>546</v>
      </c>
      <c r="S54" s="41" t="s">
        <v>545</v>
      </c>
      <c r="T54" s="41" t="s">
        <v>24</v>
      </c>
    </row>
    <row r="55" spans="1:20" s="73" customFormat="1">
      <c r="A55" s="45" t="s">
        <v>610</v>
      </c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</row>
    <row r="56" spans="1:20" s="73" customFormat="1">
      <c r="A56" s="157">
        <v>31609</v>
      </c>
      <c r="B56" s="71" t="s">
        <v>504</v>
      </c>
      <c r="C56" s="71" t="s">
        <v>571</v>
      </c>
      <c r="D56" s="41" t="s">
        <v>23</v>
      </c>
      <c r="E56" s="59" t="s">
        <v>93</v>
      </c>
      <c r="F56" s="59" t="s">
        <v>94</v>
      </c>
      <c r="G56" s="41" t="s">
        <v>25</v>
      </c>
      <c r="H56" s="41" t="s">
        <v>28</v>
      </c>
      <c r="I56" s="41" t="s">
        <v>28</v>
      </c>
      <c r="J56" s="41" t="s">
        <v>28</v>
      </c>
      <c r="K56" s="41" t="s">
        <v>25</v>
      </c>
      <c r="L56" s="71" t="s">
        <v>606</v>
      </c>
      <c r="M56" s="71" t="s">
        <v>606</v>
      </c>
      <c r="N56" s="71" t="s">
        <v>606</v>
      </c>
      <c r="O56" s="41" t="s">
        <v>25</v>
      </c>
      <c r="P56" s="59" t="s">
        <v>607</v>
      </c>
      <c r="Q56" s="59" t="s">
        <v>612</v>
      </c>
      <c r="R56" s="72" t="s">
        <v>0</v>
      </c>
      <c r="S56" s="41" t="s">
        <v>482</v>
      </c>
      <c r="T56" s="41" t="s">
        <v>24</v>
      </c>
    </row>
    <row r="57" spans="1:20" s="73" customFormat="1">
      <c r="A57" s="45" t="s">
        <v>611</v>
      </c>
      <c r="B57" s="71"/>
      <c r="C57" s="71"/>
      <c r="D57" s="41"/>
      <c r="E57" s="59"/>
      <c r="F57" s="59"/>
      <c r="G57" s="59"/>
      <c r="H57" s="41"/>
      <c r="I57" s="41"/>
      <c r="J57" s="41"/>
      <c r="K57" s="59"/>
      <c r="L57" s="71"/>
      <c r="M57" s="71"/>
      <c r="N57" s="71"/>
      <c r="O57" s="59"/>
      <c r="P57" s="59"/>
      <c r="Q57" s="59"/>
      <c r="R57" s="72"/>
      <c r="S57" s="41"/>
      <c r="T57" s="41"/>
    </row>
    <row r="58" spans="1:20" s="73" customFormat="1">
      <c r="A58" s="157">
        <v>33609</v>
      </c>
      <c r="B58" s="71" t="s">
        <v>504</v>
      </c>
      <c r="C58" s="71" t="s">
        <v>571</v>
      </c>
      <c r="D58" s="21" t="s">
        <v>108</v>
      </c>
      <c r="E58" s="59" t="s">
        <v>25</v>
      </c>
      <c r="F58" s="59" t="s">
        <v>25</v>
      </c>
      <c r="G58" s="59" t="s">
        <v>25</v>
      </c>
      <c r="H58" s="41" t="s">
        <v>28</v>
      </c>
      <c r="I58" s="41" t="s">
        <v>25</v>
      </c>
      <c r="J58" s="41" t="s">
        <v>25</v>
      </c>
      <c r="K58" s="59" t="s">
        <v>25</v>
      </c>
      <c r="L58" s="71" t="s">
        <v>609</v>
      </c>
      <c r="M58" s="71" t="s">
        <v>25</v>
      </c>
      <c r="N58" s="71" t="s">
        <v>25</v>
      </c>
      <c r="O58" s="59" t="s">
        <v>25</v>
      </c>
      <c r="P58" s="59" t="s">
        <v>608</v>
      </c>
      <c r="Q58" s="59" t="s">
        <v>613</v>
      </c>
      <c r="R58" s="72" t="s">
        <v>0</v>
      </c>
      <c r="S58" s="41" t="s">
        <v>482</v>
      </c>
      <c r="T58" s="41" t="s">
        <v>24</v>
      </c>
    </row>
    <row r="59" spans="1:20" s="73" customFormat="1">
      <c r="A59" s="45" t="s">
        <v>614</v>
      </c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</row>
    <row r="60" spans="1:20" s="73" customFormat="1">
      <c r="A60" s="158">
        <v>31610</v>
      </c>
      <c r="B60" s="71" t="s">
        <v>477</v>
      </c>
      <c r="C60" s="71" t="s">
        <v>572</v>
      </c>
      <c r="D60" s="41" t="s">
        <v>23</v>
      </c>
      <c r="E60" s="59" t="s">
        <v>93</v>
      </c>
      <c r="F60" s="59" t="s">
        <v>94</v>
      </c>
      <c r="G60" s="41" t="s">
        <v>25</v>
      </c>
      <c r="H60" s="41" t="s">
        <v>28</v>
      </c>
      <c r="I60" s="41" t="s">
        <v>28</v>
      </c>
      <c r="J60" s="41" t="s">
        <v>28</v>
      </c>
      <c r="K60" s="41" t="s">
        <v>25</v>
      </c>
      <c r="L60" s="71" t="s">
        <v>616</v>
      </c>
      <c r="M60" s="71" t="s">
        <v>616</v>
      </c>
      <c r="N60" s="71" t="s">
        <v>616</v>
      </c>
      <c r="O60" s="41" t="s">
        <v>25</v>
      </c>
      <c r="P60" s="59" t="s">
        <v>607</v>
      </c>
      <c r="Q60" s="59" t="s">
        <v>612</v>
      </c>
      <c r="R60" s="72" t="s">
        <v>0</v>
      </c>
      <c r="S60" s="41" t="s">
        <v>482</v>
      </c>
      <c r="T60" s="41" t="s">
        <v>24</v>
      </c>
    </row>
    <row r="61" spans="1:20">
      <c r="A61" s="153">
        <v>99100</v>
      </c>
      <c r="B61" s="71" t="s">
        <v>367</v>
      </c>
      <c r="C61" s="71" t="s">
        <v>367</v>
      </c>
      <c r="D61" s="41" t="s">
        <v>23</v>
      </c>
      <c r="E61" s="59" t="s">
        <v>93</v>
      </c>
      <c r="F61" s="59" t="s">
        <v>94</v>
      </c>
      <c r="G61" s="41" t="s">
        <v>25</v>
      </c>
      <c r="H61" s="41" t="s">
        <v>28</v>
      </c>
      <c r="I61" s="41" t="s">
        <v>28</v>
      </c>
      <c r="J61" s="41" t="s">
        <v>28</v>
      </c>
      <c r="K61" s="41" t="s">
        <v>25</v>
      </c>
      <c r="L61" s="59" t="s">
        <v>204</v>
      </c>
      <c r="M61" s="59" t="s">
        <v>204</v>
      </c>
      <c r="N61" s="59" t="s">
        <v>204</v>
      </c>
      <c r="O61" s="41" t="s">
        <v>25</v>
      </c>
      <c r="P61" s="41" t="s">
        <v>22</v>
      </c>
      <c r="Q61" s="41" t="s">
        <v>32</v>
      </c>
      <c r="R61" s="41" t="s">
        <v>19</v>
      </c>
      <c r="S61" s="41">
        <v>1825</v>
      </c>
      <c r="T61" s="41" t="s">
        <v>24</v>
      </c>
    </row>
    <row r="62" spans="1:20">
      <c r="A62" s="45" t="s">
        <v>599</v>
      </c>
    </row>
    <row r="63" spans="1:20">
      <c r="A63" s="157">
        <v>11609</v>
      </c>
      <c r="B63" s="71" t="s">
        <v>54</v>
      </c>
      <c r="C63" s="71" t="s">
        <v>470</v>
      </c>
      <c r="D63" s="41" t="s">
        <v>23</v>
      </c>
      <c r="E63" s="59" t="s">
        <v>93</v>
      </c>
      <c r="F63" s="59" t="s">
        <v>94</v>
      </c>
      <c r="G63" s="41" t="s">
        <v>25</v>
      </c>
      <c r="H63" s="41" t="s">
        <v>28</v>
      </c>
      <c r="I63" s="41" t="s">
        <v>28</v>
      </c>
      <c r="J63" s="41" t="s">
        <v>28</v>
      </c>
      <c r="K63" s="41" t="s">
        <v>25</v>
      </c>
      <c r="L63" s="71" t="s">
        <v>600</v>
      </c>
      <c r="M63" s="71" t="s">
        <v>600</v>
      </c>
      <c r="N63" s="71" t="s">
        <v>600</v>
      </c>
      <c r="O63" s="41" t="s">
        <v>25</v>
      </c>
      <c r="P63" s="59" t="s">
        <v>583</v>
      </c>
      <c r="Q63" s="59" t="s">
        <v>584</v>
      </c>
      <c r="R63" s="72" t="s">
        <v>546</v>
      </c>
      <c r="S63" s="41" t="s">
        <v>545</v>
      </c>
      <c r="T63" s="41" t="s">
        <v>24</v>
      </c>
    </row>
    <row r="64" spans="1:20">
      <c r="A64" s="38" t="s">
        <v>471</v>
      </c>
      <c r="D64" s="41"/>
      <c r="H64" s="41"/>
      <c r="I64" s="41"/>
      <c r="J64" s="41"/>
      <c r="P64" s="41"/>
      <c r="Q64" s="41"/>
      <c r="R64" s="41"/>
      <c r="S64" s="41"/>
      <c r="T64" s="41"/>
    </row>
    <row r="65" spans="1:20">
      <c r="A65" s="38" t="s">
        <v>472</v>
      </c>
      <c r="D65" s="41"/>
      <c r="H65" s="41"/>
      <c r="I65" s="41"/>
      <c r="J65" s="41"/>
      <c r="P65" s="41"/>
      <c r="Q65" s="41"/>
      <c r="R65" s="41"/>
      <c r="S65" s="41"/>
      <c r="T65" s="41"/>
    </row>
    <row r="66" spans="1:20">
      <c r="A66" s="61" t="s">
        <v>631</v>
      </c>
      <c r="D66" s="41"/>
      <c r="H66" s="41"/>
      <c r="I66" s="41"/>
      <c r="J66" s="41"/>
      <c r="P66" s="41"/>
      <c r="Q66" s="41"/>
      <c r="R66" s="41"/>
      <c r="S66" s="41"/>
      <c r="T66" s="41"/>
    </row>
    <row r="67" spans="1:20">
      <c r="A67" s="154">
        <v>79101</v>
      </c>
      <c r="B67" s="59" t="s">
        <v>367</v>
      </c>
      <c r="C67" s="59" t="s">
        <v>470</v>
      </c>
      <c r="D67" s="59" t="s">
        <v>23</v>
      </c>
      <c r="E67" s="59" t="s">
        <v>93</v>
      </c>
      <c r="F67" s="59" t="s">
        <v>94</v>
      </c>
      <c r="G67" s="41" t="s">
        <v>25</v>
      </c>
      <c r="H67" s="41" t="s">
        <v>28</v>
      </c>
      <c r="I67" s="41" t="s">
        <v>28</v>
      </c>
      <c r="J67" s="41" t="s">
        <v>28</v>
      </c>
      <c r="K67" s="41" t="s">
        <v>25</v>
      </c>
      <c r="L67" s="59" t="s">
        <v>473</v>
      </c>
      <c r="M67" s="59" t="s">
        <v>473</v>
      </c>
      <c r="N67" s="59" t="s">
        <v>473</v>
      </c>
      <c r="O67" s="41" t="s">
        <v>25</v>
      </c>
      <c r="P67" s="41" t="s">
        <v>528</v>
      </c>
      <c r="Q67" s="41" t="s">
        <v>529</v>
      </c>
      <c r="R67" s="41" t="s">
        <v>19</v>
      </c>
      <c r="S67" s="41" t="s">
        <v>80</v>
      </c>
      <c r="T67" s="41" t="s">
        <v>24</v>
      </c>
    </row>
    <row r="68" spans="1:20" s="73" customFormat="1">
      <c r="A68" s="45" t="s">
        <v>632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</row>
    <row r="69" spans="1:20" s="73" customFormat="1">
      <c r="A69" s="158">
        <v>21609</v>
      </c>
      <c r="B69" s="71" t="s">
        <v>367</v>
      </c>
      <c r="C69" s="71" t="s">
        <v>572</v>
      </c>
      <c r="D69" s="41" t="s">
        <v>23</v>
      </c>
      <c r="E69" s="59" t="s">
        <v>93</v>
      </c>
      <c r="F69" s="59" t="s">
        <v>94</v>
      </c>
      <c r="G69" s="41" t="s">
        <v>25</v>
      </c>
      <c r="H69" s="41" t="s">
        <v>28</v>
      </c>
      <c r="I69" s="41" t="s">
        <v>28</v>
      </c>
      <c r="J69" s="41" t="s">
        <v>28</v>
      </c>
      <c r="K69" s="41" t="s">
        <v>25</v>
      </c>
      <c r="L69" s="71" t="s">
        <v>615</v>
      </c>
      <c r="M69" s="71" t="s">
        <v>615</v>
      </c>
      <c r="N69" s="71" t="s">
        <v>615</v>
      </c>
      <c r="O69" s="41" t="s">
        <v>25</v>
      </c>
      <c r="P69" s="59" t="s">
        <v>617</v>
      </c>
      <c r="Q69" s="59" t="s">
        <v>618</v>
      </c>
      <c r="R69" s="72" t="s">
        <v>546</v>
      </c>
      <c r="S69" s="41" t="s">
        <v>80</v>
      </c>
      <c r="T69" s="41" t="s">
        <v>24</v>
      </c>
    </row>
    <row r="70" spans="1:20" s="73" customFormat="1">
      <c r="A70" s="71" t="s">
        <v>648</v>
      </c>
      <c r="B70" s="71"/>
      <c r="C70" s="71"/>
      <c r="D70" s="41"/>
      <c r="E70" s="59"/>
      <c r="F70" s="59"/>
      <c r="G70" s="59"/>
      <c r="H70" s="41"/>
      <c r="I70" s="41"/>
      <c r="J70" s="41"/>
      <c r="K70" s="59"/>
      <c r="L70" s="71"/>
      <c r="M70" s="71"/>
      <c r="N70" s="71"/>
      <c r="O70" s="59"/>
      <c r="P70" s="59"/>
      <c r="Q70" s="59"/>
      <c r="R70" s="72"/>
      <c r="S70" s="41"/>
      <c r="T70" s="41"/>
    </row>
    <row r="71" spans="1:20" s="73" customFormat="1">
      <c r="A71" s="153">
        <v>89100</v>
      </c>
      <c r="B71" s="71" t="s">
        <v>640</v>
      </c>
      <c r="C71" s="71" t="s">
        <v>367</v>
      </c>
      <c r="D71" s="41" t="s">
        <v>633</v>
      </c>
      <c r="E71" s="59" t="s">
        <v>25</v>
      </c>
      <c r="F71" s="59" t="s">
        <v>25</v>
      </c>
      <c r="G71" s="59" t="s">
        <v>25</v>
      </c>
      <c r="H71" s="41" t="s">
        <v>635</v>
      </c>
      <c r="I71" s="41" t="s">
        <v>25</v>
      </c>
      <c r="J71" s="41" t="s">
        <v>25</v>
      </c>
      <c r="K71" s="59" t="s">
        <v>25</v>
      </c>
      <c r="L71" s="59" t="s">
        <v>639</v>
      </c>
      <c r="M71" s="59" t="s">
        <v>25</v>
      </c>
      <c r="N71" s="59" t="s">
        <v>25</v>
      </c>
      <c r="O71" s="59" t="s">
        <v>25</v>
      </c>
      <c r="P71" s="41" t="s">
        <v>637</v>
      </c>
      <c r="Q71" s="41" t="s">
        <v>636</v>
      </c>
      <c r="R71" s="41" t="s">
        <v>19</v>
      </c>
      <c r="S71" s="41">
        <v>1825</v>
      </c>
      <c r="T71" s="41" t="s">
        <v>24</v>
      </c>
    </row>
    <row r="72" spans="1:20" s="73" customFormat="1">
      <c r="A72" s="71" t="s">
        <v>647</v>
      </c>
      <c r="B72" s="71"/>
      <c r="C72" s="71"/>
      <c r="D72" s="41"/>
      <c r="E72" s="59"/>
      <c r="F72" s="59"/>
      <c r="G72" s="59"/>
      <c r="H72" s="41"/>
      <c r="I72" s="41"/>
      <c r="J72" s="41"/>
      <c r="K72" s="59"/>
      <c r="L72" s="59"/>
      <c r="M72" s="59"/>
      <c r="N72" s="59"/>
      <c r="O72" s="59"/>
      <c r="P72" s="41"/>
      <c r="Q72" s="41"/>
      <c r="R72" s="41"/>
      <c r="S72" s="41"/>
      <c r="T72" s="41"/>
    </row>
    <row r="73" spans="1:20" s="73" customFormat="1">
      <c r="A73" s="153">
        <v>89101</v>
      </c>
      <c r="B73" s="71" t="s">
        <v>367</v>
      </c>
      <c r="C73" s="71" t="s">
        <v>644</v>
      </c>
      <c r="D73" s="41" t="s">
        <v>633</v>
      </c>
      <c r="E73" s="59" t="s">
        <v>25</v>
      </c>
      <c r="F73" s="59" t="s">
        <v>25</v>
      </c>
      <c r="G73" s="59" t="s">
        <v>25</v>
      </c>
      <c r="H73" s="41" t="s">
        <v>635</v>
      </c>
      <c r="I73" s="41" t="s">
        <v>25</v>
      </c>
      <c r="J73" s="41" t="s">
        <v>25</v>
      </c>
      <c r="K73" s="59" t="s">
        <v>25</v>
      </c>
      <c r="L73" s="59" t="s">
        <v>641</v>
      </c>
      <c r="M73" s="59" t="s">
        <v>25</v>
      </c>
      <c r="N73" s="59" t="s">
        <v>25</v>
      </c>
      <c r="O73" s="59" t="s">
        <v>25</v>
      </c>
      <c r="P73" s="41" t="s">
        <v>642</v>
      </c>
      <c r="Q73" s="41" t="s">
        <v>643</v>
      </c>
      <c r="R73" s="41" t="s">
        <v>19</v>
      </c>
      <c r="S73" s="41">
        <v>1825</v>
      </c>
      <c r="T73" s="41" t="s">
        <v>646</v>
      </c>
    </row>
    <row r="74" spans="1:20" s="73" customFormat="1">
      <c r="A74" s="71" t="s">
        <v>649</v>
      </c>
      <c r="B74" s="71"/>
      <c r="C74" s="71"/>
      <c r="D74" s="41"/>
      <c r="E74" s="59"/>
      <c r="F74" s="59"/>
      <c r="G74" s="59"/>
      <c r="H74" s="41"/>
      <c r="I74" s="41"/>
      <c r="J74" s="41"/>
      <c r="K74" s="59"/>
      <c r="L74" s="59"/>
      <c r="M74" s="59"/>
      <c r="N74" s="59"/>
      <c r="O74" s="59"/>
      <c r="P74" s="41"/>
      <c r="Q74" s="41"/>
      <c r="R74" s="41"/>
      <c r="S74" s="41"/>
      <c r="T74" s="41"/>
    </row>
    <row r="75" spans="1:20" s="73" customFormat="1">
      <c r="A75" s="153">
        <v>99101</v>
      </c>
      <c r="B75" s="71" t="s">
        <v>367</v>
      </c>
      <c r="C75" s="71" t="s">
        <v>644</v>
      </c>
      <c r="D75" s="41" t="s">
        <v>23</v>
      </c>
      <c r="E75" s="59" t="s">
        <v>93</v>
      </c>
      <c r="F75" s="59" t="s">
        <v>94</v>
      </c>
      <c r="G75" s="41" t="s">
        <v>25</v>
      </c>
      <c r="H75" s="41" t="s">
        <v>28</v>
      </c>
      <c r="I75" s="41" t="s">
        <v>28</v>
      </c>
      <c r="J75" s="41" t="s">
        <v>28</v>
      </c>
      <c r="K75" s="41" t="s">
        <v>25</v>
      </c>
      <c r="L75" s="59" t="s">
        <v>645</v>
      </c>
      <c r="M75" s="59" t="s">
        <v>645</v>
      </c>
      <c r="N75" s="59" t="s">
        <v>645</v>
      </c>
      <c r="O75" s="41" t="s">
        <v>25</v>
      </c>
      <c r="P75" s="59" t="s">
        <v>583</v>
      </c>
      <c r="Q75" s="59" t="s">
        <v>584</v>
      </c>
      <c r="R75" s="41" t="s">
        <v>19</v>
      </c>
      <c r="S75" s="41">
        <v>1825</v>
      </c>
      <c r="T75" s="41" t="s">
        <v>646</v>
      </c>
    </row>
    <row r="76" spans="1:20" s="73" customFormat="1">
      <c r="A76" s="71" t="s">
        <v>655</v>
      </c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</row>
    <row r="77" spans="1:20" s="73" customFormat="1">
      <c r="A77" s="153">
        <v>99102</v>
      </c>
      <c r="B77" s="71" t="s">
        <v>367</v>
      </c>
      <c r="C77" s="71" t="s">
        <v>367</v>
      </c>
      <c r="D77" s="41" t="s">
        <v>23</v>
      </c>
      <c r="E77" s="59" t="s">
        <v>93</v>
      </c>
      <c r="F77" s="59" t="s">
        <v>94</v>
      </c>
      <c r="G77" s="41" t="s">
        <v>25</v>
      </c>
      <c r="H77" s="41" t="s">
        <v>654</v>
      </c>
      <c r="I77" s="41" t="s">
        <v>654</v>
      </c>
      <c r="J77" s="41" t="s">
        <v>654</v>
      </c>
      <c r="K77" s="41" t="s">
        <v>25</v>
      </c>
      <c r="L77" s="59" t="s">
        <v>204</v>
      </c>
      <c r="M77" s="59" t="s">
        <v>204</v>
      </c>
      <c r="N77" s="59" t="s">
        <v>204</v>
      </c>
      <c r="O77" s="41" t="s">
        <v>25</v>
      </c>
      <c r="P77" s="41" t="s">
        <v>22</v>
      </c>
      <c r="Q77" s="41" t="s">
        <v>22</v>
      </c>
      <c r="R77" s="41" t="s">
        <v>19</v>
      </c>
      <c r="S77" s="41">
        <v>1825</v>
      </c>
      <c r="T77" s="41" t="s">
        <v>646</v>
      </c>
    </row>
    <row r="78" spans="1:20" s="73" customFormat="1">
      <c r="A78" s="71" t="s">
        <v>653</v>
      </c>
      <c r="B78" s="71"/>
      <c r="C78" s="71"/>
      <c r="D78" s="41"/>
      <c r="E78" s="59"/>
      <c r="F78" s="59"/>
      <c r="G78" s="59"/>
      <c r="H78" s="41"/>
      <c r="I78" s="41"/>
      <c r="J78" s="41"/>
      <c r="K78" s="41"/>
      <c r="L78" s="59"/>
      <c r="M78" s="59"/>
      <c r="N78" s="59"/>
      <c r="O78" s="59"/>
      <c r="P78" s="59"/>
      <c r="Q78" s="59"/>
      <c r="R78" s="41"/>
      <c r="S78" s="41"/>
      <c r="T78" s="41"/>
    </row>
    <row r="79" spans="1:20" s="73" customFormat="1">
      <c r="A79" s="153">
        <v>99103</v>
      </c>
      <c r="B79" s="71" t="s">
        <v>367</v>
      </c>
      <c r="C79" s="71" t="s">
        <v>367</v>
      </c>
      <c r="D79" s="41" t="s">
        <v>23</v>
      </c>
      <c r="E79" s="59" t="s">
        <v>93</v>
      </c>
      <c r="F79" s="59" t="s">
        <v>94</v>
      </c>
      <c r="G79" s="41" t="s">
        <v>25</v>
      </c>
      <c r="H79" s="41" t="s">
        <v>654</v>
      </c>
      <c r="I79" s="41" t="s">
        <v>654</v>
      </c>
      <c r="J79" s="41" t="s">
        <v>654</v>
      </c>
      <c r="K79" s="41" t="s">
        <v>25</v>
      </c>
      <c r="L79" s="59" t="s">
        <v>204</v>
      </c>
      <c r="M79" s="59" t="s">
        <v>204</v>
      </c>
      <c r="N79" s="59" t="s">
        <v>204</v>
      </c>
      <c r="O79" s="41" t="s">
        <v>25</v>
      </c>
      <c r="P79" s="41" t="s">
        <v>22</v>
      </c>
      <c r="Q79" s="41" t="s">
        <v>32</v>
      </c>
      <c r="R79" s="41" t="s">
        <v>19</v>
      </c>
      <c r="S79" s="41">
        <v>1825</v>
      </c>
      <c r="T79" s="41" t="s">
        <v>24</v>
      </c>
    </row>
    <row r="80" spans="1:20" s="73" customFormat="1">
      <c r="A80" s="74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</row>
    <row r="81" spans="1:20" s="73" customFormat="1">
      <c r="A81" s="74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</row>
    <row r="82" spans="1:20" s="73" customFormat="1">
      <c r="A82" s="74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</row>
    <row r="83" spans="1:20" s="73" customFormat="1">
      <c r="A83" s="74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</row>
    <row r="84" spans="1:20" s="73" customFormat="1">
      <c r="A84" s="74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</row>
    <row r="85" spans="1:20" s="73" customFormat="1">
      <c r="A85" s="74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</row>
    <row r="86" spans="1:20" s="73" customFormat="1">
      <c r="A86" s="74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</row>
    <row r="87" spans="1:20" s="73" customFormat="1">
      <c r="A87" s="56" t="s">
        <v>332</v>
      </c>
      <c r="B87" s="71"/>
      <c r="C87" s="71"/>
      <c r="D87" s="41"/>
      <c r="E87" s="59"/>
      <c r="F87" s="59"/>
      <c r="G87" s="59"/>
      <c r="H87" s="41"/>
      <c r="I87" s="41"/>
      <c r="J87" s="41"/>
      <c r="K87" s="41"/>
      <c r="L87" s="71"/>
      <c r="M87" s="71"/>
      <c r="N87" s="71"/>
      <c r="O87" s="71"/>
      <c r="P87" s="59"/>
      <c r="Q87" s="59"/>
      <c r="R87" s="72"/>
      <c r="S87" s="41"/>
      <c r="T87" s="41"/>
    </row>
    <row r="88" spans="1:20" s="73" customFormat="1">
      <c r="A88" s="74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</row>
    <row r="89" spans="1:20" s="73" customFormat="1">
      <c r="A89" s="78" t="s">
        <v>556</v>
      </c>
      <c r="B89" s="71" t="s">
        <v>367</v>
      </c>
      <c r="C89" s="71" t="s">
        <v>367</v>
      </c>
      <c r="D89" s="41" t="s">
        <v>76</v>
      </c>
      <c r="E89" s="59" t="s">
        <v>93</v>
      </c>
      <c r="F89" s="59" t="s">
        <v>94</v>
      </c>
      <c r="G89" s="59" t="s">
        <v>94</v>
      </c>
      <c r="H89" s="41" t="s">
        <v>28</v>
      </c>
      <c r="I89" s="41" t="s">
        <v>28</v>
      </c>
      <c r="J89" s="41" t="s">
        <v>28</v>
      </c>
      <c r="K89" s="41" t="s">
        <v>28</v>
      </c>
      <c r="L89" s="71" t="s">
        <v>550</v>
      </c>
      <c r="M89" s="71" t="s">
        <v>550</v>
      </c>
      <c r="N89" s="71" t="s">
        <v>550</v>
      </c>
      <c r="O89" s="71" t="s">
        <v>550</v>
      </c>
      <c r="P89" s="77" t="s">
        <v>544</v>
      </c>
      <c r="Q89" s="77" t="s">
        <v>544</v>
      </c>
      <c r="R89" s="72" t="s">
        <v>546</v>
      </c>
      <c r="S89" s="41" t="s">
        <v>545</v>
      </c>
      <c r="T89" s="41" t="s">
        <v>24</v>
      </c>
    </row>
    <row r="91" spans="1:20">
      <c r="A91" s="62" t="s">
        <v>512</v>
      </c>
      <c r="D91" s="41"/>
      <c r="H91" s="41"/>
      <c r="I91" s="41"/>
      <c r="J91" s="41"/>
      <c r="K91" s="41"/>
      <c r="L91" s="40"/>
      <c r="M91" s="40"/>
      <c r="N91" s="40"/>
      <c r="O91" s="40"/>
      <c r="P91" s="41"/>
      <c r="Q91" s="41"/>
      <c r="R91" s="38"/>
      <c r="S91" s="41"/>
      <c r="T91" s="41"/>
    </row>
    <row r="93" spans="1:20">
      <c r="A93" s="62" t="s">
        <v>510</v>
      </c>
    </row>
    <row r="95" spans="1:20">
      <c r="A95" s="62" t="s">
        <v>511</v>
      </c>
    </row>
    <row r="96" spans="1:20">
      <c r="D96" s="21"/>
      <c r="E96" s="41"/>
      <c r="F96" s="41"/>
      <c r="G96" s="41"/>
      <c r="H96" s="41"/>
      <c r="I96" s="41"/>
      <c r="J96" s="41"/>
      <c r="K96" s="41"/>
      <c r="M96" s="41"/>
      <c r="N96" s="41"/>
      <c r="O96" s="41"/>
      <c r="P96" s="41"/>
      <c r="Q96" s="41"/>
      <c r="R96" s="41"/>
      <c r="S96" s="41"/>
      <c r="T96" s="41"/>
    </row>
    <row r="97" spans="1:20">
      <c r="A97" s="62" t="s">
        <v>513</v>
      </c>
    </row>
    <row r="99" spans="1:20">
      <c r="A99" s="45" t="s">
        <v>514</v>
      </c>
    </row>
    <row r="101" spans="1:20">
      <c r="A101" s="45" t="s">
        <v>515</v>
      </c>
    </row>
    <row r="103" spans="1:20">
      <c r="A103" s="26" t="s">
        <v>490</v>
      </c>
      <c r="B103" s="59" t="s">
        <v>367</v>
      </c>
      <c r="C103" s="59" t="s">
        <v>367</v>
      </c>
      <c r="D103" s="41" t="s">
        <v>484</v>
      </c>
      <c r="E103" s="59" t="s">
        <v>93</v>
      </c>
      <c r="F103" s="59" t="s">
        <v>94</v>
      </c>
      <c r="G103" s="59" t="s">
        <v>94</v>
      </c>
      <c r="H103" s="41" t="s">
        <v>28</v>
      </c>
      <c r="I103" s="41" t="s">
        <v>28</v>
      </c>
      <c r="J103" s="41" t="s">
        <v>28</v>
      </c>
      <c r="K103" s="41" t="s">
        <v>28</v>
      </c>
      <c r="L103" s="59" t="s">
        <v>473</v>
      </c>
      <c r="M103" s="59" t="s">
        <v>473</v>
      </c>
      <c r="N103" s="59" t="s">
        <v>473</v>
      </c>
      <c r="O103" s="59" t="s">
        <v>473</v>
      </c>
      <c r="P103" s="41" t="s">
        <v>372</v>
      </c>
      <c r="Q103" s="41" t="s">
        <v>467</v>
      </c>
      <c r="R103" s="14" t="s">
        <v>0</v>
      </c>
      <c r="S103" s="41" t="s">
        <v>80</v>
      </c>
      <c r="T103" s="41" t="s">
        <v>24</v>
      </c>
    </row>
    <row r="104" spans="1:20">
      <c r="A104" s="38" t="s">
        <v>483</v>
      </c>
      <c r="D104" s="41"/>
      <c r="H104" s="41"/>
      <c r="I104" s="41"/>
      <c r="J104" s="41"/>
      <c r="K104" s="41"/>
      <c r="P104" s="41"/>
      <c r="Q104" s="41"/>
      <c r="R104" s="14"/>
      <c r="S104" s="41"/>
      <c r="T104" s="41"/>
    </row>
    <row r="105" spans="1:20">
      <c r="A105" s="26" t="s">
        <v>491</v>
      </c>
      <c r="B105" s="59" t="s">
        <v>477</v>
      </c>
      <c r="C105" s="59" t="s">
        <v>477</v>
      </c>
      <c r="D105" s="41" t="s">
        <v>484</v>
      </c>
      <c r="E105" s="59" t="s">
        <v>93</v>
      </c>
      <c r="F105" s="59" t="s">
        <v>94</v>
      </c>
      <c r="G105" s="59" t="s">
        <v>94</v>
      </c>
      <c r="H105" s="41" t="s">
        <v>28</v>
      </c>
      <c r="I105" s="41" t="s">
        <v>28</v>
      </c>
      <c r="J105" s="41" t="s">
        <v>28</v>
      </c>
      <c r="K105" s="41" t="s">
        <v>28</v>
      </c>
      <c r="L105" s="59" t="s">
        <v>501</v>
      </c>
      <c r="M105" s="59" t="s">
        <v>501</v>
      </c>
      <c r="N105" s="59" t="s">
        <v>501</v>
      </c>
      <c r="O105" s="59" t="s">
        <v>501</v>
      </c>
      <c r="P105" s="41" t="s">
        <v>480</v>
      </c>
      <c r="Q105" s="41" t="s">
        <v>481</v>
      </c>
      <c r="R105" s="14" t="s">
        <v>0</v>
      </c>
      <c r="S105" s="41" t="s">
        <v>482</v>
      </c>
      <c r="T105" s="41" t="s">
        <v>24</v>
      </c>
    </row>
    <row r="106" spans="1:20">
      <c r="A106" s="45" t="s">
        <v>496</v>
      </c>
    </row>
    <row r="107" spans="1:20">
      <c r="A107" s="26" t="s">
        <v>494</v>
      </c>
      <c r="B107" s="59" t="s">
        <v>367</v>
      </c>
      <c r="C107" s="59" t="s">
        <v>367</v>
      </c>
      <c r="D107" s="59" t="s">
        <v>23</v>
      </c>
      <c r="E107" s="59" t="s">
        <v>93</v>
      </c>
      <c r="F107" s="59" t="s">
        <v>94</v>
      </c>
      <c r="G107" s="59" t="s">
        <v>94</v>
      </c>
      <c r="H107" s="41" t="s">
        <v>28</v>
      </c>
      <c r="I107" s="41" t="s">
        <v>28</v>
      </c>
      <c r="J107" s="41" t="s">
        <v>28</v>
      </c>
      <c r="K107" s="41" t="s">
        <v>28</v>
      </c>
      <c r="L107" s="59" t="s">
        <v>369</v>
      </c>
      <c r="M107" s="59" t="s">
        <v>370</v>
      </c>
      <c r="N107" s="59" t="s">
        <v>371</v>
      </c>
      <c r="O107" s="59" t="s">
        <v>371</v>
      </c>
      <c r="P107" s="41" t="s">
        <v>372</v>
      </c>
      <c r="Q107" s="41" t="s">
        <v>467</v>
      </c>
      <c r="R107" s="14" t="s">
        <v>0</v>
      </c>
      <c r="S107" s="41" t="s">
        <v>80</v>
      </c>
      <c r="T107" s="41" t="s">
        <v>24</v>
      </c>
    </row>
    <row r="108" spans="1:20">
      <c r="A108" s="26" t="s">
        <v>495</v>
      </c>
      <c r="B108" s="59" t="s">
        <v>367</v>
      </c>
      <c r="C108" s="59" t="s">
        <v>367</v>
      </c>
      <c r="D108" s="41" t="s">
        <v>484</v>
      </c>
      <c r="E108" s="59" t="s">
        <v>93</v>
      </c>
      <c r="F108" s="59" t="s">
        <v>94</v>
      </c>
      <c r="G108" s="59" t="s">
        <v>94</v>
      </c>
      <c r="H108" s="41" t="s">
        <v>28</v>
      </c>
      <c r="I108" s="41" t="s">
        <v>28</v>
      </c>
      <c r="J108" s="41" t="s">
        <v>28</v>
      </c>
      <c r="K108" s="41" t="s">
        <v>28</v>
      </c>
      <c r="L108" s="59" t="s">
        <v>369</v>
      </c>
      <c r="M108" s="59" t="s">
        <v>370</v>
      </c>
      <c r="N108" s="59" t="s">
        <v>371</v>
      </c>
      <c r="O108" s="59" t="s">
        <v>371</v>
      </c>
      <c r="P108" s="41" t="s">
        <v>492</v>
      </c>
      <c r="Q108" s="41" t="s">
        <v>467</v>
      </c>
      <c r="R108" s="14" t="s">
        <v>0</v>
      </c>
      <c r="S108" s="41" t="s">
        <v>80</v>
      </c>
      <c r="T108" s="41" t="s">
        <v>24</v>
      </c>
    </row>
    <row r="109" spans="1:20">
      <c r="A109" s="26" t="s">
        <v>507</v>
      </c>
      <c r="D109" s="41"/>
      <c r="H109" s="41"/>
      <c r="I109" s="41"/>
      <c r="J109" s="41"/>
      <c r="K109" s="41"/>
      <c r="P109" s="41"/>
      <c r="Q109" s="41"/>
      <c r="R109" s="41"/>
      <c r="S109" s="41"/>
      <c r="T109" s="41"/>
    </row>
    <row r="110" spans="1:20">
      <c r="A110" s="26" t="s">
        <v>505</v>
      </c>
      <c r="B110" s="41" t="s">
        <v>489</v>
      </c>
      <c r="C110" s="41" t="s">
        <v>470</v>
      </c>
      <c r="D110" s="41" t="s">
        <v>485</v>
      </c>
      <c r="E110" s="41" t="s">
        <v>25</v>
      </c>
      <c r="F110" s="41" t="s">
        <v>25</v>
      </c>
      <c r="G110" s="41" t="s">
        <v>25</v>
      </c>
      <c r="H110" s="41" t="s">
        <v>487</v>
      </c>
      <c r="I110" s="41" t="s">
        <v>25</v>
      </c>
      <c r="J110" s="41" t="s">
        <v>25</v>
      </c>
      <c r="K110" s="41" t="s">
        <v>25</v>
      </c>
      <c r="L110" s="41" t="s">
        <v>204</v>
      </c>
      <c r="M110" s="41" t="s">
        <v>25</v>
      </c>
      <c r="N110" s="41" t="s">
        <v>25</v>
      </c>
      <c r="O110" s="41" t="s">
        <v>25</v>
      </c>
      <c r="P110" s="41" t="s">
        <v>22</v>
      </c>
      <c r="Q110" s="41" t="s">
        <v>32</v>
      </c>
      <c r="R110" s="41" t="s">
        <v>19</v>
      </c>
      <c r="S110" s="41">
        <v>1825</v>
      </c>
      <c r="T110" s="41" t="s">
        <v>24</v>
      </c>
    </row>
    <row r="111" spans="1:20">
      <c r="A111" s="26" t="s">
        <v>506</v>
      </c>
      <c r="E111" s="41"/>
      <c r="F111" s="41"/>
      <c r="G111" s="41"/>
      <c r="H111" s="41"/>
      <c r="I111" s="41"/>
      <c r="J111" s="41"/>
      <c r="K111" s="41"/>
      <c r="M111" s="41"/>
      <c r="N111" s="41"/>
      <c r="O111" s="41"/>
      <c r="P111" s="41"/>
      <c r="Q111" s="41"/>
      <c r="R111" s="41"/>
      <c r="S111" s="41"/>
      <c r="T111" s="41"/>
    </row>
    <row r="112" spans="1:20">
      <c r="A112" s="26">
        <v>99104</v>
      </c>
      <c r="B112" s="59" t="s">
        <v>499</v>
      </c>
      <c r="C112" s="59" t="s">
        <v>499</v>
      </c>
      <c r="D112" s="59" t="s">
        <v>486</v>
      </c>
      <c r="E112" s="41" t="s">
        <v>25</v>
      </c>
      <c r="F112" s="41" t="s">
        <v>25</v>
      </c>
      <c r="G112" s="41" t="s">
        <v>25</v>
      </c>
      <c r="H112" s="41" t="s">
        <v>28</v>
      </c>
      <c r="I112" s="41" t="s">
        <v>25</v>
      </c>
      <c r="J112" s="41" t="s">
        <v>25</v>
      </c>
      <c r="K112" s="41" t="s">
        <v>25</v>
      </c>
      <c r="L112" s="59" t="s">
        <v>204</v>
      </c>
      <c r="M112" s="41" t="s">
        <v>25</v>
      </c>
      <c r="N112" s="41" t="s">
        <v>25</v>
      </c>
      <c r="O112" s="41" t="s">
        <v>25</v>
      </c>
      <c r="P112" s="41" t="s">
        <v>22</v>
      </c>
      <c r="Q112" s="41" t="s">
        <v>32</v>
      </c>
      <c r="R112" s="41" t="s">
        <v>19</v>
      </c>
      <c r="S112" s="41">
        <v>1825</v>
      </c>
      <c r="T112" s="41" t="s">
        <v>24</v>
      </c>
    </row>
    <row r="134" spans="1:20">
      <c r="A134" s="45" t="s">
        <v>223</v>
      </c>
      <c r="H134" s="42"/>
      <c r="I134" s="42"/>
      <c r="J134" s="42"/>
      <c r="K134" s="42"/>
      <c r="L134" s="41"/>
      <c r="M134" s="41"/>
      <c r="N134" s="41"/>
      <c r="O134" s="41"/>
      <c r="P134" s="41"/>
      <c r="Q134" s="41"/>
      <c r="R134" s="41"/>
      <c r="S134" s="41"/>
      <c r="T134" s="41"/>
    </row>
    <row r="135" spans="1:20">
      <c r="A135" s="45" t="s">
        <v>224</v>
      </c>
      <c r="B135" s="59" t="s">
        <v>54</v>
      </c>
      <c r="C135" s="59" t="s">
        <v>40</v>
      </c>
      <c r="D135" s="59" t="s">
        <v>216</v>
      </c>
      <c r="E135" s="59" t="s">
        <v>93</v>
      </c>
      <c r="F135" s="59" t="s">
        <v>94</v>
      </c>
      <c r="G135" s="59" t="s">
        <v>94</v>
      </c>
      <c r="H135" s="41" t="s">
        <v>28</v>
      </c>
      <c r="I135" s="41" t="s">
        <v>28</v>
      </c>
      <c r="J135" s="41" t="s">
        <v>28</v>
      </c>
      <c r="K135" s="41" t="s">
        <v>28</v>
      </c>
      <c r="L135" s="41" t="s">
        <v>68</v>
      </c>
      <c r="M135" s="41" t="s">
        <v>68</v>
      </c>
      <c r="N135" s="41" t="s">
        <v>68</v>
      </c>
      <c r="O135" s="41" t="s">
        <v>68</v>
      </c>
      <c r="P135" s="41" t="s">
        <v>22</v>
      </c>
      <c r="Q135" s="41" t="s">
        <v>32</v>
      </c>
      <c r="R135" s="41" t="s">
        <v>19</v>
      </c>
      <c r="S135" s="41">
        <v>1825</v>
      </c>
      <c r="T135" s="41" t="s">
        <v>24</v>
      </c>
    </row>
    <row r="136" spans="1:20">
      <c r="A136" s="45" t="s">
        <v>224</v>
      </c>
      <c r="B136" s="59" t="s">
        <v>54</v>
      </c>
      <c r="C136" s="59" t="s">
        <v>40</v>
      </c>
      <c r="D136" s="59" t="s">
        <v>217</v>
      </c>
      <c r="E136" s="59" t="s">
        <v>93</v>
      </c>
      <c r="F136" s="59" t="s">
        <v>94</v>
      </c>
      <c r="G136" s="59" t="s">
        <v>94</v>
      </c>
      <c r="H136" s="41" t="s">
        <v>27</v>
      </c>
      <c r="I136" s="41" t="s">
        <v>27</v>
      </c>
      <c r="J136" s="41" t="s">
        <v>27</v>
      </c>
      <c r="K136" s="41" t="s">
        <v>27</v>
      </c>
      <c r="L136" s="41" t="s">
        <v>68</v>
      </c>
      <c r="M136" s="41" t="s">
        <v>68</v>
      </c>
      <c r="N136" s="41" t="s">
        <v>68</v>
      </c>
      <c r="O136" s="41" t="s">
        <v>68</v>
      </c>
      <c r="P136" s="41" t="s">
        <v>22</v>
      </c>
      <c r="Q136" s="41" t="s">
        <v>32</v>
      </c>
      <c r="R136" s="41" t="s">
        <v>19</v>
      </c>
      <c r="S136" s="41">
        <v>1825</v>
      </c>
      <c r="T136" s="41" t="s">
        <v>24</v>
      </c>
    </row>
    <row r="137" spans="1:20">
      <c r="A137" s="45" t="s">
        <v>224</v>
      </c>
      <c r="B137" s="59" t="s">
        <v>54</v>
      </c>
      <c r="C137" s="59" t="s">
        <v>40</v>
      </c>
      <c r="D137" s="59" t="s">
        <v>23</v>
      </c>
      <c r="E137" s="59" t="s">
        <v>93</v>
      </c>
      <c r="F137" s="59" t="s">
        <v>94</v>
      </c>
      <c r="G137" s="59" t="s">
        <v>94</v>
      </c>
      <c r="H137" s="42" t="s">
        <v>206</v>
      </c>
      <c r="I137" s="42" t="s">
        <v>206</v>
      </c>
      <c r="J137" s="42" t="s">
        <v>206</v>
      </c>
      <c r="K137" s="42" t="s">
        <v>206</v>
      </c>
      <c r="L137" s="41" t="s">
        <v>68</v>
      </c>
      <c r="M137" s="41" t="s">
        <v>68</v>
      </c>
      <c r="N137" s="41" t="s">
        <v>68</v>
      </c>
      <c r="O137" s="41" t="s">
        <v>68</v>
      </c>
      <c r="P137" s="41" t="s">
        <v>22</v>
      </c>
      <c r="Q137" s="41" t="s">
        <v>32</v>
      </c>
      <c r="R137" s="41" t="s">
        <v>19</v>
      </c>
      <c r="S137" s="41">
        <v>1825</v>
      </c>
      <c r="T137" s="41" t="s">
        <v>24</v>
      </c>
    </row>
    <row r="138" spans="1:20">
      <c r="A138" s="45" t="s">
        <v>224</v>
      </c>
      <c r="B138" s="59" t="s">
        <v>54</v>
      </c>
      <c r="C138" s="59" t="s">
        <v>40</v>
      </c>
      <c r="D138" s="59" t="s">
        <v>23</v>
      </c>
      <c r="E138" s="59" t="s">
        <v>93</v>
      </c>
      <c r="F138" s="59" t="s">
        <v>94</v>
      </c>
      <c r="G138" s="59" t="s">
        <v>94</v>
      </c>
      <c r="H138" s="41" t="s">
        <v>28</v>
      </c>
      <c r="I138" s="41" t="s">
        <v>28</v>
      </c>
      <c r="J138" s="41" t="s">
        <v>28</v>
      </c>
      <c r="K138" s="41" t="s">
        <v>28</v>
      </c>
      <c r="L138" s="41" t="s">
        <v>222</v>
      </c>
      <c r="M138" s="41" t="s">
        <v>222</v>
      </c>
      <c r="N138" s="41" t="s">
        <v>222</v>
      </c>
      <c r="O138" s="41" t="s">
        <v>222</v>
      </c>
      <c r="P138" s="41" t="s">
        <v>22</v>
      </c>
      <c r="Q138" s="41" t="s">
        <v>32</v>
      </c>
      <c r="R138" s="41" t="s">
        <v>19</v>
      </c>
      <c r="S138" s="41">
        <v>1825</v>
      </c>
      <c r="T138" s="41" t="s">
        <v>24</v>
      </c>
    </row>
    <row r="139" spans="1:20">
      <c r="A139" s="45" t="s">
        <v>224</v>
      </c>
      <c r="B139" s="59" t="s">
        <v>54</v>
      </c>
      <c r="C139" s="59" t="s">
        <v>40</v>
      </c>
      <c r="D139" s="59" t="s">
        <v>23</v>
      </c>
      <c r="E139" s="59" t="s">
        <v>93</v>
      </c>
      <c r="F139" s="59" t="s">
        <v>94</v>
      </c>
      <c r="G139" s="59" t="s">
        <v>94</v>
      </c>
      <c r="H139" s="41" t="s">
        <v>27</v>
      </c>
      <c r="I139" s="41" t="s">
        <v>27</v>
      </c>
      <c r="J139" s="41" t="s">
        <v>27</v>
      </c>
      <c r="K139" s="41" t="s">
        <v>27</v>
      </c>
      <c r="L139" s="41" t="s">
        <v>222</v>
      </c>
      <c r="M139" s="41" t="s">
        <v>222</v>
      </c>
      <c r="N139" s="41" t="s">
        <v>222</v>
      </c>
      <c r="O139" s="41" t="s">
        <v>222</v>
      </c>
      <c r="P139" s="41" t="s">
        <v>22</v>
      </c>
      <c r="Q139" s="41" t="s">
        <v>32</v>
      </c>
      <c r="R139" s="41" t="s">
        <v>19</v>
      </c>
      <c r="S139" s="41">
        <v>1825</v>
      </c>
      <c r="T139" s="41" t="s">
        <v>24</v>
      </c>
    </row>
    <row r="140" spans="1:20">
      <c r="A140" s="45" t="s">
        <v>224</v>
      </c>
      <c r="B140" s="59" t="s">
        <v>54</v>
      </c>
      <c r="C140" s="59" t="s">
        <v>40</v>
      </c>
      <c r="D140" s="59" t="s">
        <v>23</v>
      </c>
      <c r="E140" s="59" t="s">
        <v>93</v>
      </c>
      <c r="F140" s="59" t="s">
        <v>94</v>
      </c>
      <c r="G140" s="59" t="s">
        <v>94</v>
      </c>
      <c r="H140" s="42" t="s">
        <v>206</v>
      </c>
      <c r="I140" s="42" t="s">
        <v>206</v>
      </c>
      <c r="J140" s="42" t="s">
        <v>206</v>
      </c>
      <c r="K140" s="42" t="s">
        <v>206</v>
      </c>
      <c r="L140" s="41" t="s">
        <v>222</v>
      </c>
      <c r="M140" s="41" t="s">
        <v>222</v>
      </c>
      <c r="N140" s="41" t="s">
        <v>222</v>
      </c>
      <c r="O140" s="41" t="s">
        <v>222</v>
      </c>
      <c r="P140" s="41" t="s">
        <v>22</v>
      </c>
      <c r="Q140" s="41" t="s">
        <v>32</v>
      </c>
      <c r="R140" s="41" t="s">
        <v>19</v>
      </c>
      <c r="S140" s="41">
        <v>1825</v>
      </c>
      <c r="T140" s="41" t="s">
        <v>24</v>
      </c>
    </row>
    <row r="141" spans="1:20">
      <c r="A141" s="5">
        <v>99063</v>
      </c>
      <c r="B141" s="59" t="s">
        <v>54</v>
      </c>
      <c r="C141" s="59" t="s">
        <v>40</v>
      </c>
      <c r="D141" s="41" t="s">
        <v>23</v>
      </c>
      <c r="E141" s="59" t="s">
        <v>96</v>
      </c>
      <c r="F141" s="59" t="s">
        <v>191</v>
      </c>
      <c r="G141" s="59" t="s">
        <v>191</v>
      </c>
      <c r="H141" s="41" t="s">
        <v>28</v>
      </c>
      <c r="I141" s="41" t="s">
        <v>28</v>
      </c>
      <c r="J141" s="41" t="s">
        <v>28</v>
      </c>
      <c r="K141" s="41" t="s">
        <v>28</v>
      </c>
      <c r="L141" s="59" t="s">
        <v>188</v>
      </c>
      <c r="M141" s="59" t="s">
        <v>188</v>
      </c>
      <c r="N141" s="59" t="s">
        <v>188</v>
      </c>
      <c r="O141" s="59" t="s">
        <v>188</v>
      </c>
      <c r="P141" s="41" t="s">
        <v>22</v>
      </c>
      <c r="Q141" s="41" t="s">
        <v>32</v>
      </c>
      <c r="R141" s="41" t="s">
        <v>19</v>
      </c>
      <c r="S141" s="41">
        <v>1825</v>
      </c>
      <c r="T141" s="41" t="s">
        <v>24</v>
      </c>
    </row>
    <row r="142" spans="1:20">
      <c r="A142" s="31" t="s">
        <v>172</v>
      </c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41"/>
      <c r="T142" s="41"/>
    </row>
    <row r="143" spans="1:20">
      <c r="A143" s="34">
        <v>99061</v>
      </c>
      <c r="B143" s="32" t="s">
        <v>54</v>
      </c>
      <c r="C143" s="32" t="s">
        <v>40</v>
      </c>
      <c r="D143" s="32" t="s">
        <v>138</v>
      </c>
      <c r="E143" s="32" t="s">
        <v>149</v>
      </c>
      <c r="F143" s="32" t="s">
        <v>148</v>
      </c>
      <c r="G143" s="32" t="s">
        <v>148</v>
      </c>
      <c r="H143" s="32" t="s">
        <v>28</v>
      </c>
      <c r="I143" s="32" t="s">
        <v>28</v>
      </c>
      <c r="J143" s="32" t="s">
        <v>28</v>
      </c>
      <c r="K143" s="32" t="s">
        <v>28</v>
      </c>
      <c r="L143" s="32" t="s">
        <v>133</v>
      </c>
      <c r="M143" s="32" t="s">
        <v>133</v>
      </c>
      <c r="N143" s="32" t="s">
        <v>133</v>
      </c>
      <c r="O143" s="32" t="s">
        <v>133</v>
      </c>
      <c r="P143" s="32" t="s">
        <v>22</v>
      </c>
      <c r="Q143" s="32" t="s">
        <v>32</v>
      </c>
      <c r="R143" s="32" t="s">
        <v>19</v>
      </c>
      <c r="S143" s="41">
        <v>1825</v>
      </c>
      <c r="T143" s="41" t="s">
        <v>24</v>
      </c>
    </row>
    <row r="144" spans="1:20">
      <c r="A144" s="34">
        <v>99062</v>
      </c>
      <c r="B144" s="32" t="s">
        <v>54</v>
      </c>
      <c r="C144" s="32" t="s">
        <v>40</v>
      </c>
      <c r="D144" s="32" t="s">
        <v>138</v>
      </c>
      <c r="E144" s="32" t="s">
        <v>149</v>
      </c>
      <c r="F144" s="32" t="s">
        <v>152</v>
      </c>
      <c r="G144" s="32" t="s">
        <v>152</v>
      </c>
      <c r="H144" s="32" t="s">
        <v>28</v>
      </c>
      <c r="I144" s="32" t="s">
        <v>28</v>
      </c>
      <c r="J144" s="32" t="s">
        <v>28</v>
      </c>
      <c r="K144" s="32" t="s">
        <v>28</v>
      </c>
      <c r="L144" s="32" t="s">
        <v>133</v>
      </c>
      <c r="M144" s="32" t="s">
        <v>133</v>
      </c>
      <c r="N144" s="32" t="s">
        <v>133</v>
      </c>
      <c r="O144" s="32" t="s">
        <v>133</v>
      </c>
      <c r="P144" s="32" t="s">
        <v>22</v>
      </c>
      <c r="Q144" s="32" t="s">
        <v>32</v>
      </c>
      <c r="R144" s="32" t="s">
        <v>19</v>
      </c>
      <c r="S144" s="41">
        <v>1825</v>
      </c>
      <c r="T144" s="41" t="s">
        <v>24</v>
      </c>
    </row>
    <row r="145" spans="1:20">
      <c r="A145" s="34">
        <v>99063</v>
      </c>
      <c r="B145" s="32" t="s">
        <v>54</v>
      </c>
      <c r="C145" s="32" t="s">
        <v>40</v>
      </c>
      <c r="D145" s="32" t="s">
        <v>138</v>
      </c>
      <c r="E145" s="32" t="s">
        <v>149</v>
      </c>
      <c r="F145" s="32" t="s">
        <v>158</v>
      </c>
      <c r="G145" s="32" t="s">
        <v>158</v>
      </c>
      <c r="H145" s="32" t="s">
        <v>28</v>
      </c>
      <c r="I145" s="32" t="s">
        <v>28</v>
      </c>
      <c r="J145" s="32" t="s">
        <v>28</v>
      </c>
      <c r="K145" s="32" t="s">
        <v>28</v>
      </c>
      <c r="L145" s="32" t="s">
        <v>133</v>
      </c>
      <c r="M145" s="32" t="s">
        <v>133</v>
      </c>
      <c r="N145" s="32" t="s">
        <v>133</v>
      </c>
      <c r="O145" s="32" t="s">
        <v>133</v>
      </c>
      <c r="P145" s="32" t="s">
        <v>22</v>
      </c>
      <c r="Q145" s="32" t="s">
        <v>32</v>
      </c>
      <c r="R145" s="32" t="s">
        <v>19</v>
      </c>
      <c r="S145" s="41">
        <v>1825</v>
      </c>
      <c r="T145" s="41" t="s">
        <v>24</v>
      </c>
    </row>
    <row r="146" spans="1:20">
      <c r="A146" s="34">
        <v>99064</v>
      </c>
      <c r="B146" s="32" t="s">
        <v>54</v>
      </c>
      <c r="C146" s="32" t="s">
        <v>40</v>
      </c>
      <c r="D146" s="32" t="s">
        <v>138</v>
      </c>
      <c r="E146" s="32" t="s">
        <v>149</v>
      </c>
      <c r="F146" s="32" t="s">
        <v>159</v>
      </c>
      <c r="G146" s="32" t="s">
        <v>159</v>
      </c>
      <c r="H146" s="32" t="s">
        <v>28</v>
      </c>
      <c r="I146" s="32" t="s">
        <v>28</v>
      </c>
      <c r="J146" s="32" t="s">
        <v>28</v>
      </c>
      <c r="K146" s="32" t="s">
        <v>28</v>
      </c>
      <c r="L146" s="32" t="s">
        <v>133</v>
      </c>
      <c r="M146" s="32" t="s">
        <v>133</v>
      </c>
      <c r="N146" s="32" t="s">
        <v>133</v>
      </c>
      <c r="O146" s="32" t="s">
        <v>133</v>
      </c>
      <c r="P146" s="32" t="s">
        <v>22</v>
      </c>
      <c r="Q146" s="32" t="s">
        <v>32</v>
      </c>
      <c r="R146" s="32" t="s">
        <v>19</v>
      </c>
      <c r="S146" s="41">
        <v>1825</v>
      </c>
      <c r="T146" s="41" t="s">
        <v>24</v>
      </c>
    </row>
    <row r="147" spans="1:20">
      <c r="A147" s="34">
        <v>99061</v>
      </c>
      <c r="B147" s="32" t="s">
        <v>54</v>
      </c>
      <c r="C147" s="32" t="s">
        <v>40</v>
      </c>
      <c r="D147" s="32" t="s">
        <v>138</v>
      </c>
      <c r="E147" s="32" t="s">
        <v>149</v>
      </c>
      <c r="F147" s="32" t="s">
        <v>148</v>
      </c>
      <c r="G147" s="32" t="s">
        <v>148</v>
      </c>
      <c r="H147" s="32" t="s">
        <v>28</v>
      </c>
      <c r="I147" s="32" t="s">
        <v>28</v>
      </c>
      <c r="J147" s="32" t="s">
        <v>28</v>
      </c>
      <c r="K147" s="32" t="s">
        <v>28</v>
      </c>
      <c r="L147" s="32" t="s">
        <v>133</v>
      </c>
      <c r="M147" s="32" t="s">
        <v>133</v>
      </c>
      <c r="N147" s="32" t="s">
        <v>133</v>
      </c>
      <c r="O147" s="32" t="s">
        <v>133</v>
      </c>
      <c r="P147" s="32" t="s">
        <v>22</v>
      </c>
      <c r="Q147" s="32" t="s">
        <v>32</v>
      </c>
      <c r="R147" s="32" t="s">
        <v>19</v>
      </c>
      <c r="S147" s="41">
        <v>1825</v>
      </c>
      <c r="T147" s="41" t="s">
        <v>24</v>
      </c>
    </row>
    <row r="148" spans="1:20">
      <c r="A148" s="34">
        <v>99062</v>
      </c>
      <c r="B148" s="32" t="s">
        <v>54</v>
      </c>
      <c r="C148" s="32" t="s">
        <v>40</v>
      </c>
      <c r="D148" s="32" t="s">
        <v>138</v>
      </c>
      <c r="E148" s="32" t="s">
        <v>149</v>
      </c>
      <c r="F148" s="32" t="s">
        <v>152</v>
      </c>
      <c r="G148" s="32" t="s">
        <v>152</v>
      </c>
      <c r="H148" s="32" t="s">
        <v>28</v>
      </c>
      <c r="I148" s="32" t="s">
        <v>28</v>
      </c>
      <c r="J148" s="32" t="s">
        <v>28</v>
      </c>
      <c r="K148" s="32" t="s">
        <v>28</v>
      </c>
      <c r="L148" s="32" t="s">
        <v>133</v>
      </c>
      <c r="M148" s="32" t="s">
        <v>133</v>
      </c>
      <c r="N148" s="32" t="s">
        <v>133</v>
      </c>
      <c r="O148" s="32" t="s">
        <v>133</v>
      </c>
      <c r="P148" s="32" t="s">
        <v>22</v>
      </c>
      <c r="Q148" s="32" t="s">
        <v>32</v>
      </c>
      <c r="R148" s="32" t="s">
        <v>19</v>
      </c>
      <c r="S148" s="41">
        <v>1825</v>
      </c>
      <c r="T148" s="41" t="s">
        <v>24</v>
      </c>
    </row>
    <row r="149" spans="1:20">
      <c r="A149" s="34">
        <v>99063</v>
      </c>
      <c r="B149" s="32" t="s">
        <v>54</v>
      </c>
      <c r="C149" s="32" t="s">
        <v>40</v>
      </c>
      <c r="D149" s="32" t="s">
        <v>138</v>
      </c>
      <c r="E149" s="32" t="s">
        <v>149</v>
      </c>
      <c r="F149" s="32" t="s">
        <v>158</v>
      </c>
      <c r="G149" s="32" t="s">
        <v>158</v>
      </c>
      <c r="H149" s="32" t="s">
        <v>28</v>
      </c>
      <c r="I149" s="32" t="s">
        <v>28</v>
      </c>
      <c r="J149" s="32" t="s">
        <v>28</v>
      </c>
      <c r="K149" s="32" t="s">
        <v>28</v>
      </c>
      <c r="L149" s="32" t="s">
        <v>133</v>
      </c>
      <c r="M149" s="32" t="s">
        <v>133</v>
      </c>
      <c r="N149" s="32" t="s">
        <v>133</v>
      </c>
      <c r="O149" s="32" t="s">
        <v>133</v>
      </c>
      <c r="P149" s="32" t="s">
        <v>22</v>
      </c>
      <c r="Q149" s="32" t="s">
        <v>32</v>
      </c>
      <c r="R149" s="32" t="s">
        <v>19</v>
      </c>
      <c r="S149" s="41">
        <v>1825</v>
      </c>
      <c r="T149" s="41" t="s">
        <v>24</v>
      </c>
    </row>
    <row r="150" spans="1:20">
      <c r="A150" s="34">
        <v>99064</v>
      </c>
      <c r="B150" s="32" t="s">
        <v>54</v>
      </c>
      <c r="C150" s="32" t="s">
        <v>40</v>
      </c>
      <c r="D150" s="32" t="s">
        <v>138</v>
      </c>
      <c r="E150" s="32" t="s">
        <v>149</v>
      </c>
      <c r="F150" s="32" t="s">
        <v>159</v>
      </c>
      <c r="G150" s="32" t="s">
        <v>159</v>
      </c>
      <c r="H150" s="32" t="s">
        <v>28</v>
      </c>
      <c r="I150" s="32" t="s">
        <v>28</v>
      </c>
      <c r="J150" s="32" t="s">
        <v>28</v>
      </c>
      <c r="K150" s="32" t="s">
        <v>28</v>
      </c>
      <c r="L150" s="32" t="s">
        <v>133</v>
      </c>
      <c r="M150" s="32" t="s">
        <v>133</v>
      </c>
      <c r="N150" s="32" t="s">
        <v>133</v>
      </c>
      <c r="O150" s="32" t="s">
        <v>133</v>
      </c>
      <c r="P150" s="32" t="s">
        <v>22</v>
      </c>
      <c r="Q150" s="32" t="s">
        <v>32</v>
      </c>
      <c r="R150" s="32" t="s">
        <v>19</v>
      </c>
      <c r="S150" s="41">
        <v>1825</v>
      </c>
      <c r="T150" s="41" t="s">
        <v>24</v>
      </c>
    </row>
    <row r="151" spans="1:20">
      <c r="A151" s="31" t="s">
        <v>175</v>
      </c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41"/>
      <c r="T151" s="41"/>
    </row>
    <row r="152" spans="1:20">
      <c r="A152" s="31">
        <v>99060</v>
      </c>
      <c r="B152" s="32" t="s">
        <v>54</v>
      </c>
      <c r="C152" s="32" t="s">
        <v>40</v>
      </c>
      <c r="D152" s="32" t="s">
        <v>138</v>
      </c>
      <c r="E152" s="32" t="s">
        <v>93</v>
      </c>
      <c r="F152" s="32" t="s">
        <v>94</v>
      </c>
      <c r="G152" s="32" t="s">
        <v>94</v>
      </c>
      <c r="H152" s="32" t="s">
        <v>28</v>
      </c>
      <c r="I152" s="32" t="s">
        <v>28</v>
      </c>
      <c r="J152" s="32" t="s">
        <v>28</v>
      </c>
      <c r="K152" s="32" t="s">
        <v>28</v>
      </c>
      <c r="L152" s="32" t="s">
        <v>133</v>
      </c>
      <c r="M152" s="32" t="s">
        <v>133</v>
      </c>
      <c r="N152" s="32" t="s">
        <v>133</v>
      </c>
      <c r="O152" s="32" t="s">
        <v>133</v>
      </c>
      <c r="P152" s="35" t="s">
        <v>173</v>
      </c>
      <c r="Q152" s="32" t="s">
        <v>32</v>
      </c>
      <c r="R152" s="32" t="s">
        <v>19</v>
      </c>
      <c r="S152" s="41">
        <v>1825</v>
      </c>
      <c r="T152" s="41" t="s">
        <v>24</v>
      </c>
    </row>
    <row r="153" spans="1:20">
      <c r="A153" s="31" t="s">
        <v>176</v>
      </c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41"/>
      <c r="T153" s="41"/>
    </row>
    <row r="154" spans="1:20">
      <c r="A154" s="31">
        <v>99061</v>
      </c>
      <c r="B154" s="32" t="s">
        <v>54</v>
      </c>
      <c r="C154" s="32" t="s">
        <v>40</v>
      </c>
      <c r="D154" s="32" t="s">
        <v>23</v>
      </c>
      <c r="E154" s="32" t="s">
        <v>150</v>
      </c>
      <c r="F154" s="32" t="s">
        <v>151</v>
      </c>
      <c r="G154" s="32" t="s">
        <v>151</v>
      </c>
      <c r="H154" s="32" t="s">
        <v>28</v>
      </c>
      <c r="I154" s="32" t="s">
        <v>28</v>
      </c>
      <c r="J154" s="32" t="s">
        <v>28</v>
      </c>
      <c r="K154" s="32" t="s">
        <v>28</v>
      </c>
      <c r="L154" s="32" t="s">
        <v>133</v>
      </c>
      <c r="M154" s="32" t="s">
        <v>133</v>
      </c>
      <c r="N154" s="32" t="s">
        <v>133</v>
      </c>
      <c r="O154" s="32" t="s">
        <v>133</v>
      </c>
      <c r="P154" s="35" t="s">
        <v>160</v>
      </c>
      <c r="Q154" s="32" t="s">
        <v>32</v>
      </c>
      <c r="R154" s="32" t="s">
        <v>19</v>
      </c>
      <c r="S154" s="41">
        <v>1825</v>
      </c>
      <c r="T154" s="41" t="s">
        <v>24</v>
      </c>
    </row>
    <row r="155" spans="1:20">
      <c r="A155" s="31" t="s">
        <v>170</v>
      </c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41"/>
      <c r="T155" s="41"/>
    </row>
    <row r="156" spans="1:20">
      <c r="A156" s="31">
        <v>99062</v>
      </c>
      <c r="B156" s="32" t="s">
        <v>54</v>
      </c>
      <c r="C156" s="32" t="s">
        <v>40</v>
      </c>
      <c r="D156" s="32" t="s">
        <v>179</v>
      </c>
      <c r="E156" s="32" t="s">
        <v>162</v>
      </c>
      <c r="F156" s="32" t="s">
        <v>163</v>
      </c>
      <c r="G156" s="32" t="s">
        <v>163</v>
      </c>
      <c r="H156" s="32" t="s">
        <v>28</v>
      </c>
      <c r="I156" s="32" t="s">
        <v>28</v>
      </c>
      <c r="J156" s="32" t="s">
        <v>28</v>
      </c>
      <c r="K156" s="32" t="s">
        <v>28</v>
      </c>
      <c r="L156" s="32" t="s">
        <v>133</v>
      </c>
      <c r="M156" s="32" t="s">
        <v>133</v>
      </c>
      <c r="N156" s="32" t="s">
        <v>133</v>
      </c>
      <c r="O156" s="32" t="s">
        <v>133</v>
      </c>
      <c r="P156" s="35" t="s">
        <v>160</v>
      </c>
      <c r="Q156" s="32" t="s">
        <v>32</v>
      </c>
      <c r="R156" s="32" t="s">
        <v>19</v>
      </c>
      <c r="S156" s="41">
        <v>1825</v>
      </c>
      <c r="T156" s="41" t="s">
        <v>24</v>
      </c>
    </row>
    <row r="157" spans="1:20">
      <c r="A157" s="31" t="s">
        <v>169</v>
      </c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</row>
    <row r="158" spans="1:20" ht="13.5" customHeight="1">
      <c r="A158" s="31">
        <v>99070</v>
      </c>
      <c r="B158" s="32" t="s">
        <v>54</v>
      </c>
      <c r="C158" s="32" t="s">
        <v>40</v>
      </c>
      <c r="D158" s="32" t="s">
        <v>161</v>
      </c>
      <c r="E158" s="32" t="s">
        <v>164</v>
      </c>
      <c r="F158" s="32" t="s">
        <v>153</v>
      </c>
      <c r="G158" s="32" t="s">
        <v>153</v>
      </c>
      <c r="H158" s="32" t="s">
        <v>28</v>
      </c>
      <c r="I158" s="32" t="s">
        <v>28</v>
      </c>
      <c r="J158" s="32" t="s">
        <v>28</v>
      </c>
      <c r="K158" s="32" t="s">
        <v>28</v>
      </c>
      <c r="L158" s="32" t="s">
        <v>133</v>
      </c>
      <c r="M158" s="32" t="s">
        <v>133</v>
      </c>
      <c r="N158" s="32" t="s">
        <v>133</v>
      </c>
      <c r="O158" s="32" t="s">
        <v>133</v>
      </c>
      <c r="P158" s="35" t="s">
        <v>160</v>
      </c>
      <c r="Q158" s="32" t="s">
        <v>32</v>
      </c>
      <c r="R158" s="32" t="s">
        <v>19</v>
      </c>
      <c r="S158" s="41">
        <v>1825</v>
      </c>
      <c r="T158" s="41" t="s">
        <v>24</v>
      </c>
    </row>
    <row r="159" spans="1:20">
      <c r="A159" s="31">
        <v>99071</v>
      </c>
      <c r="B159" s="32" t="s">
        <v>54</v>
      </c>
      <c r="C159" s="32" t="s">
        <v>40</v>
      </c>
      <c r="D159" s="32" t="s">
        <v>161</v>
      </c>
      <c r="E159" s="32" t="s">
        <v>167</v>
      </c>
      <c r="F159" s="32" t="s">
        <v>154</v>
      </c>
      <c r="G159" s="32" t="s">
        <v>154</v>
      </c>
      <c r="H159" s="32" t="s">
        <v>28</v>
      </c>
      <c r="I159" s="32" t="s">
        <v>28</v>
      </c>
      <c r="J159" s="32" t="s">
        <v>28</v>
      </c>
      <c r="K159" s="32" t="s">
        <v>28</v>
      </c>
      <c r="L159" s="32" t="s">
        <v>133</v>
      </c>
      <c r="M159" s="32" t="s">
        <v>133</v>
      </c>
      <c r="N159" s="32" t="s">
        <v>133</v>
      </c>
      <c r="O159" s="32" t="s">
        <v>133</v>
      </c>
      <c r="P159" s="35" t="s">
        <v>160</v>
      </c>
      <c r="Q159" s="32" t="s">
        <v>32</v>
      </c>
      <c r="R159" s="32" t="s">
        <v>19</v>
      </c>
      <c r="S159" s="41">
        <v>1825</v>
      </c>
      <c r="T159" s="41" t="s">
        <v>24</v>
      </c>
    </row>
    <row r="160" spans="1:20">
      <c r="A160" s="31">
        <v>99072</v>
      </c>
      <c r="B160" s="32" t="s">
        <v>54</v>
      </c>
      <c r="C160" s="32" t="s">
        <v>40</v>
      </c>
      <c r="D160" s="32" t="s">
        <v>161</v>
      </c>
      <c r="E160" s="32" t="s">
        <v>155</v>
      </c>
      <c r="F160" s="32" t="s">
        <v>156</v>
      </c>
      <c r="G160" s="32" t="s">
        <v>156</v>
      </c>
      <c r="H160" s="32" t="s">
        <v>28</v>
      </c>
      <c r="I160" s="32" t="s">
        <v>28</v>
      </c>
      <c r="J160" s="32" t="s">
        <v>28</v>
      </c>
      <c r="K160" s="32" t="s">
        <v>28</v>
      </c>
      <c r="L160" s="32" t="s">
        <v>133</v>
      </c>
      <c r="M160" s="32" t="s">
        <v>133</v>
      </c>
      <c r="N160" s="32" t="s">
        <v>133</v>
      </c>
      <c r="O160" s="32" t="s">
        <v>133</v>
      </c>
      <c r="P160" s="35" t="s">
        <v>160</v>
      </c>
      <c r="Q160" s="32" t="s">
        <v>32</v>
      </c>
      <c r="R160" s="32" t="s">
        <v>19</v>
      </c>
      <c r="S160" s="41">
        <v>1825</v>
      </c>
      <c r="T160" s="41" t="s">
        <v>24</v>
      </c>
    </row>
    <row r="161" spans="1:20">
      <c r="A161" s="31">
        <v>99073</v>
      </c>
      <c r="B161" s="32" t="s">
        <v>54</v>
      </c>
      <c r="C161" s="32" t="s">
        <v>40</v>
      </c>
      <c r="D161" s="32" t="s">
        <v>161</v>
      </c>
      <c r="E161" s="32" t="s">
        <v>168</v>
      </c>
      <c r="F161" s="32" t="s">
        <v>157</v>
      </c>
      <c r="G161" s="32" t="s">
        <v>157</v>
      </c>
      <c r="H161" s="32" t="s">
        <v>28</v>
      </c>
      <c r="I161" s="32" t="s">
        <v>28</v>
      </c>
      <c r="J161" s="32" t="s">
        <v>28</v>
      </c>
      <c r="K161" s="32" t="s">
        <v>28</v>
      </c>
      <c r="L161" s="32" t="s">
        <v>133</v>
      </c>
      <c r="M161" s="32" t="s">
        <v>133</v>
      </c>
      <c r="N161" s="32" t="s">
        <v>133</v>
      </c>
      <c r="O161" s="32" t="s">
        <v>133</v>
      </c>
      <c r="P161" s="35" t="s">
        <v>160</v>
      </c>
      <c r="Q161" s="32" t="s">
        <v>32</v>
      </c>
      <c r="R161" s="32" t="s">
        <v>19</v>
      </c>
      <c r="S161" s="41">
        <v>1825</v>
      </c>
      <c r="T161" s="41" t="s">
        <v>24</v>
      </c>
    </row>
    <row r="162" spans="1:20">
      <c r="A162" s="31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</row>
    <row r="163" spans="1:20">
      <c r="A163" s="31">
        <v>99066</v>
      </c>
      <c r="B163" s="32" t="s">
        <v>54</v>
      </c>
      <c r="C163" s="32" t="s">
        <v>40</v>
      </c>
      <c r="D163" s="32" t="s">
        <v>161</v>
      </c>
      <c r="E163" s="32" t="s">
        <v>164</v>
      </c>
      <c r="F163" s="32" t="s">
        <v>153</v>
      </c>
      <c r="G163" s="32" t="s">
        <v>153</v>
      </c>
      <c r="H163" s="32" t="s">
        <v>28</v>
      </c>
      <c r="I163" s="32" t="s">
        <v>28</v>
      </c>
      <c r="J163" s="32" t="s">
        <v>28</v>
      </c>
      <c r="K163" s="32" t="s">
        <v>28</v>
      </c>
      <c r="L163" s="32" t="s">
        <v>133</v>
      </c>
      <c r="M163" s="32" t="s">
        <v>133</v>
      </c>
      <c r="N163" s="32" t="s">
        <v>133</v>
      </c>
      <c r="O163" s="32" t="s">
        <v>133</v>
      </c>
      <c r="P163" s="32" t="s">
        <v>22</v>
      </c>
      <c r="Q163" s="32" t="s">
        <v>32</v>
      </c>
      <c r="R163" s="32" t="s">
        <v>19</v>
      </c>
      <c r="S163" s="41">
        <v>1825</v>
      </c>
      <c r="T163" s="41" t="s">
        <v>24</v>
      </c>
    </row>
    <row r="164" spans="1:20">
      <c r="A164" s="31">
        <v>99067</v>
      </c>
      <c r="B164" s="32" t="s">
        <v>54</v>
      </c>
      <c r="C164" s="32" t="s">
        <v>40</v>
      </c>
      <c r="D164" s="32" t="s">
        <v>161</v>
      </c>
      <c r="E164" s="32" t="s">
        <v>165</v>
      </c>
      <c r="F164" s="32" t="s">
        <v>154</v>
      </c>
      <c r="G164" s="32" t="s">
        <v>154</v>
      </c>
      <c r="H164" s="32" t="s">
        <v>28</v>
      </c>
      <c r="I164" s="32" t="s">
        <v>28</v>
      </c>
      <c r="J164" s="32" t="s">
        <v>28</v>
      </c>
      <c r="K164" s="32" t="s">
        <v>28</v>
      </c>
      <c r="L164" s="32" t="s">
        <v>133</v>
      </c>
      <c r="M164" s="32" t="s">
        <v>133</v>
      </c>
      <c r="N164" s="32" t="s">
        <v>133</v>
      </c>
      <c r="O164" s="32" t="s">
        <v>133</v>
      </c>
      <c r="P164" s="32" t="s">
        <v>22</v>
      </c>
      <c r="Q164" s="32" t="s">
        <v>32</v>
      </c>
      <c r="R164" s="32" t="s">
        <v>19</v>
      </c>
      <c r="S164" s="41">
        <v>1825</v>
      </c>
      <c r="T164" s="41" t="s">
        <v>24</v>
      </c>
    </row>
    <row r="165" spans="1:20">
      <c r="A165" s="31">
        <v>99068</v>
      </c>
      <c r="B165" s="32" t="s">
        <v>54</v>
      </c>
      <c r="C165" s="32" t="s">
        <v>40</v>
      </c>
      <c r="D165" s="32" t="s">
        <v>161</v>
      </c>
      <c r="E165" s="32" t="s">
        <v>155</v>
      </c>
      <c r="F165" s="32" t="s">
        <v>156</v>
      </c>
      <c r="G165" s="32" t="s">
        <v>156</v>
      </c>
      <c r="H165" s="32" t="s">
        <v>28</v>
      </c>
      <c r="I165" s="32" t="s">
        <v>28</v>
      </c>
      <c r="J165" s="32" t="s">
        <v>28</v>
      </c>
      <c r="K165" s="32" t="s">
        <v>28</v>
      </c>
      <c r="L165" s="32" t="s">
        <v>133</v>
      </c>
      <c r="M165" s="32" t="s">
        <v>133</v>
      </c>
      <c r="N165" s="32" t="s">
        <v>133</v>
      </c>
      <c r="O165" s="32" t="s">
        <v>133</v>
      </c>
      <c r="P165" s="32" t="s">
        <v>22</v>
      </c>
      <c r="Q165" s="32" t="s">
        <v>32</v>
      </c>
      <c r="R165" s="32" t="s">
        <v>19</v>
      </c>
      <c r="S165" s="41">
        <v>1825</v>
      </c>
      <c r="T165" s="41" t="s">
        <v>24</v>
      </c>
    </row>
    <row r="166" spans="1:20">
      <c r="A166" s="31">
        <v>99069</v>
      </c>
      <c r="B166" s="32" t="s">
        <v>54</v>
      </c>
      <c r="C166" s="32" t="s">
        <v>40</v>
      </c>
      <c r="D166" s="32" t="s">
        <v>161</v>
      </c>
      <c r="E166" s="32" t="s">
        <v>166</v>
      </c>
      <c r="F166" s="32" t="s">
        <v>157</v>
      </c>
      <c r="G166" s="32" t="s">
        <v>157</v>
      </c>
      <c r="H166" s="32" t="s">
        <v>28</v>
      </c>
      <c r="I166" s="32" t="s">
        <v>28</v>
      </c>
      <c r="J166" s="32" t="s">
        <v>28</v>
      </c>
      <c r="K166" s="32" t="s">
        <v>28</v>
      </c>
      <c r="L166" s="32" t="s">
        <v>133</v>
      </c>
      <c r="M166" s="32" t="s">
        <v>133</v>
      </c>
      <c r="N166" s="32" t="s">
        <v>133</v>
      </c>
      <c r="O166" s="32" t="s">
        <v>133</v>
      </c>
      <c r="P166" s="32" t="s">
        <v>22</v>
      </c>
      <c r="Q166" s="32" t="s">
        <v>32</v>
      </c>
      <c r="R166" s="32" t="s">
        <v>19</v>
      </c>
      <c r="S166" s="41">
        <v>1825</v>
      </c>
      <c r="T166" s="41" t="s">
        <v>24</v>
      </c>
    </row>
    <row r="167" spans="1:20">
      <c r="A167" s="31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</row>
    <row r="168" spans="1:20">
      <c r="A168" s="31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</row>
    <row r="169" spans="1:20">
      <c r="A169" s="31" t="s">
        <v>111</v>
      </c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</row>
    <row r="170" spans="1:20">
      <c r="A170" s="31" t="s">
        <v>120</v>
      </c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</row>
    <row r="171" spans="1:20">
      <c r="A171" s="31">
        <v>80001</v>
      </c>
      <c r="B171" s="32" t="s">
        <v>123</v>
      </c>
      <c r="C171" s="32" t="s">
        <v>40</v>
      </c>
      <c r="D171" s="32" t="s">
        <v>126</v>
      </c>
      <c r="E171" s="32" t="s">
        <v>25</v>
      </c>
      <c r="F171" s="32" t="s">
        <v>25</v>
      </c>
      <c r="G171" s="32" t="s">
        <v>25</v>
      </c>
      <c r="H171" s="32" t="s">
        <v>124</v>
      </c>
      <c r="I171" s="32" t="s">
        <v>25</v>
      </c>
      <c r="J171" s="32" t="s">
        <v>25</v>
      </c>
      <c r="K171" s="32" t="s">
        <v>25</v>
      </c>
      <c r="L171" s="32" t="s">
        <v>122</v>
      </c>
      <c r="M171" s="32" t="s">
        <v>25</v>
      </c>
      <c r="N171" s="32" t="s">
        <v>25</v>
      </c>
      <c r="O171" s="32" t="s">
        <v>25</v>
      </c>
      <c r="P171" s="32" t="s">
        <v>114</v>
      </c>
      <c r="Q171" s="32" t="s">
        <v>126</v>
      </c>
      <c r="R171" s="32" t="s">
        <v>19</v>
      </c>
      <c r="S171" s="41">
        <v>1825</v>
      </c>
      <c r="T171" s="41" t="s">
        <v>24</v>
      </c>
    </row>
    <row r="172" spans="1:20">
      <c r="A172" s="31">
        <v>80012</v>
      </c>
      <c r="B172" s="32" t="s">
        <v>123</v>
      </c>
      <c r="C172" s="32" t="s">
        <v>40</v>
      </c>
      <c r="D172" s="32" t="s">
        <v>127</v>
      </c>
      <c r="E172" s="32" t="s">
        <v>25</v>
      </c>
      <c r="F172" s="32" t="s">
        <v>25</v>
      </c>
      <c r="G172" s="32" t="s">
        <v>25</v>
      </c>
      <c r="H172" s="32" t="s">
        <v>124</v>
      </c>
      <c r="I172" s="32" t="s">
        <v>25</v>
      </c>
      <c r="J172" s="32" t="s">
        <v>25</v>
      </c>
      <c r="K172" s="32" t="s">
        <v>25</v>
      </c>
      <c r="L172" s="32" t="s">
        <v>122</v>
      </c>
      <c r="M172" s="32" t="s">
        <v>25</v>
      </c>
      <c r="N172" s="32" t="s">
        <v>25</v>
      </c>
      <c r="O172" s="32" t="s">
        <v>25</v>
      </c>
      <c r="P172" s="32" t="s">
        <v>114</v>
      </c>
      <c r="Q172" s="32" t="s">
        <v>127</v>
      </c>
      <c r="R172" s="32" t="s">
        <v>19</v>
      </c>
      <c r="S172" s="41">
        <v>1825</v>
      </c>
      <c r="T172" s="41" t="s">
        <v>24</v>
      </c>
    </row>
    <row r="173" spans="1:20">
      <c r="A173" s="31">
        <v>80123</v>
      </c>
      <c r="B173" s="32" t="s">
        <v>123</v>
      </c>
      <c r="C173" s="32" t="s">
        <v>40</v>
      </c>
      <c r="D173" s="32" t="s">
        <v>115</v>
      </c>
      <c r="E173" s="32" t="s">
        <v>25</v>
      </c>
      <c r="F173" s="32" t="s">
        <v>25</v>
      </c>
      <c r="G173" s="32" t="s">
        <v>25</v>
      </c>
      <c r="H173" s="32" t="s">
        <v>124</v>
      </c>
      <c r="I173" s="32" t="s">
        <v>25</v>
      </c>
      <c r="J173" s="32" t="s">
        <v>25</v>
      </c>
      <c r="K173" s="32" t="s">
        <v>25</v>
      </c>
      <c r="L173" s="32" t="s">
        <v>122</v>
      </c>
      <c r="M173" s="32" t="s">
        <v>25</v>
      </c>
      <c r="N173" s="32" t="s">
        <v>25</v>
      </c>
      <c r="O173" s="32" t="s">
        <v>25</v>
      </c>
      <c r="P173" s="32" t="s">
        <v>114</v>
      </c>
      <c r="Q173" s="32" t="s">
        <v>115</v>
      </c>
      <c r="R173" s="32" t="s">
        <v>19</v>
      </c>
      <c r="S173" s="41">
        <v>1825</v>
      </c>
      <c r="T173" s="41" t="s">
        <v>24</v>
      </c>
    </row>
    <row r="174" spans="1:20">
      <c r="A174" s="31" t="s">
        <v>121</v>
      </c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</row>
    <row r="175" spans="1:20">
      <c r="A175" s="31">
        <v>90001</v>
      </c>
      <c r="B175" s="32" t="s">
        <v>123</v>
      </c>
      <c r="C175" s="32" t="s">
        <v>40</v>
      </c>
      <c r="D175" s="32" t="s">
        <v>116</v>
      </c>
      <c r="E175" s="32" t="s">
        <v>25</v>
      </c>
      <c r="F175" s="32" t="s">
        <v>25</v>
      </c>
      <c r="G175" s="32" t="s">
        <v>25</v>
      </c>
      <c r="H175" s="32" t="s">
        <v>124</v>
      </c>
      <c r="I175" s="32" t="s">
        <v>25</v>
      </c>
      <c r="J175" s="32" t="s">
        <v>25</v>
      </c>
      <c r="K175" s="32" t="s">
        <v>25</v>
      </c>
      <c r="L175" s="32" t="s">
        <v>122</v>
      </c>
      <c r="M175" s="32" t="s">
        <v>25</v>
      </c>
      <c r="N175" s="32" t="s">
        <v>25</v>
      </c>
      <c r="O175" s="32" t="s">
        <v>25</v>
      </c>
      <c r="P175" s="32" t="s">
        <v>119</v>
      </c>
      <c r="Q175" s="32" t="s">
        <v>126</v>
      </c>
      <c r="R175" s="32" t="s">
        <v>19</v>
      </c>
      <c r="S175" s="41">
        <v>1825</v>
      </c>
      <c r="T175" s="41" t="s">
        <v>24</v>
      </c>
    </row>
    <row r="176" spans="1:20">
      <c r="A176" s="31">
        <v>90012</v>
      </c>
      <c r="B176" s="32" t="s">
        <v>123</v>
      </c>
      <c r="C176" s="32" t="s">
        <v>40</v>
      </c>
      <c r="D176" s="32" t="s">
        <v>117</v>
      </c>
      <c r="E176" s="32" t="s">
        <v>25</v>
      </c>
      <c r="F176" s="32" t="s">
        <v>25</v>
      </c>
      <c r="G176" s="32" t="s">
        <v>25</v>
      </c>
      <c r="H176" s="32" t="s">
        <v>124</v>
      </c>
      <c r="I176" s="32" t="s">
        <v>25</v>
      </c>
      <c r="J176" s="32" t="s">
        <v>25</v>
      </c>
      <c r="K176" s="32" t="s">
        <v>25</v>
      </c>
      <c r="L176" s="32" t="s">
        <v>122</v>
      </c>
      <c r="M176" s="32" t="s">
        <v>25</v>
      </c>
      <c r="N176" s="32" t="s">
        <v>25</v>
      </c>
      <c r="O176" s="32" t="s">
        <v>25</v>
      </c>
      <c r="P176" s="32" t="s">
        <v>119</v>
      </c>
      <c r="Q176" s="32" t="s">
        <v>127</v>
      </c>
      <c r="R176" s="32" t="s">
        <v>19</v>
      </c>
      <c r="S176" s="41">
        <v>1825</v>
      </c>
      <c r="T176" s="41" t="s">
        <v>24</v>
      </c>
    </row>
    <row r="177" spans="1:20">
      <c r="A177" s="31">
        <v>90123</v>
      </c>
      <c r="B177" s="32" t="s">
        <v>123</v>
      </c>
      <c r="C177" s="32" t="s">
        <v>40</v>
      </c>
      <c r="D177" s="32" t="s">
        <v>118</v>
      </c>
      <c r="E177" s="32" t="s">
        <v>25</v>
      </c>
      <c r="F177" s="32" t="s">
        <v>25</v>
      </c>
      <c r="G177" s="32" t="s">
        <v>25</v>
      </c>
      <c r="H177" s="32" t="s">
        <v>124</v>
      </c>
      <c r="I177" s="32" t="s">
        <v>25</v>
      </c>
      <c r="J177" s="32" t="s">
        <v>25</v>
      </c>
      <c r="K177" s="32" t="s">
        <v>25</v>
      </c>
      <c r="L177" s="32" t="s">
        <v>122</v>
      </c>
      <c r="M177" s="32" t="s">
        <v>25</v>
      </c>
      <c r="N177" s="32" t="s">
        <v>25</v>
      </c>
      <c r="O177" s="32" t="s">
        <v>25</v>
      </c>
      <c r="P177" s="32" t="s">
        <v>119</v>
      </c>
      <c r="Q177" s="32" t="s">
        <v>115</v>
      </c>
      <c r="R177" s="32" t="s">
        <v>19</v>
      </c>
      <c r="S177" s="41">
        <v>1825</v>
      </c>
      <c r="T177" s="41" t="s">
        <v>24</v>
      </c>
    </row>
  </sheetData>
  <autoFilter ref="A1:T13"/>
  <phoneticPr fontId="25" type="noConversion"/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Q176"/>
  <sheetViews>
    <sheetView zoomScaleNormal="100" workbookViewId="0">
      <pane ySplit="1" topLeftCell="A56" activePane="bottomLeft" state="frozen"/>
      <selection pane="bottomLeft" activeCell="G73" sqref="G73"/>
    </sheetView>
  </sheetViews>
  <sheetFormatPr defaultColWidth="8.88671875" defaultRowHeight="17.25"/>
  <cols>
    <col min="1" max="1" width="8.88671875" style="45" customWidth="1"/>
    <col min="2" max="2" width="9.77734375" style="59" customWidth="1"/>
    <col min="3" max="3" width="10" style="59" customWidth="1"/>
    <col min="4" max="4" width="16.109375" style="59" customWidth="1"/>
    <col min="5" max="5" width="17.77734375" style="59" customWidth="1"/>
    <col min="6" max="6" width="18" style="59" customWidth="1"/>
    <col min="7" max="7" width="13.77734375" style="59" customWidth="1"/>
    <col min="8" max="8" width="13" style="59" customWidth="1"/>
    <col min="9" max="9" width="14.88671875" style="59" customWidth="1"/>
    <col min="10" max="10" width="13.33203125" style="59" customWidth="1"/>
    <col min="11" max="12" width="14" style="59" customWidth="1"/>
    <col min="13" max="13" width="14.88671875" style="59" customWidth="1"/>
    <col min="14" max="14" width="9.88671875" style="59" customWidth="1"/>
    <col min="15" max="15" width="6.109375" style="59" customWidth="1"/>
    <col min="16" max="16" width="8" style="59" customWidth="1"/>
    <col min="17" max="17" width="8.77734375" style="59" customWidth="1"/>
    <col min="18" max="18" width="4.6640625" style="42" customWidth="1"/>
    <col min="19" max="16384" width="8.88671875" style="42"/>
  </cols>
  <sheetData>
    <row r="1" spans="1:17" s="16" customFormat="1" ht="34.5" customHeight="1">
      <c r="A1" s="4" t="s">
        <v>45</v>
      </c>
      <c r="B1" s="17" t="s">
        <v>2</v>
      </c>
      <c r="C1" s="17" t="s">
        <v>3</v>
      </c>
      <c r="D1" s="17" t="s">
        <v>11</v>
      </c>
      <c r="E1" s="17" t="s">
        <v>14</v>
      </c>
      <c r="F1" s="17" t="s">
        <v>17</v>
      </c>
      <c r="G1" s="17" t="s">
        <v>10</v>
      </c>
      <c r="H1" s="17" t="s">
        <v>13</v>
      </c>
      <c r="I1" s="17" t="s">
        <v>16</v>
      </c>
      <c r="J1" s="17" t="s">
        <v>9</v>
      </c>
      <c r="K1" s="17" t="s">
        <v>12</v>
      </c>
      <c r="L1" s="17" t="s">
        <v>15</v>
      </c>
      <c r="M1" s="17" t="s">
        <v>20</v>
      </c>
      <c r="N1" s="17" t="s">
        <v>21</v>
      </c>
      <c r="O1" s="17" t="s">
        <v>502</v>
      </c>
      <c r="P1" s="17" t="s">
        <v>4</v>
      </c>
      <c r="Q1" s="17" t="s">
        <v>5</v>
      </c>
    </row>
    <row r="2" spans="1:17">
      <c r="A2" s="61" t="s">
        <v>619</v>
      </c>
      <c r="D2" s="41"/>
      <c r="G2" s="41"/>
      <c r="H2" s="41"/>
      <c r="I2" s="41"/>
      <c r="M2" s="41"/>
      <c r="N2" s="41"/>
      <c r="O2" s="41"/>
      <c r="P2" s="41"/>
      <c r="Q2" s="41"/>
    </row>
    <row r="3" spans="1:17">
      <c r="A3" s="61">
        <v>99080</v>
      </c>
      <c r="B3" s="71" t="s">
        <v>367</v>
      </c>
      <c r="C3" s="71" t="s">
        <v>367</v>
      </c>
      <c r="D3" s="41" t="s">
        <v>23</v>
      </c>
      <c r="E3" s="59" t="s">
        <v>93</v>
      </c>
      <c r="F3" s="59" t="s">
        <v>94</v>
      </c>
      <c r="G3" s="41" t="s">
        <v>28</v>
      </c>
      <c r="H3" s="41" t="s">
        <v>28</v>
      </c>
      <c r="I3" s="41" t="s">
        <v>28</v>
      </c>
      <c r="J3" s="41" t="s">
        <v>60</v>
      </c>
      <c r="K3" s="41" t="s">
        <v>60</v>
      </c>
      <c r="L3" s="41" t="s">
        <v>60</v>
      </c>
      <c r="M3" s="41" t="s">
        <v>22</v>
      </c>
      <c r="N3" s="41" t="s">
        <v>32</v>
      </c>
      <c r="O3" s="41" t="s">
        <v>19</v>
      </c>
      <c r="P3" s="41">
        <v>1825</v>
      </c>
      <c r="Q3" s="41" t="s">
        <v>24</v>
      </c>
    </row>
    <row r="4" spans="1:17">
      <c r="A4" s="61">
        <v>99083</v>
      </c>
      <c r="B4" s="71" t="s">
        <v>367</v>
      </c>
      <c r="C4" s="71" t="s">
        <v>367</v>
      </c>
      <c r="D4" s="41" t="s">
        <v>23</v>
      </c>
      <c r="E4" s="59" t="s">
        <v>93</v>
      </c>
      <c r="F4" s="59" t="s">
        <v>94</v>
      </c>
      <c r="G4" s="41" t="s">
        <v>28</v>
      </c>
      <c r="H4" s="41" t="s">
        <v>28</v>
      </c>
      <c r="I4" s="41" t="s">
        <v>28</v>
      </c>
      <c r="J4" s="41" t="s">
        <v>61</v>
      </c>
      <c r="K4" s="41" t="s">
        <v>61</v>
      </c>
      <c r="L4" s="41" t="s">
        <v>61</v>
      </c>
      <c r="M4" s="41" t="s">
        <v>22</v>
      </c>
      <c r="N4" s="41" t="s">
        <v>32</v>
      </c>
      <c r="O4" s="41" t="s">
        <v>19</v>
      </c>
      <c r="P4" s="41">
        <v>1825</v>
      </c>
      <c r="Q4" s="41" t="s">
        <v>24</v>
      </c>
    </row>
    <row r="5" spans="1:17">
      <c r="A5" s="61">
        <v>99103</v>
      </c>
      <c r="B5" s="71" t="s">
        <v>367</v>
      </c>
      <c r="C5" s="71" t="s">
        <v>367</v>
      </c>
      <c r="D5" s="21" t="s">
        <v>108</v>
      </c>
      <c r="E5" s="41" t="s">
        <v>25</v>
      </c>
      <c r="F5" s="41" t="s">
        <v>25</v>
      </c>
      <c r="G5" s="41" t="s">
        <v>28</v>
      </c>
      <c r="H5" s="41" t="s">
        <v>25</v>
      </c>
      <c r="I5" s="41" t="s">
        <v>25</v>
      </c>
      <c r="J5" s="59" t="s">
        <v>204</v>
      </c>
      <c r="K5" s="41" t="s">
        <v>25</v>
      </c>
      <c r="L5" s="41" t="s">
        <v>25</v>
      </c>
      <c r="M5" s="41" t="s">
        <v>22</v>
      </c>
      <c r="N5" s="41" t="s">
        <v>32</v>
      </c>
      <c r="O5" s="41" t="s">
        <v>19</v>
      </c>
      <c r="P5" s="41">
        <v>1825</v>
      </c>
      <c r="Q5" s="41" t="s">
        <v>24</v>
      </c>
    </row>
    <row r="6" spans="1:17">
      <c r="A6" s="61" t="s">
        <v>620</v>
      </c>
      <c r="D6" s="21"/>
      <c r="E6" s="41"/>
      <c r="F6" s="41"/>
      <c r="G6" s="41"/>
      <c r="H6" s="41"/>
      <c r="I6" s="41"/>
      <c r="K6" s="41"/>
      <c r="L6" s="41"/>
      <c r="M6" s="41"/>
      <c r="N6" s="41"/>
      <c r="O6" s="41"/>
      <c r="P6" s="41"/>
      <c r="Q6" s="41"/>
    </row>
    <row r="7" spans="1:17">
      <c r="A7" s="153">
        <v>90100</v>
      </c>
      <c r="B7" s="71" t="s">
        <v>367</v>
      </c>
      <c r="C7" s="71" t="s">
        <v>367</v>
      </c>
      <c r="D7" s="41" t="s">
        <v>484</v>
      </c>
      <c r="E7" s="59" t="s">
        <v>93</v>
      </c>
      <c r="F7" s="59" t="s">
        <v>94</v>
      </c>
      <c r="G7" s="41" t="s">
        <v>488</v>
      </c>
      <c r="H7" s="41" t="s">
        <v>487</v>
      </c>
      <c r="I7" s="41" t="s">
        <v>487</v>
      </c>
      <c r="J7" s="59" t="s">
        <v>204</v>
      </c>
      <c r="K7" s="59" t="s">
        <v>204</v>
      </c>
      <c r="L7" s="59" t="s">
        <v>204</v>
      </c>
      <c r="M7" s="41" t="s">
        <v>22</v>
      </c>
      <c r="N7" s="41" t="s">
        <v>32</v>
      </c>
      <c r="O7" s="41" t="s">
        <v>19</v>
      </c>
      <c r="P7" s="41">
        <v>1825</v>
      </c>
      <c r="Q7" s="41" t="s">
        <v>24</v>
      </c>
    </row>
    <row r="8" spans="1:17">
      <c r="A8" s="61" t="s">
        <v>621</v>
      </c>
      <c r="D8" s="41"/>
      <c r="G8" s="41"/>
      <c r="H8" s="41"/>
      <c r="I8" s="41"/>
      <c r="M8" s="41"/>
      <c r="N8" s="41"/>
      <c r="O8" s="41"/>
      <c r="P8" s="41"/>
      <c r="Q8" s="41"/>
    </row>
    <row r="9" spans="1:17">
      <c r="A9" s="153">
        <v>90103</v>
      </c>
      <c r="B9" s="71" t="s">
        <v>367</v>
      </c>
      <c r="C9" s="71" t="s">
        <v>367</v>
      </c>
      <c r="D9" s="59" t="s">
        <v>486</v>
      </c>
      <c r="E9" s="41" t="s">
        <v>25</v>
      </c>
      <c r="F9" s="41" t="s">
        <v>25</v>
      </c>
      <c r="G9" s="41" t="s">
        <v>487</v>
      </c>
      <c r="H9" s="41" t="s">
        <v>25</v>
      </c>
      <c r="I9" s="41" t="s">
        <v>25</v>
      </c>
      <c r="J9" s="59" t="s">
        <v>204</v>
      </c>
      <c r="K9" s="41" t="s">
        <v>25</v>
      </c>
      <c r="L9" s="41" t="s">
        <v>25</v>
      </c>
      <c r="M9" s="41" t="s">
        <v>22</v>
      </c>
      <c r="N9" s="41" t="s">
        <v>32</v>
      </c>
      <c r="O9" s="41" t="s">
        <v>19</v>
      </c>
      <c r="P9" s="41">
        <v>1825</v>
      </c>
      <c r="Q9" s="41" t="s">
        <v>24</v>
      </c>
    </row>
    <row r="10" spans="1:17">
      <c r="A10" s="61" t="s">
        <v>622</v>
      </c>
      <c r="G10" s="41"/>
      <c r="H10" s="41"/>
      <c r="I10" s="41"/>
      <c r="M10" s="41"/>
      <c r="N10" s="41"/>
      <c r="O10" s="41"/>
      <c r="P10" s="41"/>
      <c r="Q10" s="41"/>
    </row>
    <row r="11" spans="1:17">
      <c r="A11" s="154">
        <v>70101</v>
      </c>
      <c r="B11" s="59" t="s">
        <v>367</v>
      </c>
      <c r="C11" s="59" t="s">
        <v>470</v>
      </c>
      <c r="D11" s="41" t="s">
        <v>484</v>
      </c>
      <c r="E11" s="59" t="s">
        <v>93</v>
      </c>
      <c r="F11" s="59" t="s">
        <v>94</v>
      </c>
      <c r="G11" s="41" t="s">
        <v>28</v>
      </c>
      <c r="H11" s="41" t="s">
        <v>28</v>
      </c>
      <c r="I11" s="41" t="s">
        <v>28</v>
      </c>
      <c r="J11" s="59" t="s">
        <v>498</v>
      </c>
      <c r="K11" s="59" t="s">
        <v>498</v>
      </c>
      <c r="L11" s="59" t="s">
        <v>498</v>
      </c>
      <c r="M11" s="41" t="s">
        <v>531</v>
      </c>
      <c r="N11" s="41" t="s">
        <v>530</v>
      </c>
      <c r="O11" s="41" t="s">
        <v>19</v>
      </c>
      <c r="P11" s="41" t="s">
        <v>80</v>
      </c>
      <c r="Q11" s="41" t="s">
        <v>24</v>
      </c>
    </row>
    <row r="12" spans="1:17">
      <c r="A12" s="61" t="s">
        <v>623</v>
      </c>
      <c r="D12" s="41"/>
      <c r="G12" s="41"/>
      <c r="H12" s="41"/>
      <c r="I12" s="41"/>
      <c r="M12" s="41"/>
      <c r="N12" s="41"/>
      <c r="O12" s="41"/>
      <c r="P12" s="41"/>
      <c r="Q12" s="41"/>
    </row>
    <row r="13" spans="1:17">
      <c r="A13" s="154">
        <v>70103</v>
      </c>
      <c r="B13" s="59" t="s">
        <v>367</v>
      </c>
      <c r="C13" s="59" t="s">
        <v>367</v>
      </c>
      <c r="D13" s="59" t="s">
        <v>486</v>
      </c>
      <c r="E13" s="41" t="s">
        <v>25</v>
      </c>
      <c r="F13" s="41" t="s">
        <v>25</v>
      </c>
      <c r="G13" s="41" t="s">
        <v>487</v>
      </c>
      <c r="H13" s="41" t="s">
        <v>25</v>
      </c>
      <c r="I13" s="41" t="s">
        <v>25</v>
      </c>
      <c r="J13" s="59" t="s">
        <v>497</v>
      </c>
      <c r="K13" s="41" t="s">
        <v>25</v>
      </c>
      <c r="L13" s="41" t="s">
        <v>25</v>
      </c>
      <c r="M13" s="41" t="s">
        <v>532</v>
      </c>
      <c r="N13" s="41" t="s">
        <v>533</v>
      </c>
      <c r="O13" s="41" t="s">
        <v>19</v>
      </c>
      <c r="P13" s="41" t="s">
        <v>80</v>
      </c>
      <c r="Q13" s="41" t="s">
        <v>24</v>
      </c>
    </row>
    <row r="14" spans="1:17">
      <c r="A14" s="61" t="s">
        <v>624</v>
      </c>
      <c r="E14" s="41"/>
      <c r="F14" s="41"/>
      <c r="G14" s="41"/>
      <c r="H14" s="41"/>
      <c r="I14" s="41"/>
      <c r="K14" s="41"/>
      <c r="L14" s="41"/>
      <c r="M14" s="41"/>
      <c r="N14" s="41"/>
      <c r="O14" s="41"/>
      <c r="P14" s="41"/>
      <c r="Q14" s="41"/>
    </row>
    <row r="15" spans="1:17">
      <c r="A15" s="155" t="s">
        <v>500</v>
      </c>
      <c r="B15" s="59" t="s">
        <v>477</v>
      </c>
      <c r="C15" s="59" t="s">
        <v>470</v>
      </c>
      <c r="D15" s="41" t="s">
        <v>23</v>
      </c>
      <c r="E15" s="59" t="s">
        <v>93</v>
      </c>
      <c r="F15" s="59" t="s">
        <v>94</v>
      </c>
      <c r="G15" s="41" t="s">
        <v>28</v>
      </c>
      <c r="H15" s="41" t="s">
        <v>28</v>
      </c>
      <c r="I15" s="41" t="s">
        <v>28</v>
      </c>
      <c r="J15" s="40" t="s">
        <v>503</v>
      </c>
      <c r="K15" s="40" t="s">
        <v>503</v>
      </c>
      <c r="L15" s="40" t="s">
        <v>503</v>
      </c>
      <c r="M15" s="41" t="s">
        <v>534</v>
      </c>
      <c r="N15" s="41" t="s">
        <v>535</v>
      </c>
      <c r="O15" s="38" t="s">
        <v>0</v>
      </c>
      <c r="P15" s="41" t="s">
        <v>482</v>
      </c>
      <c r="Q15" s="41" t="s">
        <v>24</v>
      </c>
    </row>
    <row r="16" spans="1:17">
      <c r="A16" s="62" t="s">
        <v>508</v>
      </c>
      <c r="D16" s="41"/>
      <c r="G16" s="41"/>
      <c r="H16" s="41"/>
      <c r="I16" s="41"/>
      <c r="J16" s="40"/>
      <c r="K16" s="40"/>
      <c r="L16" s="40"/>
      <c r="M16" s="41"/>
      <c r="N16" s="41"/>
      <c r="O16" s="38"/>
      <c r="P16" s="41"/>
      <c r="Q16" s="41"/>
    </row>
    <row r="17" spans="1:17">
      <c r="A17" s="74">
        <v>70203</v>
      </c>
      <c r="B17" s="59" t="s">
        <v>470</v>
      </c>
      <c r="C17" s="59" t="s">
        <v>470</v>
      </c>
      <c r="D17" s="59" t="s">
        <v>486</v>
      </c>
      <c r="E17" s="41" t="s">
        <v>25</v>
      </c>
      <c r="F17" s="41" t="s">
        <v>25</v>
      </c>
      <c r="G17" s="41" t="s">
        <v>28</v>
      </c>
      <c r="H17" s="41" t="s">
        <v>25</v>
      </c>
      <c r="I17" s="41" t="s">
        <v>25</v>
      </c>
      <c r="J17" s="40" t="s">
        <v>503</v>
      </c>
      <c r="K17" s="40" t="s">
        <v>503</v>
      </c>
      <c r="L17" s="40" t="s">
        <v>503</v>
      </c>
      <c r="M17" s="41" t="s">
        <v>536</v>
      </c>
      <c r="N17" s="41" t="s">
        <v>537</v>
      </c>
      <c r="O17" s="38" t="s">
        <v>0</v>
      </c>
      <c r="P17" s="41" t="s">
        <v>482</v>
      </c>
      <c r="Q17" s="41" t="s">
        <v>24</v>
      </c>
    </row>
    <row r="18" spans="1:17">
      <c r="A18" s="63" t="s">
        <v>509</v>
      </c>
      <c r="E18" s="41"/>
      <c r="F18" s="41"/>
      <c r="G18" s="41"/>
      <c r="H18" s="41"/>
      <c r="I18" s="41"/>
      <c r="J18" s="40"/>
      <c r="K18" s="40"/>
      <c r="L18" s="40"/>
      <c r="M18" s="41"/>
      <c r="N18" s="41"/>
      <c r="O18" s="38"/>
      <c r="P18" s="41"/>
      <c r="Q18" s="41"/>
    </row>
    <row r="19" spans="1:17">
      <c r="A19" s="70">
        <v>70201</v>
      </c>
      <c r="B19" s="59" t="s">
        <v>477</v>
      </c>
      <c r="C19" s="59" t="s">
        <v>470</v>
      </c>
      <c r="D19" s="41" t="s">
        <v>484</v>
      </c>
      <c r="E19" s="59" t="s">
        <v>93</v>
      </c>
      <c r="F19" s="59" t="s">
        <v>94</v>
      </c>
      <c r="G19" s="41" t="s">
        <v>28</v>
      </c>
      <c r="H19" s="41" t="s">
        <v>28</v>
      </c>
      <c r="I19" s="41" t="s">
        <v>28</v>
      </c>
      <c r="J19" s="40" t="s">
        <v>503</v>
      </c>
      <c r="K19" s="40" t="s">
        <v>503</v>
      </c>
      <c r="L19" s="40" t="s">
        <v>503</v>
      </c>
      <c r="M19" s="41" t="s">
        <v>538</v>
      </c>
      <c r="N19" s="41" t="s">
        <v>539</v>
      </c>
      <c r="O19" s="38" t="s">
        <v>0</v>
      </c>
      <c r="P19" s="41" t="s">
        <v>80</v>
      </c>
      <c r="Q19" s="41" t="s">
        <v>24</v>
      </c>
    </row>
    <row r="20" spans="1:17" s="76" customFormat="1">
      <c r="A20" s="70" t="s">
        <v>625</v>
      </c>
      <c r="B20" s="60"/>
      <c r="C20" s="60"/>
      <c r="D20" s="75"/>
      <c r="E20" s="60"/>
      <c r="F20" s="60"/>
      <c r="G20" s="75"/>
      <c r="H20" s="75"/>
      <c r="I20" s="75"/>
      <c r="J20" s="60"/>
      <c r="K20" s="60"/>
      <c r="L20" s="60"/>
      <c r="M20" s="75"/>
      <c r="N20" s="75"/>
      <c r="O20" s="75"/>
      <c r="P20" s="75"/>
      <c r="Q20" s="75"/>
    </row>
    <row r="21" spans="1:17" s="73" customFormat="1">
      <c r="A21" s="70" t="s">
        <v>542</v>
      </c>
      <c r="B21" s="71"/>
      <c r="C21" s="71"/>
      <c r="D21" s="72"/>
      <c r="E21" s="71"/>
      <c r="F21" s="71"/>
      <c r="G21" s="72"/>
      <c r="H21" s="72"/>
      <c r="I21" s="72"/>
      <c r="J21" s="71"/>
      <c r="K21" s="71"/>
      <c r="L21" s="71"/>
      <c r="M21" s="72"/>
      <c r="N21" s="72"/>
      <c r="O21" s="72"/>
      <c r="P21" s="72"/>
      <c r="Q21" s="72"/>
    </row>
    <row r="22" spans="1:17" s="73" customFormat="1">
      <c r="A22" s="78">
        <v>11600</v>
      </c>
      <c r="B22" s="71" t="s">
        <v>367</v>
      </c>
      <c r="C22" s="71" t="s">
        <v>367</v>
      </c>
      <c r="D22" s="41" t="s">
        <v>23</v>
      </c>
      <c r="E22" s="59" t="s">
        <v>93</v>
      </c>
      <c r="F22" s="59" t="s">
        <v>94</v>
      </c>
      <c r="G22" s="41" t="s">
        <v>28</v>
      </c>
      <c r="H22" s="41" t="s">
        <v>28</v>
      </c>
      <c r="I22" s="41" t="s">
        <v>28</v>
      </c>
      <c r="J22" s="71" t="s">
        <v>547</v>
      </c>
      <c r="K22" s="71" t="s">
        <v>547</v>
      </c>
      <c r="L22" s="71" t="s">
        <v>547</v>
      </c>
      <c r="M22" s="77" t="s">
        <v>544</v>
      </c>
      <c r="N22" s="77" t="s">
        <v>32</v>
      </c>
      <c r="O22" s="72" t="s">
        <v>546</v>
      </c>
      <c r="P22" s="41" t="s">
        <v>545</v>
      </c>
      <c r="Q22" s="41" t="s">
        <v>24</v>
      </c>
    </row>
    <row r="23" spans="1:17" s="73" customFormat="1">
      <c r="A23" s="78">
        <v>11601</v>
      </c>
      <c r="B23" s="71" t="s">
        <v>367</v>
      </c>
      <c r="C23" s="71" t="s">
        <v>367</v>
      </c>
      <c r="D23" s="41" t="s">
        <v>23</v>
      </c>
      <c r="E23" s="59" t="s">
        <v>93</v>
      </c>
      <c r="F23" s="59" t="s">
        <v>94</v>
      </c>
      <c r="G23" s="41" t="s">
        <v>28</v>
      </c>
      <c r="H23" s="41" t="s">
        <v>28</v>
      </c>
      <c r="I23" s="41" t="s">
        <v>28</v>
      </c>
      <c r="J23" s="71" t="s">
        <v>548</v>
      </c>
      <c r="K23" s="71" t="s">
        <v>548</v>
      </c>
      <c r="L23" s="71" t="s">
        <v>548</v>
      </c>
      <c r="M23" s="77" t="s">
        <v>544</v>
      </c>
      <c r="N23" s="77" t="s">
        <v>32</v>
      </c>
      <c r="O23" s="72" t="s">
        <v>546</v>
      </c>
      <c r="P23" s="41" t="s">
        <v>545</v>
      </c>
      <c r="Q23" s="41" t="s">
        <v>24</v>
      </c>
    </row>
    <row r="24" spans="1:17" s="73" customFormat="1">
      <c r="A24" s="78">
        <v>11602</v>
      </c>
      <c r="B24" s="71" t="s">
        <v>367</v>
      </c>
      <c r="C24" s="71" t="s">
        <v>367</v>
      </c>
      <c r="D24" s="41" t="s">
        <v>23</v>
      </c>
      <c r="E24" s="59" t="s">
        <v>93</v>
      </c>
      <c r="F24" s="59" t="s">
        <v>94</v>
      </c>
      <c r="G24" s="41" t="s">
        <v>28</v>
      </c>
      <c r="H24" s="41" t="s">
        <v>28</v>
      </c>
      <c r="I24" s="41" t="s">
        <v>28</v>
      </c>
      <c r="J24" s="71" t="s">
        <v>549</v>
      </c>
      <c r="K24" s="71" t="s">
        <v>549</v>
      </c>
      <c r="L24" s="71" t="s">
        <v>549</v>
      </c>
      <c r="M24" s="77" t="s">
        <v>544</v>
      </c>
      <c r="N24" s="77" t="s">
        <v>32</v>
      </c>
      <c r="O24" s="72" t="s">
        <v>546</v>
      </c>
      <c r="P24" s="41" t="s">
        <v>545</v>
      </c>
      <c r="Q24" s="41" t="s">
        <v>24</v>
      </c>
    </row>
    <row r="25" spans="1:17" s="73" customFormat="1">
      <c r="A25" s="78">
        <v>11603</v>
      </c>
      <c r="B25" s="71" t="s">
        <v>367</v>
      </c>
      <c r="C25" s="71" t="s">
        <v>367</v>
      </c>
      <c r="D25" s="41" t="s">
        <v>23</v>
      </c>
      <c r="E25" s="59" t="s">
        <v>93</v>
      </c>
      <c r="F25" s="59" t="s">
        <v>94</v>
      </c>
      <c r="G25" s="41" t="s">
        <v>28</v>
      </c>
      <c r="H25" s="41" t="s">
        <v>28</v>
      </c>
      <c r="I25" s="41" t="s">
        <v>28</v>
      </c>
      <c r="J25" s="71" t="s">
        <v>550</v>
      </c>
      <c r="K25" s="71" t="s">
        <v>550</v>
      </c>
      <c r="L25" s="71" t="s">
        <v>550</v>
      </c>
      <c r="M25" s="77" t="s">
        <v>544</v>
      </c>
      <c r="N25" s="77" t="s">
        <v>32</v>
      </c>
      <c r="O25" s="72" t="s">
        <v>546</v>
      </c>
      <c r="P25" s="41" t="s">
        <v>545</v>
      </c>
      <c r="Q25" s="41" t="s">
        <v>24</v>
      </c>
    </row>
    <row r="26" spans="1:17" s="73" customFormat="1">
      <c r="A26" s="78">
        <v>11604</v>
      </c>
      <c r="B26" s="71" t="s">
        <v>367</v>
      </c>
      <c r="C26" s="71" t="s">
        <v>367</v>
      </c>
      <c r="D26" s="41" t="s">
        <v>23</v>
      </c>
      <c r="E26" s="59" t="s">
        <v>93</v>
      </c>
      <c r="F26" s="59" t="s">
        <v>94</v>
      </c>
      <c r="G26" s="41" t="s">
        <v>28</v>
      </c>
      <c r="H26" s="41" t="s">
        <v>28</v>
      </c>
      <c r="I26" s="41" t="s">
        <v>28</v>
      </c>
      <c r="J26" s="71" t="s">
        <v>551</v>
      </c>
      <c r="K26" s="71" t="s">
        <v>551</v>
      </c>
      <c r="L26" s="71" t="s">
        <v>551</v>
      </c>
      <c r="M26" s="77" t="s">
        <v>544</v>
      </c>
      <c r="N26" s="77" t="s">
        <v>32</v>
      </c>
      <c r="O26" s="72" t="s">
        <v>546</v>
      </c>
      <c r="P26" s="41" t="s">
        <v>545</v>
      </c>
      <c r="Q26" s="41" t="s">
        <v>24</v>
      </c>
    </row>
    <row r="27" spans="1:17" s="73" customFormat="1">
      <c r="A27" s="78">
        <v>13600</v>
      </c>
      <c r="B27" s="71" t="s">
        <v>367</v>
      </c>
      <c r="C27" s="71" t="s">
        <v>367</v>
      </c>
      <c r="D27" s="21" t="s">
        <v>108</v>
      </c>
      <c r="E27" s="41" t="s">
        <v>25</v>
      </c>
      <c r="F27" s="41" t="s">
        <v>25</v>
      </c>
      <c r="G27" s="41" t="s">
        <v>28</v>
      </c>
      <c r="H27" s="41" t="s">
        <v>25</v>
      </c>
      <c r="I27" s="41" t="s">
        <v>25</v>
      </c>
      <c r="J27" s="71" t="s">
        <v>550</v>
      </c>
      <c r="K27" s="71" t="s">
        <v>550</v>
      </c>
      <c r="L27" s="71" t="s">
        <v>550</v>
      </c>
      <c r="M27" s="77" t="s">
        <v>544</v>
      </c>
      <c r="N27" s="77" t="s">
        <v>32</v>
      </c>
      <c r="O27" s="72" t="s">
        <v>546</v>
      </c>
      <c r="P27" s="41" t="s">
        <v>545</v>
      </c>
      <c r="Q27" s="41" t="s">
        <v>24</v>
      </c>
    </row>
    <row r="28" spans="1:17" s="73" customFormat="1">
      <c r="A28" s="154">
        <v>11100</v>
      </c>
      <c r="B28" s="71" t="s">
        <v>367</v>
      </c>
      <c r="C28" s="71" t="s">
        <v>342</v>
      </c>
      <c r="D28" s="41" t="s">
        <v>107</v>
      </c>
      <c r="E28" s="59" t="s">
        <v>93</v>
      </c>
      <c r="F28" s="59" t="s">
        <v>94</v>
      </c>
      <c r="G28" s="41" t="s">
        <v>28</v>
      </c>
      <c r="H28" s="41" t="s">
        <v>28</v>
      </c>
      <c r="I28" s="41" t="s">
        <v>28</v>
      </c>
      <c r="J28" s="71" t="s">
        <v>550</v>
      </c>
      <c r="K28" s="71" t="s">
        <v>550</v>
      </c>
      <c r="L28" s="71" t="s">
        <v>550</v>
      </c>
      <c r="M28" s="77" t="s">
        <v>544</v>
      </c>
      <c r="N28" s="77" t="s">
        <v>32</v>
      </c>
      <c r="O28" s="72" t="s">
        <v>546</v>
      </c>
      <c r="P28" s="41" t="s">
        <v>545</v>
      </c>
      <c r="Q28" s="41" t="s">
        <v>24</v>
      </c>
    </row>
    <row r="29" spans="1:17" s="73" customFormat="1">
      <c r="A29" s="154">
        <v>11101</v>
      </c>
      <c r="B29" s="71" t="s">
        <v>367</v>
      </c>
      <c r="C29" s="71" t="s">
        <v>342</v>
      </c>
      <c r="D29" s="41" t="s">
        <v>628</v>
      </c>
      <c r="E29" s="59" t="s">
        <v>626</v>
      </c>
      <c r="F29" s="59" t="s">
        <v>627</v>
      </c>
      <c r="G29" s="41" t="s">
        <v>28</v>
      </c>
      <c r="H29" s="41" t="s">
        <v>28</v>
      </c>
      <c r="I29" s="41" t="s">
        <v>28</v>
      </c>
      <c r="J29" s="71" t="s">
        <v>550</v>
      </c>
      <c r="K29" s="71" t="s">
        <v>550</v>
      </c>
      <c r="L29" s="71" t="s">
        <v>550</v>
      </c>
      <c r="M29" s="77" t="s">
        <v>544</v>
      </c>
      <c r="N29" s="77" t="s">
        <v>32</v>
      </c>
      <c r="O29" s="72" t="s">
        <v>546</v>
      </c>
      <c r="P29" s="41" t="s">
        <v>545</v>
      </c>
      <c r="Q29" s="41" t="s">
        <v>24</v>
      </c>
    </row>
    <row r="30" spans="1:17" s="73" customFormat="1">
      <c r="A30" s="154">
        <v>11102</v>
      </c>
      <c r="B30" s="71" t="s">
        <v>367</v>
      </c>
      <c r="C30" s="71" t="s">
        <v>342</v>
      </c>
      <c r="D30" s="41" t="s">
        <v>107</v>
      </c>
      <c r="E30" s="59" t="s">
        <v>93</v>
      </c>
      <c r="F30" s="59" t="s">
        <v>94</v>
      </c>
      <c r="G30" s="41" t="s">
        <v>28</v>
      </c>
      <c r="H30" s="41" t="s">
        <v>28</v>
      </c>
      <c r="I30" s="41" t="s">
        <v>28</v>
      </c>
      <c r="J30" s="71" t="s">
        <v>600</v>
      </c>
      <c r="K30" s="71" t="s">
        <v>600</v>
      </c>
      <c r="L30" s="71" t="s">
        <v>600</v>
      </c>
      <c r="M30" s="59" t="s">
        <v>583</v>
      </c>
      <c r="N30" s="59" t="s">
        <v>584</v>
      </c>
      <c r="O30" s="72" t="s">
        <v>546</v>
      </c>
      <c r="P30" s="41" t="s">
        <v>545</v>
      </c>
      <c r="Q30" s="41" t="s">
        <v>24</v>
      </c>
    </row>
    <row r="31" spans="1:17" s="73" customFormat="1">
      <c r="A31" s="154">
        <v>11103</v>
      </c>
      <c r="B31" s="71" t="s">
        <v>367</v>
      </c>
      <c r="C31" s="71" t="s">
        <v>342</v>
      </c>
      <c r="D31" s="41" t="s">
        <v>630</v>
      </c>
      <c r="E31" s="59" t="s">
        <v>626</v>
      </c>
      <c r="F31" s="59" t="s">
        <v>627</v>
      </c>
      <c r="G31" s="41" t="s">
        <v>28</v>
      </c>
      <c r="H31" s="41" t="s">
        <v>28</v>
      </c>
      <c r="I31" s="41" t="s">
        <v>28</v>
      </c>
      <c r="J31" s="71" t="s">
        <v>600</v>
      </c>
      <c r="K31" s="71" t="s">
        <v>600</v>
      </c>
      <c r="L31" s="71" t="s">
        <v>600</v>
      </c>
      <c r="M31" s="59" t="s">
        <v>583</v>
      </c>
      <c r="N31" s="59" t="s">
        <v>584</v>
      </c>
      <c r="O31" s="72" t="s">
        <v>546</v>
      </c>
      <c r="P31" s="41" t="s">
        <v>545</v>
      </c>
      <c r="Q31" s="41" t="s">
        <v>24</v>
      </c>
    </row>
    <row r="32" spans="1:17" s="73" customFormat="1">
      <c r="A32" s="156">
        <v>11104</v>
      </c>
      <c r="B32" s="71" t="s">
        <v>367</v>
      </c>
      <c r="C32" s="71" t="s">
        <v>572</v>
      </c>
      <c r="D32" s="41" t="s">
        <v>107</v>
      </c>
      <c r="E32" s="59" t="s">
        <v>626</v>
      </c>
      <c r="F32" s="59" t="s">
        <v>627</v>
      </c>
      <c r="G32" s="41" t="s">
        <v>28</v>
      </c>
      <c r="H32" s="41" t="s">
        <v>28</v>
      </c>
      <c r="I32" s="41" t="s">
        <v>28</v>
      </c>
      <c r="J32" s="71" t="s">
        <v>585</v>
      </c>
      <c r="K32" s="71" t="s">
        <v>586</v>
      </c>
      <c r="L32" s="71" t="s">
        <v>586</v>
      </c>
      <c r="M32" s="59" t="s">
        <v>583</v>
      </c>
      <c r="N32" s="59" t="s">
        <v>584</v>
      </c>
      <c r="O32" s="72" t="s">
        <v>546</v>
      </c>
      <c r="P32" s="41" t="s">
        <v>545</v>
      </c>
      <c r="Q32" s="41" t="s">
        <v>24</v>
      </c>
    </row>
    <row r="33" spans="1:17" s="73" customFormat="1">
      <c r="A33" s="78">
        <v>11200</v>
      </c>
      <c r="B33" s="71" t="s">
        <v>54</v>
      </c>
      <c r="C33" s="71" t="s">
        <v>572</v>
      </c>
      <c r="D33" s="41" t="s">
        <v>343</v>
      </c>
      <c r="E33" s="59" t="s">
        <v>93</v>
      </c>
      <c r="F33" s="59" t="s">
        <v>94</v>
      </c>
      <c r="G33" s="41" t="s">
        <v>28</v>
      </c>
      <c r="H33" s="41" t="s">
        <v>28</v>
      </c>
      <c r="I33" s="41" t="s">
        <v>28</v>
      </c>
      <c r="J33" s="71" t="s">
        <v>550</v>
      </c>
      <c r="K33" s="71" t="s">
        <v>550</v>
      </c>
      <c r="L33" s="71" t="s">
        <v>550</v>
      </c>
      <c r="M33" s="77" t="s">
        <v>544</v>
      </c>
      <c r="N33" s="77" t="s">
        <v>32</v>
      </c>
      <c r="O33" s="72" t="s">
        <v>546</v>
      </c>
      <c r="P33" s="41" t="s">
        <v>545</v>
      </c>
      <c r="Q33" s="41" t="s">
        <v>24</v>
      </c>
    </row>
    <row r="34" spans="1:17" s="73" customFormat="1">
      <c r="A34" s="78">
        <v>11300</v>
      </c>
      <c r="B34" s="71" t="s">
        <v>367</v>
      </c>
      <c r="C34" s="71" t="s">
        <v>367</v>
      </c>
      <c r="D34" s="41" t="s">
        <v>555</v>
      </c>
      <c r="E34" s="59" t="s">
        <v>93</v>
      </c>
      <c r="F34" s="59" t="s">
        <v>94</v>
      </c>
      <c r="G34" s="41" t="s">
        <v>28</v>
      </c>
      <c r="H34" s="41" t="s">
        <v>28</v>
      </c>
      <c r="I34" s="41" t="s">
        <v>28</v>
      </c>
      <c r="J34" s="71" t="s">
        <v>550</v>
      </c>
      <c r="K34" s="71" t="s">
        <v>550</v>
      </c>
      <c r="L34" s="71" t="s">
        <v>550</v>
      </c>
      <c r="M34" s="77" t="s">
        <v>544</v>
      </c>
      <c r="N34" s="77" t="s">
        <v>32</v>
      </c>
      <c r="O34" s="72" t="s">
        <v>546</v>
      </c>
      <c r="P34" s="41" t="s">
        <v>545</v>
      </c>
      <c r="Q34" s="41" t="s">
        <v>24</v>
      </c>
    </row>
    <row r="35" spans="1:17" s="73" customFormat="1">
      <c r="A35" s="78">
        <v>11400</v>
      </c>
      <c r="B35" s="71" t="s">
        <v>367</v>
      </c>
      <c r="C35" s="71" t="s">
        <v>367</v>
      </c>
      <c r="D35" s="41" t="s">
        <v>484</v>
      </c>
      <c r="E35" s="59" t="s">
        <v>93</v>
      </c>
      <c r="F35" s="59" t="s">
        <v>94</v>
      </c>
      <c r="G35" s="41" t="s">
        <v>28</v>
      </c>
      <c r="H35" s="41" t="s">
        <v>28</v>
      </c>
      <c r="I35" s="41" t="s">
        <v>28</v>
      </c>
      <c r="J35" s="71" t="s">
        <v>550</v>
      </c>
      <c r="K35" s="71" t="s">
        <v>550</v>
      </c>
      <c r="L35" s="71" t="s">
        <v>550</v>
      </c>
      <c r="M35" s="77" t="s">
        <v>544</v>
      </c>
      <c r="N35" s="77" t="s">
        <v>32</v>
      </c>
      <c r="O35" s="72" t="s">
        <v>546</v>
      </c>
      <c r="P35" s="41" t="s">
        <v>545</v>
      </c>
      <c r="Q35" s="41" t="s">
        <v>24</v>
      </c>
    </row>
    <row r="36" spans="1:17" s="73" customFormat="1">
      <c r="A36" s="78">
        <v>13100</v>
      </c>
      <c r="B36" s="71" t="s">
        <v>367</v>
      </c>
      <c r="C36" s="71" t="s">
        <v>367</v>
      </c>
      <c r="D36" s="41" t="s">
        <v>557</v>
      </c>
      <c r="E36" s="59" t="s">
        <v>25</v>
      </c>
      <c r="F36" s="59" t="s">
        <v>25</v>
      </c>
      <c r="G36" s="41" t="s">
        <v>28</v>
      </c>
      <c r="H36" s="41" t="s">
        <v>25</v>
      </c>
      <c r="I36" s="41" t="s">
        <v>25</v>
      </c>
      <c r="J36" s="71" t="s">
        <v>550</v>
      </c>
      <c r="K36" s="71" t="s">
        <v>550</v>
      </c>
      <c r="L36" s="71" t="s">
        <v>550</v>
      </c>
      <c r="M36" s="77" t="s">
        <v>544</v>
      </c>
      <c r="N36" s="77" t="s">
        <v>32</v>
      </c>
      <c r="O36" s="72" t="s">
        <v>546</v>
      </c>
      <c r="P36" s="41" t="s">
        <v>545</v>
      </c>
      <c r="Q36" s="41" t="s">
        <v>24</v>
      </c>
    </row>
    <row r="37" spans="1:17">
      <c r="A37" s="156">
        <v>13200</v>
      </c>
      <c r="B37" s="71" t="s">
        <v>54</v>
      </c>
      <c r="C37" s="71" t="s">
        <v>572</v>
      </c>
      <c r="D37" s="41" t="s">
        <v>559</v>
      </c>
      <c r="E37" s="59" t="s">
        <v>25</v>
      </c>
      <c r="F37" s="59" t="s">
        <v>25</v>
      </c>
      <c r="G37" s="41" t="s">
        <v>570</v>
      </c>
      <c r="H37" s="41" t="s">
        <v>25</v>
      </c>
      <c r="I37" s="41" t="s">
        <v>25</v>
      </c>
      <c r="J37" s="71" t="s">
        <v>550</v>
      </c>
      <c r="K37" s="71" t="s">
        <v>550</v>
      </c>
      <c r="L37" s="71" t="s">
        <v>550</v>
      </c>
      <c r="M37" s="77" t="s">
        <v>544</v>
      </c>
      <c r="N37" s="77" t="s">
        <v>32</v>
      </c>
      <c r="O37" s="72" t="s">
        <v>546</v>
      </c>
      <c r="P37" s="41" t="s">
        <v>545</v>
      </c>
      <c r="Q37" s="41" t="s">
        <v>24</v>
      </c>
    </row>
    <row r="38" spans="1:17">
      <c r="A38" s="78">
        <v>13300</v>
      </c>
      <c r="B38" s="71" t="s">
        <v>367</v>
      </c>
      <c r="C38" s="71" t="s">
        <v>367</v>
      </c>
      <c r="D38" s="41" t="s">
        <v>560</v>
      </c>
      <c r="E38" s="59" t="s">
        <v>25</v>
      </c>
      <c r="F38" s="59" t="s">
        <v>25</v>
      </c>
      <c r="G38" s="41" t="s">
        <v>28</v>
      </c>
      <c r="H38" s="41" t="s">
        <v>25</v>
      </c>
      <c r="I38" s="41" t="s">
        <v>25</v>
      </c>
      <c r="J38" s="71" t="s">
        <v>550</v>
      </c>
      <c r="K38" s="71" t="s">
        <v>550</v>
      </c>
      <c r="L38" s="71" t="s">
        <v>550</v>
      </c>
      <c r="M38" s="77" t="s">
        <v>544</v>
      </c>
      <c r="N38" s="77" t="s">
        <v>32</v>
      </c>
      <c r="O38" s="72" t="s">
        <v>546</v>
      </c>
      <c r="P38" s="41" t="s">
        <v>545</v>
      </c>
      <c r="Q38" s="41" t="s">
        <v>24</v>
      </c>
    </row>
    <row r="39" spans="1:17">
      <c r="A39" s="78">
        <v>13400</v>
      </c>
      <c r="B39" s="71" t="s">
        <v>367</v>
      </c>
      <c r="C39" s="71" t="s">
        <v>367</v>
      </c>
      <c r="D39" s="41" t="s">
        <v>561</v>
      </c>
      <c r="E39" s="59" t="s">
        <v>25</v>
      </c>
      <c r="F39" s="59" t="s">
        <v>25</v>
      </c>
      <c r="G39" s="41" t="s">
        <v>28</v>
      </c>
      <c r="H39" s="41" t="s">
        <v>25</v>
      </c>
      <c r="I39" s="41" t="s">
        <v>25</v>
      </c>
      <c r="J39" s="71" t="s">
        <v>550</v>
      </c>
      <c r="K39" s="71" t="s">
        <v>550</v>
      </c>
      <c r="L39" s="71" t="s">
        <v>550</v>
      </c>
      <c r="M39" s="77" t="s">
        <v>544</v>
      </c>
      <c r="N39" s="77" t="s">
        <v>32</v>
      </c>
      <c r="O39" s="72" t="s">
        <v>546</v>
      </c>
      <c r="P39" s="41" t="s">
        <v>545</v>
      </c>
      <c r="Q39" s="41" t="s">
        <v>24</v>
      </c>
    </row>
    <row r="40" spans="1:17">
      <c r="A40" s="59" t="s">
        <v>576</v>
      </c>
      <c r="B40" s="71"/>
      <c r="C40" s="71"/>
      <c r="D40" s="41"/>
      <c r="G40" s="41"/>
      <c r="H40" s="41"/>
      <c r="I40" s="41"/>
      <c r="J40" s="71"/>
      <c r="K40" s="71"/>
      <c r="L40" s="71"/>
      <c r="M40" s="77"/>
      <c r="N40" s="77"/>
      <c r="O40" s="72"/>
      <c r="P40" s="41"/>
      <c r="Q40" s="41"/>
    </row>
    <row r="41" spans="1:17">
      <c r="A41" s="45">
        <v>11401</v>
      </c>
      <c r="B41" s="71" t="s">
        <v>367</v>
      </c>
      <c r="C41" s="71" t="s">
        <v>367</v>
      </c>
      <c r="D41" s="41" t="s">
        <v>484</v>
      </c>
      <c r="E41" s="59" t="s">
        <v>93</v>
      </c>
      <c r="F41" s="59" t="s">
        <v>94</v>
      </c>
      <c r="G41" s="41" t="s">
        <v>28</v>
      </c>
      <c r="H41" s="41" t="s">
        <v>28</v>
      </c>
      <c r="I41" s="41" t="s">
        <v>28</v>
      </c>
      <c r="J41" s="71" t="s">
        <v>573</v>
      </c>
      <c r="K41" s="71" t="s">
        <v>573</v>
      </c>
      <c r="L41" s="71" t="s">
        <v>573</v>
      </c>
      <c r="M41" s="77" t="s">
        <v>544</v>
      </c>
      <c r="N41" s="77" t="s">
        <v>32</v>
      </c>
      <c r="O41" s="72" t="s">
        <v>546</v>
      </c>
      <c r="P41" s="41" t="s">
        <v>545</v>
      </c>
      <c r="Q41" s="41" t="s">
        <v>24</v>
      </c>
    </row>
    <row r="42" spans="1:17">
      <c r="A42" s="45">
        <v>13401</v>
      </c>
      <c r="B42" s="71" t="s">
        <v>367</v>
      </c>
      <c r="C42" s="71" t="s">
        <v>367</v>
      </c>
      <c r="D42" s="41" t="s">
        <v>561</v>
      </c>
      <c r="E42" s="59" t="s">
        <v>25</v>
      </c>
      <c r="F42" s="59" t="s">
        <v>25</v>
      </c>
      <c r="G42" s="41" t="s">
        <v>28</v>
      </c>
      <c r="H42" s="41" t="s">
        <v>25</v>
      </c>
      <c r="I42" s="41" t="s">
        <v>25</v>
      </c>
      <c r="J42" s="71" t="s">
        <v>573</v>
      </c>
      <c r="K42" s="71" t="s">
        <v>573</v>
      </c>
      <c r="L42" s="71" t="s">
        <v>573</v>
      </c>
      <c r="M42" s="77" t="s">
        <v>544</v>
      </c>
      <c r="N42" s="77" t="s">
        <v>32</v>
      </c>
      <c r="O42" s="72" t="s">
        <v>546</v>
      </c>
      <c r="P42" s="41" t="s">
        <v>545</v>
      </c>
      <c r="Q42" s="41" t="s">
        <v>24</v>
      </c>
    </row>
    <row r="43" spans="1:17">
      <c r="A43" s="59" t="s">
        <v>575</v>
      </c>
      <c r="B43" s="71"/>
      <c r="C43" s="71"/>
      <c r="D43" s="41"/>
      <c r="G43" s="41"/>
      <c r="H43" s="41"/>
      <c r="I43" s="41"/>
      <c r="J43" s="71"/>
      <c r="K43" s="71"/>
      <c r="L43" s="71"/>
      <c r="M43" s="77"/>
      <c r="N43" s="77"/>
      <c r="O43" s="72"/>
      <c r="P43" s="41"/>
      <c r="Q43" s="41"/>
    </row>
    <row r="44" spans="1:17">
      <c r="A44" s="45">
        <v>11402</v>
      </c>
      <c r="B44" s="71" t="s">
        <v>54</v>
      </c>
      <c r="C44" s="71" t="s">
        <v>470</v>
      </c>
      <c r="D44" s="41" t="s">
        <v>484</v>
      </c>
      <c r="E44" s="59" t="s">
        <v>93</v>
      </c>
      <c r="F44" s="59" t="s">
        <v>94</v>
      </c>
      <c r="G44" s="41" t="s">
        <v>28</v>
      </c>
      <c r="H44" s="41" t="s">
        <v>28</v>
      </c>
      <c r="I44" s="41" t="s">
        <v>28</v>
      </c>
      <c r="J44" s="71" t="s">
        <v>574</v>
      </c>
      <c r="K44" s="71" t="s">
        <v>574</v>
      </c>
      <c r="L44" s="71" t="s">
        <v>574</v>
      </c>
      <c r="M44" s="77" t="s">
        <v>544</v>
      </c>
      <c r="N44" s="77" t="s">
        <v>32</v>
      </c>
      <c r="O44" s="72" t="s">
        <v>546</v>
      </c>
      <c r="P44" s="41" t="s">
        <v>545</v>
      </c>
      <c r="Q44" s="41" t="s">
        <v>24</v>
      </c>
    </row>
    <row r="45" spans="1:17">
      <c r="A45" s="157">
        <v>13402</v>
      </c>
      <c r="B45" s="71" t="s">
        <v>54</v>
      </c>
      <c r="C45" s="71" t="s">
        <v>470</v>
      </c>
      <c r="D45" s="41" t="s">
        <v>561</v>
      </c>
      <c r="E45" s="59" t="s">
        <v>25</v>
      </c>
      <c r="F45" s="59" t="s">
        <v>25</v>
      </c>
      <c r="G45" s="41" t="s">
        <v>28</v>
      </c>
      <c r="H45" s="41" t="s">
        <v>25</v>
      </c>
      <c r="I45" s="41" t="s">
        <v>25</v>
      </c>
      <c r="J45" s="71" t="s">
        <v>574</v>
      </c>
      <c r="K45" s="71" t="s">
        <v>574</v>
      </c>
      <c r="L45" s="71" t="s">
        <v>574</v>
      </c>
      <c r="M45" s="77" t="s">
        <v>544</v>
      </c>
      <c r="N45" s="77" t="s">
        <v>32</v>
      </c>
      <c r="O45" s="72" t="s">
        <v>546</v>
      </c>
      <c r="P45" s="41" t="s">
        <v>545</v>
      </c>
      <c r="Q45" s="41" t="s">
        <v>24</v>
      </c>
    </row>
    <row r="46" spans="1:17">
      <c r="A46" s="59" t="s">
        <v>587</v>
      </c>
    </row>
    <row r="47" spans="1:17">
      <c r="A47" s="45">
        <v>11605</v>
      </c>
      <c r="B47" s="71" t="s">
        <v>367</v>
      </c>
      <c r="C47" s="71" t="s">
        <v>342</v>
      </c>
      <c r="D47" s="41" t="s">
        <v>23</v>
      </c>
      <c r="E47" s="59" t="s">
        <v>93</v>
      </c>
      <c r="F47" s="59" t="s">
        <v>94</v>
      </c>
      <c r="G47" s="41" t="s">
        <v>28</v>
      </c>
      <c r="H47" s="41" t="s">
        <v>28</v>
      </c>
      <c r="I47" s="41" t="s">
        <v>28</v>
      </c>
      <c r="J47" s="71" t="s">
        <v>585</v>
      </c>
      <c r="K47" s="71" t="s">
        <v>585</v>
      </c>
      <c r="L47" s="71" t="s">
        <v>585</v>
      </c>
      <c r="M47" s="59" t="s">
        <v>583</v>
      </c>
      <c r="N47" s="59" t="s">
        <v>584</v>
      </c>
      <c r="O47" s="72" t="s">
        <v>546</v>
      </c>
      <c r="P47" s="41" t="s">
        <v>545</v>
      </c>
      <c r="Q47" s="41" t="s">
        <v>24</v>
      </c>
    </row>
    <row r="48" spans="1:17">
      <c r="A48" s="59" t="s">
        <v>588</v>
      </c>
    </row>
    <row r="49" spans="1:17">
      <c r="A49" s="159">
        <v>11606</v>
      </c>
      <c r="B49" s="71" t="s">
        <v>367</v>
      </c>
      <c r="C49" s="71" t="s">
        <v>342</v>
      </c>
      <c r="D49" s="41" t="s">
        <v>23</v>
      </c>
      <c r="E49" s="59" t="s">
        <v>93</v>
      </c>
      <c r="F49" s="59" t="s">
        <v>94</v>
      </c>
      <c r="G49" s="41" t="s">
        <v>28</v>
      </c>
      <c r="H49" s="41" t="s">
        <v>28</v>
      </c>
      <c r="I49" s="41" t="s">
        <v>28</v>
      </c>
      <c r="J49" s="71" t="s">
        <v>586</v>
      </c>
      <c r="K49" s="71" t="s">
        <v>586</v>
      </c>
      <c r="L49" s="71" t="s">
        <v>586</v>
      </c>
      <c r="M49" s="59" t="s">
        <v>583</v>
      </c>
      <c r="N49" s="59" t="s">
        <v>584</v>
      </c>
      <c r="O49" s="72" t="s">
        <v>546</v>
      </c>
      <c r="P49" s="41" t="s">
        <v>545</v>
      </c>
      <c r="Q49" s="41" t="s">
        <v>24</v>
      </c>
    </row>
    <row r="50" spans="1:17">
      <c r="A50" s="59" t="s">
        <v>589</v>
      </c>
    </row>
    <row r="51" spans="1:17">
      <c r="A51" s="159">
        <v>11607</v>
      </c>
      <c r="B51" s="71" t="s">
        <v>367</v>
      </c>
      <c r="C51" s="71" t="s">
        <v>342</v>
      </c>
      <c r="D51" s="41" t="s">
        <v>23</v>
      </c>
      <c r="E51" s="59" t="s">
        <v>93</v>
      </c>
      <c r="F51" s="59" t="s">
        <v>94</v>
      </c>
      <c r="G51" s="41" t="s">
        <v>28</v>
      </c>
      <c r="H51" s="41" t="s">
        <v>28</v>
      </c>
      <c r="I51" s="41" t="s">
        <v>28</v>
      </c>
      <c r="J51" s="71" t="s">
        <v>591</v>
      </c>
      <c r="K51" s="71" t="s">
        <v>591</v>
      </c>
      <c r="L51" s="71" t="s">
        <v>591</v>
      </c>
      <c r="M51" s="59" t="s">
        <v>583</v>
      </c>
      <c r="N51" s="59" t="s">
        <v>584</v>
      </c>
      <c r="O51" s="72" t="s">
        <v>546</v>
      </c>
      <c r="P51" s="41" t="s">
        <v>545</v>
      </c>
      <c r="Q51" s="41" t="s">
        <v>24</v>
      </c>
    </row>
    <row r="52" spans="1:17">
      <c r="A52" s="59" t="s">
        <v>590</v>
      </c>
    </row>
    <row r="53" spans="1:17">
      <c r="A53" s="159">
        <v>11608</v>
      </c>
      <c r="B53" s="71" t="s">
        <v>367</v>
      </c>
      <c r="C53" s="71" t="s">
        <v>342</v>
      </c>
      <c r="D53" s="41" t="s">
        <v>23</v>
      </c>
      <c r="E53" s="59" t="s">
        <v>93</v>
      </c>
      <c r="F53" s="59" t="s">
        <v>94</v>
      </c>
      <c r="G53" s="41" t="s">
        <v>28</v>
      </c>
      <c r="H53" s="41" t="s">
        <v>28</v>
      </c>
      <c r="I53" s="41" t="s">
        <v>28</v>
      </c>
      <c r="J53" s="71" t="s">
        <v>592</v>
      </c>
      <c r="K53" s="71" t="s">
        <v>592</v>
      </c>
      <c r="L53" s="71" t="s">
        <v>592</v>
      </c>
      <c r="M53" s="59" t="s">
        <v>583</v>
      </c>
      <c r="N53" s="59" t="s">
        <v>584</v>
      </c>
      <c r="O53" s="72" t="s">
        <v>546</v>
      </c>
      <c r="P53" s="41" t="s">
        <v>545</v>
      </c>
      <c r="Q53" s="41" t="s">
        <v>24</v>
      </c>
    </row>
    <row r="54" spans="1:17" s="73" customFormat="1">
      <c r="A54" s="157">
        <v>13609</v>
      </c>
      <c r="B54" s="71" t="s">
        <v>54</v>
      </c>
      <c r="C54" s="71" t="s">
        <v>470</v>
      </c>
      <c r="D54" s="21" t="s">
        <v>108</v>
      </c>
      <c r="E54" s="59" t="s">
        <v>25</v>
      </c>
      <c r="F54" s="59" t="s">
        <v>25</v>
      </c>
      <c r="G54" s="41" t="s">
        <v>28</v>
      </c>
      <c r="H54" s="41" t="s">
        <v>25</v>
      </c>
      <c r="I54" s="41" t="s">
        <v>25</v>
      </c>
      <c r="J54" s="71" t="s">
        <v>600</v>
      </c>
      <c r="K54" s="71" t="s">
        <v>25</v>
      </c>
      <c r="L54" s="71" t="s">
        <v>25</v>
      </c>
      <c r="M54" s="59" t="s">
        <v>583</v>
      </c>
      <c r="N54" s="59" t="s">
        <v>584</v>
      </c>
      <c r="O54" s="72" t="s">
        <v>546</v>
      </c>
      <c r="P54" s="41" t="s">
        <v>545</v>
      </c>
      <c r="Q54" s="41" t="s">
        <v>24</v>
      </c>
    </row>
    <row r="55" spans="1:17" s="73" customFormat="1">
      <c r="A55" s="45" t="s">
        <v>610</v>
      </c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</row>
    <row r="56" spans="1:17" s="73" customFormat="1">
      <c r="A56" s="157">
        <v>31609</v>
      </c>
      <c r="B56" s="71" t="s">
        <v>504</v>
      </c>
      <c r="C56" s="71" t="s">
        <v>571</v>
      </c>
      <c r="D56" s="41" t="s">
        <v>23</v>
      </c>
      <c r="E56" s="59" t="s">
        <v>93</v>
      </c>
      <c r="F56" s="59" t="s">
        <v>94</v>
      </c>
      <c r="G56" s="41" t="s">
        <v>28</v>
      </c>
      <c r="H56" s="41" t="s">
        <v>28</v>
      </c>
      <c r="I56" s="41" t="s">
        <v>28</v>
      </c>
      <c r="J56" s="71" t="s">
        <v>606</v>
      </c>
      <c r="K56" s="71" t="s">
        <v>606</v>
      </c>
      <c r="L56" s="71" t="s">
        <v>606</v>
      </c>
      <c r="M56" s="59" t="s">
        <v>607</v>
      </c>
      <c r="N56" s="59" t="s">
        <v>612</v>
      </c>
      <c r="O56" s="72" t="s">
        <v>0</v>
      </c>
      <c r="P56" s="41" t="s">
        <v>482</v>
      </c>
      <c r="Q56" s="41" t="s">
        <v>24</v>
      </c>
    </row>
    <row r="57" spans="1:17" s="73" customFormat="1">
      <c r="A57" s="45" t="s">
        <v>611</v>
      </c>
      <c r="B57" s="71"/>
      <c r="C57" s="71"/>
      <c r="D57" s="41"/>
      <c r="E57" s="59"/>
      <c r="F57" s="59"/>
      <c r="G57" s="41"/>
      <c r="H57" s="41"/>
      <c r="I57" s="41"/>
      <c r="J57" s="71"/>
      <c r="K57" s="71"/>
      <c r="L57" s="71"/>
      <c r="M57" s="59"/>
      <c r="N57" s="59"/>
      <c r="O57" s="72"/>
      <c r="P57" s="41"/>
      <c r="Q57" s="41"/>
    </row>
    <row r="58" spans="1:17" s="73" customFormat="1">
      <c r="A58" s="157">
        <v>33609</v>
      </c>
      <c r="B58" s="71" t="s">
        <v>504</v>
      </c>
      <c r="C58" s="71" t="s">
        <v>571</v>
      </c>
      <c r="D58" s="21" t="s">
        <v>108</v>
      </c>
      <c r="E58" s="59" t="s">
        <v>25</v>
      </c>
      <c r="F58" s="59" t="s">
        <v>25</v>
      </c>
      <c r="G58" s="41" t="s">
        <v>28</v>
      </c>
      <c r="H58" s="41" t="s">
        <v>25</v>
      </c>
      <c r="I58" s="41" t="s">
        <v>25</v>
      </c>
      <c r="J58" s="71" t="s">
        <v>609</v>
      </c>
      <c r="K58" s="71" t="s">
        <v>25</v>
      </c>
      <c r="L58" s="71" t="s">
        <v>25</v>
      </c>
      <c r="M58" s="59" t="s">
        <v>608</v>
      </c>
      <c r="N58" s="59" t="s">
        <v>613</v>
      </c>
      <c r="O58" s="72" t="s">
        <v>0</v>
      </c>
      <c r="P58" s="41" t="s">
        <v>482</v>
      </c>
      <c r="Q58" s="41" t="s">
        <v>24</v>
      </c>
    </row>
    <row r="59" spans="1:17" s="73" customFormat="1">
      <c r="A59" s="45" t="s">
        <v>614</v>
      </c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</row>
    <row r="60" spans="1:17" s="73" customFormat="1">
      <c r="A60" s="158">
        <v>31610</v>
      </c>
      <c r="B60" s="71" t="s">
        <v>477</v>
      </c>
      <c r="C60" s="71" t="s">
        <v>572</v>
      </c>
      <c r="D60" s="41" t="s">
        <v>23</v>
      </c>
      <c r="E60" s="59" t="s">
        <v>93</v>
      </c>
      <c r="F60" s="59" t="s">
        <v>94</v>
      </c>
      <c r="G60" s="41" t="s">
        <v>28</v>
      </c>
      <c r="H60" s="41" t="s">
        <v>28</v>
      </c>
      <c r="I60" s="41" t="s">
        <v>28</v>
      </c>
      <c r="J60" s="71" t="s">
        <v>616</v>
      </c>
      <c r="K60" s="71" t="s">
        <v>616</v>
      </c>
      <c r="L60" s="71" t="s">
        <v>616</v>
      </c>
      <c r="M60" s="59" t="s">
        <v>607</v>
      </c>
      <c r="N60" s="59" t="s">
        <v>612</v>
      </c>
      <c r="O60" s="72" t="s">
        <v>0</v>
      </c>
      <c r="P60" s="41" t="s">
        <v>482</v>
      </c>
      <c r="Q60" s="41" t="s">
        <v>24</v>
      </c>
    </row>
    <row r="61" spans="1:17">
      <c r="A61" s="153">
        <v>99100</v>
      </c>
      <c r="B61" s="71" t="s">
        <v>367</v>
      </c>
      <c r="C61" s="71" t="s">
        <v>367</v>
      </c>
      <c r="D61" s="41" t="s">
        <v>23</v>
      </c>
      <c r="E61" s="59" t="s">
        <v>93</v>
      </c>
      <c r="F61" s="59" t="s">
        <v>94</v>
      </c>
      <c r="G61" s="41" t="s">
        <v>28</v>
      </c>
      <c r="H61" s="41" t="s">
        <v>28</v>
      </c>
      <c r="I61" s="41" t="s">
        <v>28</v>
      </c>
      <c r="J61" s="59" t="s">
        <v>204</v>
      </c>
      <c r="K61" s="59" t="s">
        <v>204</v>
      </c>
      <c r="L61" s="59" t="s">
        <v>204</v>
      </c>
      <c r="M61" s="41" t="s">
        <v>22</v>
      </c>
      <c r="N61" s="41" t="s">
        <v>32</v>
      </c>
      <c r="O61" s="41" t="s">
        <v>19</v>
      </c>
      <c r="P61" s="41">
        <v>1825</v>
      </c>
      <c r="Q61" s="41" t="s">
        <v>24</v>
      </c>
    </row>
    <row r="62" spans="1:17">
      <c r="A62" s="45" t="s">
        <v>599</v>
      </c>
    </row>
    <row r="63" spans="1:17">
      <c r="A63" s="157">
        <v>11609</v>
      </c>
      <c r="B63" s="71" t="s">
        <v>54</v>
      </c>
      <c r="C63" s="71" t="s">
        <v>470</v>
      </c>
      <c r="D63" s="41" t="s">
        <v>23</v>
      </c>
      <c r="E63" s="59" t="s">
        <v>93</v>
      </c>
      <c r="F63" s="59" t="s">
        <v>94</v>
      </c>
      <c r="G63" s="41" t="s">
        <v>28</v>
      </c>
      <c r="H63" s="41" t="s">
        <v>28</v>
      </c>
      <c r="I63" s="41" t="s">
        <v>28</v>
      </c>
      <c r="J63" s="71" t="s">
        <v>600</v>
      </c>
      <c r="K63" s="71" t="s">
        <v>600</v>
      </c>
      <c r="L63" s="71" t="s">
        <v>600</v>
      </c>
      <c r="M63" s="59" t="s">
        <v>583</v>
      </c>
      <c r="N63" s="59" t="s">
        <v>584</v>
      </c>
      <c r="O63" s="72" t="s">
        <v>546</v>
      </c>
      <c r="P63" s="41" t="s">
        <v>545</v>
      </c>
      <c r="Q63" s="41" t="s">
        <v>24</v>
      </c>
    </row>
    <row r="64" spans="1:17">
      <c r="A64" s="38" t="s">
        <v>471</v>
      </c>
      <c r="D64" s="41"/>
      <c r="G64" s="41"/>
      <c r="H64" s="41"/>
      <c r="I64" s="41"/>
      <c r="M64" s="41"/>
      <c r="N64" s="41"/>
      <c r="O64" s="41"/>
      <c r="P64" s="41"/>
      <c r="Q64" s="41"/>
    </row>
    <row r="65" spans="1:17">
      <c r="A65" s="38" t="s">
        <v>472</v>
      </c>
      <c r="D65" s="41"/>
      <c r="G65" s="41"/>
      <c r="H65" s="41"/>
      <c r="I65" s="41"/>
      <c r="M65" s="41"/>
      <c r="N65" s="41"/>
      <c r="O65" s="41"/>
      <c r="P65" s="41"/>
      <c r="Q65" s="41"/>
    </row>
    <row r="66" spans="1:17">
      <c r="A66" s="61" t="s">
        <v>631</v>
      </c>
      <c r="D66" s="41"/>
      <c r="G66" s="41"/>
      <c r="H66" s="41"/>
      <c r="I66" s="41"/>
      <c r="M66" s="41"/>
      <c r="N66" s="41"/>
      <c r="O66" s="41"/>
      <c r="P66" s="41"/>
      <c r="Q66" s="41"/>
    </row>
    <row r="67" spans="1:17">
      <c r="A67" s="154">
        <v>79101</v>
      </c>
      <c r="B67" s="59" t="s">
        <v>367</v>
      </c>
      <c r="C67" s="59" t="s">
        <v>470</v>
      </c>
      <c r="D67" s="59" t="s">
        <v>23</v>
      </c>
      <c r="E67" s="59" t="s">
        <v>93</v>
      </c>
      <c r="F67" s="59" t="s">
        <v>94</v>
      </c>
      <c r="G67" s="41" t="s">
        <v>28</v>
      </c>
      <c r="H67" s="41" t="s">
        <v>28</v>
      </c>
      <c r="I67" s="41" t="s">
        <v>28</v>
      </c>
      <c r="J67" s="59" t="s">
        <v>473</v>
      </c>
      <c r="K67" s="59" t="s">
        <v>473</v>
      </c>
      <c r="L67" s="59" t="s">
        <v>473</v>
      </c>
      <c r="M67" s="41" t="s">
        <v>528</v>
      </c>
      <c r="N67" s="41" t="s">
        <v>529</v>
      </c>
      <c r="O67" s="41" t="s">
        <v>19</v>
      </c>
      <c r="P67" s="41" t="s">
        <v>80</v>
      </c>
      <c r="Q67" s="41" t="s">
        <v>24</v>
      </c>
    </row>
    <row r="68" spans="1:17" s="73" customFormat="1">
      <c r="A68" s="45" t="s">
        <v>632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</row>
    <row r="69" spans="1:17" s="73" customFormat="1">
      <c r="A69" s="158">
        <v>21609</v>
      </c>
      <c r="B69" s="71" t="s">
        <v>367</v>
      </c>
      <c r="C69" s="71" t="s">
        <v>572</v>
      </c>
      <c r="D69" s="41" t="s">
        <v>23</v>
      </c>
      <c r="E69" s="59" t="s">
        <v>93</v>
      </c>
      <c r="F69" s="59" t="s">
        <v>94</v>
      </c>
      <c r="G69" s="41" t="s">
        <v>28</v>
      </c>
      <c r="H69" s="41" t="s">
        <v>28</v>
      </c>
      <c r="I69" s="41" t="s">
        <v>28</v>
      </c>
      <c r="J69" s="71" t="s">
        <v>615</v>
      </c>
      <c r="K69" s="71" t="s">
        <v>615</v>
      </c>
      <c r="L69" s="71" t="s">
        <v>615</v>
      </c>
      <c r="M69" s="59" t="s">
        <v>617</v>
      </c>
      <c r="N69" s="59" t="s">
        <v>618</v>
      </c>
      <c r="O69" s="72" t="s">
        <v>546</v>
      </c>
      <c r="P69" s="41" t="s">
        <v>80</v>
      </c>
      <c r="Q69" s="41" t="s">
        <v>24</v>
      </c>
    </row>
    <row r="70" spans="1:17" s="73" customFormat="1">
      <c r="A70" s="71" t="s">
        <v>648</v>
      </c>
      <c r="B70" s="71"/>
      <c r="C70" s="71"/>
      <c r="D70" s="41"/>
      <c r="E70" s="59"/>
      <c r="F70" s="59"/>
      <c r="G70" s="41"/>
      <c r="H70" s="41"/>
      <c r="I70" s="41"/>
      <c r="J70" s="71"/>
      <c r="K70" s="71"/>
      <c r="L70" s="71"/>
      <c r="M70" s="59"/>
      <c r="N70" s="59"/>
      <c r="O70" s="72"/>
      <c r="P70" s="41"/>
      <c r="Q70" s="41"/>
    </row>
    <row r="71" spans="1:17" s="73" customFormat="1">
      <c r="A71" s="153">
        <v>89100</v>
      </c>
      <c r="B71" s="71" t="s">
        <v>640</v>
      </c>
      <c r="C71" s="71" t="s">
        <v>367</v>
      </c>
      <c r="D71" s="41" t="s">
        <v>633</v>
      </c>
      <c r="E71" s="59" t="s">
        <v>25</v>
      </c>
      <c r="F71" s="59" t="s">
        <v>25</v>
      </c>
      <c r="G71" s="41" t="s">
        <v>635</v>
      </c>
      <c r="H71" s="41" t="s">
        <v>25</v>
      </c>
      <c r="I71" s="41" t="s">
        <v>25</v>
      </c>
      <c r="J71" s="59" t="s">
        <v>639</v>
      </c>
      <c r="K71" s="59" t="s">
        <v>25</v>
      </c>
      <c r="L71" s="59" t="s">
        <v>25</v>
      </c>
      <c r="M71" s="41" t="s">
        <v>637</v>
      </c>
      <c r="N71" s="41" t="s">
        <v>636</v>
      </c>
      <c r="O71" s="41" t="s">
        <v>19</v>
      </c>
      <c r="P71" s="41">
        <v>1825</v>
      </c>
      <c r="Q71" s="41" t="s">
        <v>24</v>
      </c>
    </row>
    <row r="72" spans="1:17" s="73" customFormat="1">
      <c r="A72" s="71" t="s">
        <v>647</v>
      </c>
      <c r="B72" s="71"/>
      <c r="C72" s="71"/>
      <c r="D72" s="41"/>
      <c r="E72" s="59"/>
      <c r="F72" s="59"/>
      <c r="G72" s="41"/>
      <c r="H72" s="41"/>
      <c r="I72" s="41"/>
      <c r="J72" s="59"/>
      <c r="K72" s="59"/>
      <c r="L72" s="59"/>
      <c r="M72" s="41"/>
      <c r="N72" s="41"/>
      <c r="O72" s="41"/>
      <c r="P72" s="41"/>
      <c r="Q72" s="41"/>
    </row>
    <row r="73" spans="1:17" s="73" customFormat="1">
      <c r="A73" s="153">
        <v>89101</v>
      </c>
      <c r="B73" s="71" t="s">
        <v>367</v>
      </c>
      <c r="C73" s="71" t="s">
        <v>644</v>
      </c>
      <c r="D73" s="41" t="s">
        <v>633</v>
      </c>
      <c r="E73" s="59" t="s">
        <v>25</v>
      </c>
      <c r="F73" s="59" t="s">
        <v>25</v>
      </c>
      <c r="G73" s="41" t="s">
        <v>635</v>
      </c>
      <c r="H73" s="41" t="s">
        <v>25</v>
      </c>
      <c r="I73" s="41" t="s">
        <v>25</v>
      </c>
      <c r="J73" s="59" t="s">
        <v>641</v>
      </c>
      <c r="K73" s="59" t="s">
        <v>25</v>
      </c>
      <c r="L73" s="59" t="s">
        <v>25</v>
      </c>
      <c r="M73" s="41" t="s">
        <v>642</v>
      </c>
      <c r="N73" s="41" t="s">
        <v>643</v>
      </c>
      <c r="O73" s="41" t="s">
        <v>19</v>
      </c>
      <c r="P73" s="41">
        <v>1825</v>
      </c>
      <c r="Q73" s="41" t="s">
        <v>646</v>
      </c>
    </row>
    <row r="74" spans="1:17" s="73" customFormat="1">
      <c r="A74" s="71" t="s">
        <v>649</v>
      </c>
      <c r="B74" s="71"/>
      <c r="C74" s="71"/>
      <c r="D74" s="41"/>
      <c r="E74" s="59"/>
      <c r="F74" s="59"/>
      <c r="G74" s="41"/>
      <c r="H74" s="41"/>
      <c r="I74" s="41"/>
      <c r="J74" s="59"/>
      <c r="K74" s="59"/>
      <c r="L74" s="59"/>
      <c r="M74" s="41"/>
      <c r="N74" s="41"/>
      <c r="O74" s="41"/>
      <c r="P74" s="41"/>
      <c r="Q74" s="41"/>
    </row>
    <row r="75" spans="1:17" s="73" customFormat="1">
      <c r="A75" s="153">
        <v>99101</v>
      </c>
      <c r="B75" s="71" t="s">
        <v>367</v>
      </c>
      <c r="C75" s="71" t="s">
        <v>644</v>
      </c>
      <c r="D75" s="41" t="s">
        <v>23</v>
      </c>
      <c r="E75" s="59" t="s">
        <v>93</v>
      </c>
      <c r="F75" s="59" t="s">
        <v>94</v>
      </c>
      <c r="G75" s="41" t="s">
        <v>28</v>
      </c>
      <c r="H75" s="41" t="s">
        <v>28</v>
      </c>
      <c r="I75" s="41" t="s">
        <v>28</v>
      </c>
      <c r="J75" s="59" t="s">
        <v>645</v>
      </c>
      <c r="K75" s="59" t="s">
        <v>645</v>
      </c>
      <c r="L75" s="59" t="s">
        <v>645</v>
      </c>
      <c r="M75" s="59" t="s">
        <v>583</v>
      </c>
      <c r="N75" s="59" t="s">
        <v>584</v>
      </c>
      <c r="O75" s="41" t="s">
        <v>19</v>
      </c>
      <c r="P75" s="41">
        <v>1825</v>
      </c>
      <c r="Q75" s="41" t="s">
        <v>646</v>
      </c>
    </row>
    <row r="76" spans="1:17" s="73" customFormat="1">
      <c r="A76" s="74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</row>
    <row r="77" spans="1:17" s="73" customFormat="1">
      <c r="A77" s="74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</row>
    <row r="78" spans="1:17" s="73" customFormat="1">
      <c r="A78" s="74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</row>
    <row r="79" spans="1:17" s="73" customFormat="1">
      <c r="A79" s="74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</row>
    <row r="80" spans="1:17" s="73" customFormat="1">
      <c r="A80" s="74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</row>
    <row r="81" spans="1:17" s="73" customFormat="1">
      <c r="A81" s="74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</row>
    <row r="82" spans="1:17" s="73" customFormat="1">
      <c r="A82" s="74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</row>
    <row r="83" spans="1:17" s="73" customFormat="1">
      <c r="A83" s="74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</row>
    <row r="84" spans="1:17" s="73" customFormat="1">
      <c r="A84" s="74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</row>
    <row r="85" spans="1:17" s="73" customFormat="1">
      <c r="A85" s="74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</row>
    <row r="86" spans="1:17" s="73" customFormat="1">
      <c r="A86" s="56" t="s">
        <v>332</v>
      </c>
      <c r="B86" s="71"/>
      <c r="C86" s="71"/>
      <c r="D86" s="41"/>
      <c r="E86" s="59"/>
      <c r="F86" s="59"/>
      <c r="G86" s="41"/>
      <c r="H86" s="41"/>
      <c r="I86" s="41"/>
      <c r="J86" s="71"/>
      <c r="K86" s="71"/>
      <c r="L86" s="71"/>
      <c r="M86" s="59"/>
      <c r="N86" s="59"/>
      <c r="O86" s="72"/>
      <c r="P86" s="41"/>
      <c r="Q86" s="41"/>
    </row>
    <row r="87" spans="1:17" s="73" customFormat="1">
      <c r="A87" s="74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</row>
    <row r="88" spans="1:17" s="73" customFormat="1">
      <c r="A88" s="78" t="s">
        <v>556</v>
      </c>
      <c r="B88" s="71" t="s">
        <v>367</v>
      </c>
      <c r="C88" s="71" t="s">
        <v>367</v>
      </c>
      <c r="D88" s="41" t="s">
        <v>76</v>
      </c>
      <c r="E88" s="59" t="s">
        <v>93</v>
      </c>
      <c r="F88" s="59" t="s">
        <v>94</v>
      </c>
      <c r="G88" s="41" t="s">
        <v>28</v>
      </c>
      <c r="H88" s="41" t="s">
        <v>28</v>
      </c>
      <c r="I88" s="41" t="s">
        <v>28</v>
      </c>
      <c r="J88" s="71" t="s">
        <v>550</v>
      </c>
      <c r="K88" s="71" t="s">
        <v>550</v>
      </c>
      <c r="L88" s="71" t="s">
        <v>550</v>
      </c>
      <c r="M88" s="77" t="s">
        <v>544</v>
      </c>
      <c r="N88" s="77" t="s">
        <v>544</v>
      </c>
      <c r="O88" s="72" t="s">
        <v>546</v>
      </c>
      <c r="P88" s="41" t="s">
        <v>545</v>
      </c>
      <c r="Q88" s="41" t="s">
        <v>24</v>
      </c>
    </row>
    <row r="90" spans="1:17">
      <c r="A90" s="62" t="s">
        <v>512</v>
      </c>
      <c r="D90" s="41"/>
      <c r="G90" s="41"/>
      <c r="H90" s="41"/>
      <c r="I90" s="41"/>
      <c r="J90" s="40"/>
      <c r="K90" s="40"/>
      <c r="L90" s="40"/>
      <c r="M90" s="41"/>
      <c r="N90" s="41"/>
      <c r="O90" s="38"/>
      <c r="P90" s="41"/>
      <c r="Q90" s="41"/>
    </row>
    <row r="92" spans="1:17">
      <c r="A92" s="62" t="s">
        <v>510</v>
      </c>
    </row>
    <row r="94" spans="1:17">
      <c r="A94" s="62" t="s">
        <v>511</v>
      </c>
    </row>
    <row r="95" spans="1:17">
      <c r="D95" s="21"/>
      <c r="E95" s="41"/>
      <c r="F95" s="41"/>
      <c r="G95" s="41"/>
      <c r="H95" s="41"/>
      <c r="I95" s="41"/>
      <c r="K95" s="41"/>
      <c r="L95" s="41"/>
      <c r="M95" s="41"/>
      <c r="N95" s="41"/>
      <c r="O95" s="41"/>
      <c r="P95" s="41"/>
      <c r="Q95" s="41"/>
    </row>
    <row r="96" spans="1:17">
      <c r="A96" s="62" t="s">
        <v>513</v>
      </c>
    </row>
    <row r="98" spans="1:17">
      <c r="A98" s="45" t="s">
        <v>514</v>
      </c>
    </row>
    <row r="100" spans="1:17">
      <c r="A100" s="45" t="s">
        <v>515</v>
      </c>
    </row>
    <row r="102" spans="1:17">
      <c r="A102" s="26" t="s">
        <v>490</v>
      </c>
      <c r="B102" s="59" t="s">
        <v>367</v>
      </c>
      <c r="C102" s="59" t="s">
        <v>367</v>
      </c>
      <c r="D102" s="41" t="s">
        <v>484</v>
      </c>
      <c r="E102" s="59" t="s">
        <v>93</v>
      </c>
      <c r="F102" s="59" t="s">
        <v>94</v>
      </c>
      <c r="G102" s="41" t="s">
        <v>28</v>
      </c>
      <c r="H102" s="41" t="s">
        <v>28</v>
      </c>
      <c r="I102" s="41" t="s">
        <v>28</v>
      </c>
      <c r="J102" s="59" t="s">
        <v>473</v>
      </c>
      <c r="K102" s="59" t="s">
        <v>473</v>
      </c>
      <c r="L102" s="59" t="s">
        <v>473</v>
      </c>
      <c r="M102" s="41" t="s">
        <v>372</v>
      </c>
      <c r="N102" s="41" t="s">
        <v>467</v>
      </c>
      <c r="O102" s="14" t="s">
        <v>0</v>
      </c>
      <c r="P102" s="41" t="s">
        <v>80</v>
      </c>
      <c r="Q102" s="41" t="s">
        <v>24</v>
      </c>
    </row>
    <row r="103" spans="1:17">
      <c r="A103" s="38" t="s">
        <v>483</v>
      </c>
      <c r="D103" s="41"/>
      <c r="G103" s="41"/>
      <c r="H103" s="41"/>
      <c r="I103" s="41"/>
      <c r="M103" s="41"/>
      <c r="N103" s="41"/>
      <c r="O103" s="14"/>
      <c r="P103" s="41"/>
      <c r="Q103" s="41"/>
    </row>
    <row r="104" spans="1:17">
      <c r="A104" s="26" t="s">
        <v>491</v>
      </c>
      <c r="B104" s="59" t="s">
        <v>477</v>
      </c>
      <c r="C104" s="59" t="s">
        <v>477</v>
      </c>
      <c r="D104" s="41" t="s">
        <v>484</v>
      </c>
      <c r="E104" s="59" t="s">
        <v>93</v>
      </c>
      <c r="F104" s="59" t="s">
        <v>94</v>
      </c>
      <c r="G104" s="41" t="s">
        <v>28</v>
      </c>
      <c r="H104" s="41" t="s">
        <v>28</v>
      </c>
      <c r="I104" s="41" t="s">
        <v>28</v>
      </c>
      <c r="J104" s="59" t="s">
        <v>501</v>
      </c>
      <c r="K104" s="59" t="s">
        <v>501</v>
      </c>
      <c r="L104" s="59" t="s">
        <v>501</v>
      </c>
      <c r="M104" s="41" t="s">
        <v>480</v>
      </c>
      <c r="N104" s="41" t="s">
        <v>481</v>
      </c>
      <c r="O104" s="14" t="s">
        <v>0</v>
      </c>
      <c r="P104" s="41" t="s">
        <v>482</v>
      </c>
      <c r="Q104" s="41" t="s">
        <v>24</v>
      </c>
    </row>
    <row r="105" spans="1:17">
      <c r="A105" s="45" t="s">
        <v>496</v>
      </c>
    </row>
    <row r="106" spans="1:17">
      <c r="A106" s="26" t="s">
        <v>494</v>
      </c>
      <c r="B106" s="59" t="s">
        <v>367</v>
      </c>
      <c r="C106" s="59" t="s">
        <v>367</v>
      </c>
      <c r="D106" s="59" t="s">
        <v>23</v>
      </c>
      <c r="E106" s="59" t="s">
        <v>93</v>
      </c>
      <c r="F106" s="59" t="s">
        <v>94</v>
      </c>
      <c r="G106" s="41" t="s">
        <v>28</v>
      </c>
      <c r="H106" s="41" t="s">
        <v>28</v>
      </c>
      <c r="I106" s="41" t="s">
        <v>28</v>
      </c>
      <c r="J106" s="59" t="s">
        <v>369</v>
      </c>
      <c r="K106" s="59" t="s">
        <v>370</v>
      </c>
      <c r="L106" s="59" t="s">
        <v>371</v>
      </c>
      <c r="M106" s="41" t="s">
        <v>372</v>
      </c>
      <c r="N106" s="41" t="s">
        <v>467</v>
      </c>
      <c r="O106" s="14" t="s">
        <v>0</v>
      </c>
      <c r="P106" s="41" t="s">
        <v>80</v>
      </c>
      <c r="Q106" s="41" t="s">
        <v>24</v>
      </c>
    </row>
    <row r="107" spans="1:17">
      <c r="A107" s="26" t="s">
        <v>495</v>
      </c>
      <c r="B107" s="59" t="s">
        <v>367</v>
      </c>
      <c r="C107" s="59" t="s">
        <v>367</v>
      </c>
      <c r="D107" s="41" t="s">
        <v>484</v>
      </c>
      <c r="E107" s="59" t="s">
        <v>93</v>
      </c>
      <c r="F107" s="59" t="s">
        <v>94</v>
      </c>
      <c r="G107" s="41" t="s">
        <v>28</v>
      </c>
      <c r="H107" s="41" t="s">
        <v>28</v>
      </c>
      <c r="I107" s="41" t="s">
        <v>28</v>
      </c>
      <c r="J107" s="59" t="s">
        <v>369</v>
      </c>
      <c r="K107" s="59" t="s">
        <v>370</v>
      </c>
      <c r="L107" s="59" t="s">
        <v>371</v>
      </c>
      <c r="M107" s="41" t="s">
        <v>492</v>
      </c>
      <c r="N107" s="41" t="s">
        <v>467</v>
      </c>
      <c r="O107" s="14" t="s">
        <v>0</v>
      </c>
      <c r="P107" s="41" t="s">
        <v>80</v>
      </c>
      <c r="Q107" s="41" t="s">
        <v>24</v>
      </c>
    </row>
    <row r="108" spans="1:17">
      <c r="A108" s="26" t="s">
        <v>507</v>
      </c>
      <c r="D108" s="41"/>
      <c r="G108" s="41"/>
      <c r="H108" s="41"/>
      <c r="I108" s="41"/>
      <c r="M108" s="41"/>
      <c r="N108" s="41"/>
      <c r="O108" s="41"/>
      <c r="P108" s="41"/>
      <c r="Q108" s="41"/>
    </row>
    <row r="109" spans="1:17">
      <c r="A109" s="26" t="s">
        <v>505</v>
      </c>
      <c r="B109" s="41" t="s">
        <v>489</v>
      </c>
      <c r="C109" s="41" t="s">
        <v>470</v>
      </c>
      <c r="D109" s="41" t="s">
        <v>485</v>
      </c>
      <c r="E109" s="41" t="s">
        <v>25</v>
      </c>
      <c r="F109" s="41" t="s">
        <v>25</v>
      </c>
      <c r="G109" s="41" t="s">
        <v>487</v>
      </c>
      <c r="H109" s="41" t="s">
        <v>25</v>
      </c>
      <c r="I109" s="41" t="s">
        <v>25</v>
      </c>
      <c r="J109" s="41" t="s">
        <v>204</v>
      </c>
      <c r="K109" s="41" t="s">
        <v>25</v>
      </c>
      <c r="L109" s="41" t="s">
        <v>25</v>
      </c>
      <c r="M109" s="41" t="s">
        <v>22</v>
      </c>
      <c r="N109" s="41" t="s">
        <v>32</v>
      </c>
      <c r="O109" s="41" t="s">
        <v>19</v>
      </c>
      <c r="P109" s="41">
        <v>1825</v>
      </c>
      <c r="Q109" s="41" t="s">
        <v>24</v>
      </c>
    </row>
    <row r="110" spans="1:17">
      <c r="A110" s="26" t="s">
        <v>506</v>
      </c>
      <c r="E110" s="41"/>
      <c r="F110" s="41"/>
      <c r="G110" s="41"/>
      <c r="H110" s="41"/>
      <c r="I110" s="41"/>
      <c r="K110" s="41"/>
      <c r="L110" s="41"/>
      <c r="M110" s="41"/>
      <c r="N110" s="41"/>
      <c r="O110" s="41"/>
      <c r="P110" s="41"/>
      <c r="Q110" s="41"/>
    </row>
    <row r="111" spans="1:17">
      <c r="A111" s="26">
        <v>99104</v>
      </c>
      <c r="B111" s="59" t="s">
        <v>499</v>
      </c>
      <c r="C111" s="59" t="s">
        <v>499</v>
      </c>
      <c r="D111" s="59" t="s">
        <v>486</v>
      </c>
      <c r="E111" s="41" t="s">
        <v>25</v>
      </c>
      <c r="F111" s="41" t="s">
        <v>25</v>
      </c>
      <c r="G111" s="41" t="s">
        <v>28</v>
      </c>
      <c r="H111" s="41" t="s">
        <v>25</v>
      </c>
      <c r="I111" s="41" t="s">
        <v>25</v>
      </c>
      <c r="J111" s="59" t="s">
        <v>204</v>
      </c>
      <c r="K111" s="41" t="s">
        <v>25</v>
      </c>
      <c r="L111" s="41" t="s">
        <v>25</v>
      </c>
      <c r="M111" s="41" t="s">
        <v>22</v>
      </c>
      <c r="N111" s="41" t="s">
        <v>32</v>
      </c>
      <c r="O111" s="41" t="s">
        <v>19</v>
      </c>
      <c r="P111" s="41">
        <v>1825</v>
      </c>
      <c r="Q111" s="41" t="s">
        <v>24</v>
      </c>
    </row>
    <row r="133" spans="1:17">
      <c r="A133" s="45" t="s">
        <v>223</v>
      </c>
      <c r="G133" s="42"/>
      <c r="H133" s="42"/>
      <c r="I133" s="42"/>
      <c r="J133" s="41"/>
      <c r="K133" s="41"/>
      <c r="L133" s="41"/>
      <c r="M133" s="41"/>
      <c r="N133" s="41"/>
      <c r="O133" s="41"/>
      <c r="P133" s="41"/>
      <c r="Q133" s="41"/>
    </row>
    <row r="134" spans="1:17">
      <c r="A134" s="45" t="s">
        <v>224</v>
      </c>
      <c r="B134" s="59" t="s">
        <v>54</v>
      </c>
      <c r="C134" s="59" t="s">
        <v>40</v>
      </c>
      <c r="D134" s="59" t="s">
        <v>216</v>
      </c>
      <c r="E134" s="59" t="s">
        <v>93</v>
      </c>
      <c r="F134" s="59" t="s">
        <v>94</v>
      </c>
      <c r="G134" s="41" t="s">
        <v>28</v>
      </c>
      <c r="H134" s="41" t="s">
        <v>28</v>
      </c>
      <c r="I134" s="41" t="s">
        <v>28</v>
      </c>
      <c r="J134" s="41" t="s">
        <v>68</v>
      </c>
      <c r="K134" s="41" t="s">
        <v>68</v>
      </c>
      <c r="L134" s="41" t="s">
        <v>68</v>
      </c>
      <c r="M134" s="41" t="s">
        <v>22</v>
      </c>
      <c r="N134" s="41" t="s">
        <v>32</v>
      </c>
      <c r="O134" s="41" t="s">
        <v>19</v>
      </c>
      <c r="P134" s="41">
        <v>1825</v>
      </c>
      <c r="Q134" s="41" t="s">
        <v>24</v>
      </c>
    </row>
    <row r="135" spans="1:17">
      <c r="A135" s="45" t="s">
        <v>224</v>
      </c>
      <c r="B135" s="59" t="s">
        <v>54</v>
      </c>
      <c r="C135" s="59" t="s">
        <v>40</v>
      </c>
      <c r="D135" s="59" t="s">
        <v>217</v>
      </c>
      <c r="E135" s="59" t="s">
        <v>93</v>
      </c>
      <c r="F135" s="59" t="s">
        <v>94</v>
      </c>
      <c r="G135" s="41" t="s">
        <v>27</v>
      </c>
      <c r="H135" s="41" t="s">
        <v>27</v>
      </c>
      <c r="I135" s="41" t="s">
        <v>27</v>
      </c>
      <c r="J135" s="41" t="s">
        <v>68</v>
      </c>
      <c r="K135" s="41" t="s">
        <v>68</v>
      </c>
      <c r="L135" s="41" t="s">
        <v>68</v>
      </c>
      <c r="M135" s="41" t="s">
        <v>22</v>
      </c>
      <c r="N135" s="41" t="s">
        <v>32</v>
      </c>
      <c r="O135" s="41" t="s">
        <v>19</v>
      </c>
      <c r="P135" s="41">
        <v>1825</v>
      </c>
      <c r="Q135" s="41" t="s">
        <v>24</v>
      </c>
    </row>
    <row r="136" spans="1:17">
      <c r="A136" s="45" t="s">
        <v>224</v>
      </c>
      <c r="B136" s="59" t="s">
        <v>54</v>
      </c>
      <c r="C136" s="59" t="s">
        <v>40</v>
      </c>
      <c r="D136" s="59" t="s">
        <v>23</v>
      </c>
      <c r="E136" s="59" t="s">
        <v>93</v>
      </c>
      <c r="F136" s="59" t="s">
        <v>94</v>
      </c>
      <c r="G136" s="42" t="s">
        <v>206</v>
      </c>
      <c r="H136" s="42" t="s">
        <v>206</v>
      </c>
      <c r="I136" s="42" t="s">
        <v>206</v>
      </c>
      <c r="J136" s="41" t="s">
        <v>68</v>
      </c>
      <c r="K136" s="41" t="s">
        <v>68</v>
      </c>
      <c r="L136" s="41" t="s">
        <v>68</v>
      </c>
      <c r="M136" s="41" t="s">
        <v>22</v>
      </c>
      <c r="N136" s="41" t="s">
        <v>32</v>
      </c>
      <c r="O136" s="41" t="s">
        <v>19</v>
      </c>
      <c r="P136" s="41">
        <v>1825</v>
      </c>
      <c r="Q136" s="41" t="s">
        <v>24</v>
      </c>
    </row>
    <row r="137" spans="1:17">
      <c r="A137" s="45" t="s">
        <v>224</v>
      </c>
      <c r="B137" s="59" t="s">
        <v>54</v>
      </c>
      <c r="C137" s="59" t="s">
        <v>40</v>
      </c>
      <c r="D137" s="59" t="s">
        <v>23</v>
      </c>
      <c r="E137" s="59" t="s">
        <v>93</v>
      </c>
      <c r="F137" s="59" t="s">
        <v>94</v>
      </c>
      <c r="G137" s="41" t="s">
        <v>28</v>
      </c>
      <c r="H137" s="41" t="s">
        <v>28</v>
      </c>
      <c r="I137" s="41" t="s">
        <v>28</v>
      </c>
      <c r="J137" s="41" t="s">
        <v>222</v>
      </c>
      <c r="K137" s="41" t="s">
        <v>222</v>
      </c>
      <c r="L137" s="41" t="s">
        <v>222</v>
      </c>
      <c r="M137" s="41" t="s">
        <v>22</v>
      </c>
      <c r="N137" s="41" t="s">
        <v>32</v>
      </c>
      <c r="O137" s="41" t="s">
        <v>19</v>
      </c>
      <c r="P137" s="41">
        <v>1825</v>
      </c>
      <c r="Q137" s="41" t="s">
        <v>24</v>
      </c>
    </row>
    <row r="138" spans="1:17">
      <c r="A138" s="45" t="s">
        <v>224</v>
      </c>
      <c r="B138" s="59" t="s">
        <v>54</v>
      </c>
      <c r="C138" s="59" t="s">
        <v>40</v>
      </c>
      <c r="D138" s="59" t="s">
        <v>23</v>
      </c>
      <c r="E138" s="59" t="s">
        <v>93</v>
      </c>
      <c r="F138" s="59" t="s">
        <v>94</v>
      </c>
      <c r="G138" s="41" t="s">
        <v>27</v>
      </c>
      <c r="H138" s="41" t="s">
        <v>27</v>
      </c>
      <c r="I138" s="41" t="s">
        <v>27</v>
      </c>
      <c r="J138" s="41" t="s">
        <v>222</v>
      </c>
      <c r="K138" s="41" t="s">
        <v>222</v>
      </c>
      <c r="L138" s="41" t="s">
        <v>222</v>
      </c>
      <c r="M138" s="41" t="s">
        <v>22</v>
      </c>
      <c r="N138" s="41" t="s">
        <v>32</v>
      </c>
      <c r="O138" s="41" t="s">
        <v>19</v>
      </c>
      <c r="P138" s="41">
        <v>1825</v>
      </c>
      <c r="Q138" s="41" t="s">
        <v>24</v>
      </c>
    </row>
    <row r="139" spans="1:17">
      <c r="A139" s="45" t="s">
        <v>224</v>
      </c>
      <c r="B139" s="59" t="s">
        <v>54</v>
      </c>
      <c r="C139" s="59" t="s">
        <v>40</v>
      </c>
      <c r="D139" s="59" t="s">
        <v>23</v>
      </c>
      <c r="E139" s="59" t="s">
        <v>93</v>
      </c>
      <c r="F139" s="59" t="s">
        <v>94</v>
      </c>
      <c r="G139" s="42" t="s">
        <v>206</v>
      </c>
      <c r="H139" s="42" t="s">
        <v>206</v>
      </c>
      <c r="I139" s="42" t="s">
        <v>206</v>
      </c>
      <c r="J139" s="41" t="s">
        <v>222</v>
      </c>
      <c r="K139" s="41" t="s">
        <v>222</v>
      </c>
      <c r="L139" s="41" t="s">
        <v>222</v>
      </c>
      <c r="M139" s="41" t="s">
        <v>22</v>
      </c>
      <c r="N139" s="41" t="s">
        <v>32</v>
      </c>
      <c r="O139" s="41" t="s">
        <v>19</v>
      </c>
      <c r="P139" s="41">
        <v>1825</v>
      </c>
      <c r="Q139" s="41" t="s">
        <v>24</v>
      </c>
    </row>
    <row r="140" spans="1:17">
      <c r="A140" s="5">
        <v>99063</v>
      </c>
      <c r="B140" s="59" t="s">
        <v>54</v>
      </c>
      <c r="C140" s="59" t="s">
        <v>40</v>
      </c>
      <c r="D140" s="41" t="s">
        <v>23</v>
      </c>
      <c r="E140" s="59" t="s">
        <v>96</v>
      </c>
      <c r="F140" s="59" t="s">
        <v>191</v>
      </c>
      <c r="G140" s="41" t="s">
        <v>28</v>
      </c>
      <c r="H140" s="41" t="s">
        <v>28</v>
      </c>
      <c r="I140" s="41" t="s">
        <v>28</v>
      </c>
      <c r="J140" s="59" t="s">
        <v>188</v>
      </c>
      <c r="K140" s="59" t="s">
        <v>188</v>
      </c>
      <c r="L140" s="59" t="s">
        <v>188</v>
      </c>
      <c r="M140" s="41" t="s">
        <v>22</v>
      </c>
      <c r="N140" s="41" t="s">
        <v>32</v>
      </c>
      <c r="O140" s="41" t="s">
        <v>19</v>
      </c>
      <c r="P140" s="41">
        <v>1825</v>
      </c>
      <c r="Q140" s="41" t="s">
        <v>24</v>
      </c>
    </row>
    <row r="141" spans="1:17">
      <c r="A141" s="31" t="s">
        <v>172</v>
      </c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41"/>
      <c r="Q141" s="41"/>
    </row>
    <row r="142" spans="1:17">
      <c r="A142" s="34">
        <v>99061</v>
      </c>
      <c r="B142" s="32" t="s">
        <v>54</v>
      </c>
      <c r="C142" s="32" t="s">
        <v>40</v>
      </c>
      <c r="D142" s="32" t="s">
        <v>138</v>
      </c>
      <c r="E142" s="32" t="s">
        <v>149</v>
      </c>
      <c r="F142" s="32" t="s">
        <v>148</v>
      </c>
      <c r="G142" s="32" t="s">
        <v>28</v>
      </c>
      <c r="H142" s="32" t="s">
        <v>28</v>
      </c>
      <c r="I142" s="32" t="s">
        <v>28</v>
      </c>
      <c r="J142" s="32" t="s">
        <v>133</v>
      </c>
      <c r="K142" s="32" t="s">
        <v>133</v>
      </c>
      <c r="L142" s="32" t="s">
        <v>133</v>
      </c>
      <c r="M142" s="32" t="s">
        <v>22</v>
      </c>
      <c r="N142" s="32" t="s">
        <v>32</v>
      </c>
      <c r="O142" s="32" t="s">
        <v>19</v>
      </c>
      <c r="P142" s="41">
        <v>1825</v>
      </c>
      <c r="Q142" s="41" t="s">
        <v>24</v>
      </c>
    </row>
    <row r="143" spans="1:17">
      <c r="A143" s="34">
        <v>99062</v>
      </c>
      <c r="B143" s="32" t="s">
        <v>54</v>
      </c>
      <c r="C143" s="32" t="s">
        <v>40</v>
      </c>
      <c r="D143" s="32" t="s">
        <v>138</v>
      </c>
      <c r="E143" s="32" t="s">
        <v>149</v>
      </c>
      <c r="F143" s="32" t="s">
        <v>152</v>
      </c>
      <c r="G143" s="32" t="s">
        <v>28</v>
      </c>
      <c r="H143" s="32" t="s">
        <v>28</v>
      </c>
      <c r="I143" s="32" t="s">
        <v>28</v>
      </c>
      <c r="J143" s="32" t="s">
        <v>133</v>
      </c>
      <c r="K143" s="32" t="s">
        <v>133</v>
      </c>
      <c r="L143" s="32" t="s">
        <v>133</v>
      </c>
      <c r="M143" s="32" t="s">
        <v>22</v>
      </c>
      <c r="N143" s="32" t="s">
        <v>32</v>
      </c>
      <c r="O143" s="32" t="s">
        <v>19</v>
      </c>
      <c r="P143" s="41">
        <v>1825</v>
      </c>
      <c r="Q143" s="41" t="s">
        <v>24</v>
      </c>
    </row>
    <row r="144" spans="1:17">
      <c r="A144" s="34">
        <v>99063</v>
      </c>
      <c r="B144" s="32" t="s">
        <v>54</v>
      </c>
      <c r="C144" s="32" t="s">
        <v>40</v>
      </c>
      <c r="D144" s="32" t="s">
        <v>138</v>
      </c>
      <c r="E144" s="32" t="s">
        <v>149</v>
      </c>
      <c r="F144" s="32" t="s">
        <v>158</v>
      </c>
      <c r="G144" s="32" t="s">
        <v>28</v>
      </c>
      <c r="H144" s="32" t="s">
        <v>28</v>
      </c>
      <c r="I144" s="32" t="s">
        <v>28</v>
      </c>
      <c r="J144" s="32" t="s">
        <v>133</v>
      </c>
      <c r="K144" s="32" t="s">
        <v>133</v>
      </c>
      <c r="L144" s="32" t="s">
        <v>133</v>
      </c>
      <c r="M144" s="32" t="s">
        <v>22</v>
      </c>
      <c r="N144" s="32" t="s">
        <v>32</v>
      </c>
      <c r="O144" s="32" t="s">
        <v>19</v>
      </c>
      <c r="P144" s="41">
        <v>1825</v>
      </c>
      <c r="Q144" s="41" t="s">
        <v>24</v>
      </c>
    </row>
    <row r="145" spans="1:17">
      <c r="A145" s="34">
        <v>99064</v>
      </c>
      <c r="B145" s="32" t="s">
        <v>54</v>
      </c>
      <c r="C145" s="32" t="s">
        <v>40</v>
      </c>
      <c r="D145" s="32" t="s">
        <v>138</v>
      </c>
      <c r="E145" s="32" t="s">
        <v>149</v>
      </c>
      <c r="F145" s="32" t="s">
        <v>159</v>
      </c>
      <c r="G145" s="32" t="s">
        <v>28</v>
      </c>
      <c r="H145" s="32" t="s">
        <v>28</v>
      </c>
      <c r="I145" s="32" t="s">
        <v>28</v>
      </c>
      <c r="J145" s="32" t="s">
        <v>133</v>
      </c>
      <c r="K145" s="32" t="s">
        <v>133</v>
      </c>
      <c r="L145" s="32" t="s">
        <v>133</v>
      </c>
      <c r="M145" s="32" t="s">
        <v>22</v>
      </c>
      <c r="N145" s="32" t="s">
        <v>32</v>
      </c>
      <c r="O145" s="32" t="s">
        <v>19</v>
      </c>
      <c r="P145" s="41">
        <v>1825</v>
      </c>
      <c r="Q145" s="41" t="s">
        <v>24</v>
      </c>
    </row>
    <row r="146" spans="1:17">
      <c r="A146" s="34">
        <v>99061</v>
      </c>
      <c r="B146" s="32" t="s">
        <v>54</v>
      </c>
      <c r="C146" s="32" t="s">
        <v>40</v>
      </c>
      <c r="D146" s="32" t="s">
        <v>138</v>
      </c>
      <c r="E146" s="32" t="s">
        <v>149</v>
      </c>
      <c r="F146" s="32" t="s">
        <v>148</v>
      </c>
      <c r="G146" s="32" t="s">
        <v>28</v>
      </c>
      <c r="H146" s="32" t="s">
        <v>28</v>
      </c>
      <c r="I146" s="32" t="s">
        <v>28</v>
      </c>
      <c r="J146" s="32" t="s">
        <v>133</v>
      </c>
      <c r="K146" s="32" t="s">
        <v>133</v>
      </c>
      <c r="L146" s="32" t="s">
        <v>133</v>
      </c>
      <c r="M146" s="32" t="s">
        <v>22</v>
      </c>
      <c r="N146" s="32" t="s">
        <v>32</v>
      </c>
      <c r="O146" s="32" t="s">
        <v>19</v>
      </c>
      <c r="P146" s="41">
        <v>1825</v>
      </c>
      <c r="Q146" s="41" t="s">
        <v>24</v>
      </c>
    </row>
    <row r="147" spans="1:17">
      <c r="A147" s="34">
        <v>99062</v>
      </c>
      <c r="B147" s="32" t="s">
        <v>54</v>
      </c>
      <c r="C147" s="32" t="s">
        <v>40</v>
      </c>
      <c r="D147" s="32" t="s">
        <v>138</v>
      </c>
      <c r="E147" s="32" t="s">
        <v>149</v>
      </c>
      <c r="F147" s="32" t="s">
        <v>152</v>
      </c>
      <c r="G147" s="32" t="s">
        <v>28</v>
      </c>
      <c r="H147" s="32" t="s">
        <v>28</v>
      </c>
      <c r="I147" s="32" t="s">
        <v>28</v>
      </c>
      <c r="J147" s="32" t="s">
        <v>133</v>
      </c>
      <c r="K147" s="32" t="s">
        <v>133</v>
      </c>
      <c r="L147" s="32" t="s">
        <v>133</v>
      </c>
      <c r="M147" s="32" t="s">
        <v>22</v>
      </c>
      <c r="N147" s="32" t="s">
        <v>32</v>
      </c>
      <c r="O147" s="32" t="s">
        <v>19</v>
      </c>
      <c r="P147" s="41">
        <v>1825</v>
      </c>
      <c r="Q147" s="41" t="s">
        <v>24</v>
      </c>
    </row>
    <row r="148" spans="1:17">
      <c r="A148" s="34">
        <v>99063</v>
      </c>
      <c r="B148" s="32" t="s">
        <v>54</v>
      </c>
      <c r="C148" s="32" t="s">
        <v>40</v>
      </c>
      <c r="D148" s="32" t="s">
        <v>138</v>
      </c>
      <c r="E148" s="32" t="s">
        <v>149</v>
      </c>
      <c r="F148" s="32" t="s">
        <v>158</v>
      </c>
      <c r="G148" s="32" t="s">
        <v>28</v>
      </c>
      <c r="H148" s="32" t="s">
        <v>28</v>
      </c>
      <c r="I148" s="32" t="s">
        <v>28</v>
      </c>
      <c r="J148" s="32" t="s">
        <v>133</v>
      </c>
      <c r="K148" s="32" t="s">
        <v>133</v>
      </c>
      <c r="L148" s="32" t="s">
        <v>133</v>
      </c>
      <c r="M148" s="32" t="s">
        <v>22</v>
      </c>
      <c r="N148" s="32" t="s">
        <v>32</v>
      </c>
      <c r="O148" s="32" t="s">
        <v>19</v>
      </c>
      <c r="P148" s="41">
        <v>1825</v>
      </c>
      <c r="Q148" s="41" t="s">
        <v>24</v>
      </c>
    </row>
    <row r="149" spans="1:17">
      <c r="A149" s="34">
        <v>99064</v>
      </c>
      <c r="B149" s="32" t="s">
        <v>54</v>
      </c>
      <c r="C149" s="32" t="s">
        <v>40</v>
      </c>
      <c r="D149" s="32" t="s">
        <v>138</v>
      </c>
      <c r="E149" s="32" t="s">
        <v>149</v>
      </c>
      <c r="F149" s="32" t="s">
        <v>159</v>
      </c>
      <c r="G149" s="32" t="s">
        <v>28</v>
      </c>
      <c r="H149" s="32" t="s">
        <v>28</v>
      </c>
      <c r="I149" s="32" t="s">
        <v>28</v>
      </c>
      <c r="J149" s="32" t="s">
        <v>133</v>
      </c>
      <c r="K149" s="32" t="s">
        <v>133</v>
      </c>
      <c r="L149" s="32" t="s">
        <v>133</v>
      </c>
      <c r="M149" s="32" t="s">
        <v>22</v>
      </c>
      <c r="N149" s="32" t="s">
        <v>32</v>
      </c>
      <c r="O149" s="32" t="s">
        <v>19</v>
      </c>
      <c r="P149" s="41">
        <v>1825</v>
      </c>
      <c r="Q149" s="41" t="s">
        <v>24</v>
      </c>
    </row>
    <row r="150" spans="1:17">
      <c r="A150" s="31" t="s">
        <v>175</v>
      </c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41"/>
      <c r="Q150" s="41"/>
    </row>
    <row r="151" spans="1:17">
      <c r="A151" s="31">
        <v>99060</v>
      </c>
      <c r="B151" s="32" t="s">
        <v>54</v>
      </c>
      <c r="C151" s="32" t="s">
        <v>40</v>
      </c>
      <c r="D151" s="32" t="s">
        <v>138</v>
      </c>
      <c r="E151" s="32" t="s">
        <v>93</v>
      </c>
      <c r="F151" s="32" t="s">
        <v>94</v>
      </c>
      <c r="G151" s="32" t="s">
        <v>28</v>
      </c>
      <c r="H151" s="32" t="s">
        <v>28</v>
      </c>
      <c r="I151" s="32" t="s">
        <v>28</v>
      </c>
      <c r="J151" s="32" t="s">
        <v>133</v>
      </c>
      <c r="K151" s="32" t="s">
        <v>133</v>
      </c>
      <c r="L151" s="32" t="s">
        <v>133</v>
      </c>
      <c r="M151" s="35" t="s">
        <v>173</v>
      </c>
      <c r="N151" s="32" t="s">
        <v>32</v>
      </c>
      <c r="O151" s="32" t="s">
        <v>19</v>
      </c>
      <c r="P151" s="41">
        <v>1825</v>
      </c>
      <c r="Q151" s="41" t="s">
        <v>24</v>
      </c>
    </row>
    <row r="152" spans="1:17">
      <c r="A152" s="31" t="s">
        <v>176</v>
      </c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41"/>
      <c r="Q152" s="41"/>
    </row>
    <row r="153" spans="1:17">
      <c r="A153" s="31">
        <v>99061</v>
      </c>
      <c r="B153" s="32" t="s">
        <v>54</v>
      </c>
      <c r="C153" s="32" t="s">
        <v>40</v>
      </c>
      <c r="D153" s="32" t="s">
        <v>23</v>
      </c>
      <c r="E153" s="32" t="s">
        <v>150</v>
      </c>
      <c r="F153" s="32" t="s">
        <v>151</v>
      </c>
      <c r="G153" s="32" t="s">
        <v>28</v>
      </c>
      <c r="H153" s="32" t="s">
        <v>28</v>
      </c>
      <c r="I153" s="32" t="s">
        <v>28</v>
      </c>
      <c r="J153" s="32" t="s">
        <v>133</v>
      </c>
      <c r="K153" s="32" t="s">
        <v>133</v>
      </c>
      <c r="L153" s="32" t="s">
        <v>133</v>
      </c>
      <c r="M153" s="35" t="s">
        <v>160</v>
      </c>
      <c r="N153" s="32" t="s">
        <v>32</v>
      </c>
      <c r="O153" s="32" t="s">
        <v>19</v>
      </c>
      <c r="P153" s="41">
        <v>1825</v>
      </c>
      <c r="Q153" s="41" t="s">
        <v>24</v>
      </c>
    </row>
    <row r="154" spans="1:17">
      <c r="A154" s="31" t="s">
        <v>170</v>
      </c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41"/>
      <c r="Q154" s="41"/>
    </row>
    <row r="155" spans="1:17">
      <c r="A155" s="31">
        <v>99062</v>
      </c>
      <c r="B155" s="32" t="s">
        <v>54</v>
      </c>
      <c r="C155" s="32" t="s">
        <v>40</v>
      </c>
      <c r="D155" s="32" t="s">
        <v>179</v>
      </c>
      <c r="E155" s="32" t="s">
        <v>162</v>
      </c>
      <c r="F155" s="32" t="s">
        <v>163</v>
      </c>
      <c r="G155" s="32" t="s">
        <v>28</v>
      </c>
      <c r="H155" s="32" t="s">
        <v>28</v>
      </c>
      <c r="I155" s="32" t="s">
        <v>28</v>
      </c>
      <c r="J155" s="32" t="s">
        <v>133</v>
      </c>
      <c r="K155" s="32" t="s">
        <v>133</v>
      </c>
      <c r="L155" s="32" t="s">
        <v>133</v>
      </c>
      <c r="M155" s="35" t="s">
        <v>160</v>
      </c>
      <c r="N155" s="32" t="s">
        <v>32</v>
      </c>
      <c r="O155" s="32" t="s">
        <v>19</v>
      </c>
      <c r="P155" s="41">
        <v>1825</v>
      </c>
      <c r="Q155" s="41" t="s">
        <v>24</v>
      </c>
    </row>
    <row r="156" spans="1:17">
      <c r="A156" s="31" t="s">
        <v>169</v>
      </c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</row>
    <row r="157" spans="1:17" ht="13.5" customHeight="1">
      <c r="A157" s="31">
        <v>99070</v>
      </c>
      <c r="B157" s="32" t="s">
        <v>54</v>
      </c>
      <c r="C157" s="32" t="s">
        <v>40</v>
      </c>
      <c r="D157" s="32" t="s">
        <v>161</v>
      </c>
      <c r="E157" s="32" t="s">
        <v>164</v>
      </c>
      <c r="F157" s="32" t="s">
        <v>153</v>
      </c>
      <c r="G157" s="32" t="s">
        <v>28</v>
      </c>
      <c r="H157" s="32" t="s">
        <v>28</v>
      </c>
      <c r="I157" s="32" t="s">
        <v>28</v>
      </c>
      <c r="J157" s="32" t="s">
        <v>133</v>
      </c>
      <c r="K157" s="32" t="s">
        <v>133</v>
      </c>
      <c r="L157" s="32" t="s">
        <v>133</v>
      </c>
      <c r="M157" s="35" t="s">
        <v>160</v>
      </c>
      <c r="N157" s="32" t="s">
        <v>32</v>
      </c>
      <c r="O157" s="32" t="s">
        <v>19</v>
      </c>
      <c r="P157" s="41">
        <v>1825</v>
      </c>
      <c r="Q157" s="41" t="s">
        <v>24</v>
      </c>
    </row>
    <row r="158" spans="1:17">
      <c r="A158" s="31">
        <v>99071</v>
      </c>
      <c r="B158" s="32" t="s">
        <v>54</v>
      </c>
      <c r="C158" s="32" t="s">
        <v>40</v>
      </c>
      <c r="D158" s="32" t="s">
        <v>161</v>
      </c>
      <c r="E158" s="32" t="s">
        <v>167</v>
      </c>
      <c r="F158" s="32" t="s">
        <v>154</v>
      </c>
      <c r="G158" s="32" t="s">
        <v>28</v>
      </c>
      <c r="H158" s="32" t="s">
        <v>28</v>
      </c>
      <c r="I158" s="32" t="s">
        <v>28</v>
      </c>
      <c r="J158" s="32" t="s">
        <v>133</v>
      </c>
      <c r="K158" s="32" t="s">
        <v>133</v>
      </c>
      <c r="L158" s="32" t="s">
        <v>133</v>
      </c>
      <c r="M158" s="35" t="s">
        <v>160</v>
      </c>
      <c r="N158" s="32" t="s">
        <v>32</v>
      </c>
      <c r="O158" s="32" t="s">
        <v>19</v>
      </c>
      <c r="P158" s="41">
        <v>1825</v>
      </c>
      <c r="Q158" s="41" t="s">
        <v>24</v>
      </c>
    </row>
    <row r="159" spans="1:17">
      <c r="A159" s="31">
        <v>99072</v>
      </c>
      <c r="B159" s="32" t="s">
        <v>54</v>
      </c>
      <c r="C159" s="32" t="s">
        <v>40</v>
      </c>
      <c r="D159" s="32" t="s">
        <v>161</v>
      </c>
      <c r="E159" s="32" t="s">
        <v>155</v>
      </c>
      <c r="F159" s="32" t="s">
        <v>156</v>
      </c>
      <c r="G159" s="32" t="s">
        <v>28</v>
      </c>
      <c r="H159" s="32" t="s">
        <v>28</v>
      </c>
      <c r="I159" s="32" t="s">
        <v>28</v>
      </c>
      <c r="J159" s="32" t="s">
        <v>133</v>
      </c>
      <c r="K159" s="32" t="s">
        <v>133</v>
      </c>
      <c r="L159" s="32" t="s">
        <v>133</v>
      </c>
      <c r="M159" s="35" t="s">
        <v>160</v>
      </c>
      <c r="N159" s="32" t="s">
        <v>32</v>
      </c>
      <c r="O159" s="32" t="s">
        <v>19</v>
      </c>
      <c r="P159" s="41">
        <v>1825</v>
      </c>
      <c r="Q159" s="41" t="s">
        <v>24</v>
      </c>
    </row>
    <row r="160" spans="1:17">
      <c r="A160" s="31">
        <v>99073</v>
      </c>
      <c r="B160" s="32" t="s">
        <v>54</v>
      </c>
      <c r="C160" s="32" t="s">
        <v>40</v>
      </c>
      <c r="D160" s="32" t="s">
        <v>161</v>
      </c>
      <c r="E160" s="32" t="s">
        <v>168</v>
      </c>
      <c r="F160" s="32" t="s">
        <v>157</v>
      </c>
      <c r="G160" s="32" t="s">
        <v>28</v>
      </c>
      <c r="H160" s="32" t="s">
        <v>28</v>
      </c>
      <c r="I160" s="32" t="s">
        <v>28</v>
      </c>
      <c r="J160" s="32" t="s">
        <v>133</v>
      </c>
      <c r="K160" s="32" t="s">
        <v>133</v>
      </c>
      <c r="L160" s="32" t="s">
        <v>133</v>
      </c>
      <c r="M160" s="35" t="s">
        <v>160</v>
      </c>
      <c r="N160" s="32" t="s">
        <v>32</v>
      </c>
      <c r="O160" s="32" t="s">
        <v>19</v>
      </c>
      <c r="P160" s="41">
        <v>1825</v>
      </c>
      <c r="Q160" s="41" t="s">
        <v>24</v>
      </c>
    </row>
    <row r="161" spans="1:17">
      <c r="A161" s="31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</row>
    <row r="162" spans="1:17">
      <c r="A162" s="31">
        <v>99066</v>
      </c>
      <c r="B162" s="32" t="s">
        <v>54</v>
      </c>
      <c r="C162" s="32" t="s">
        <v>40</v>
      </c>
      <c r="D162" s="32" t="s">
        <v>161</v>
      </c>
      <c r="E162" s="32" t="s">
        <v>164</v>
      </c>
      <c r="F162" s="32" t="s">
        <v>153</v>
      </c>
      <c r="G162" s="32" t="s">
        <v>28</v>
      </c>
      <c r="H162" s="32" t="s">
        <v>28</v>
      </c>
      <c r="I162" s="32" t="s">
        <v>28</v>
      </c>
      <c r="J162" s="32" t="s">
        <v>133</v>
      </c>
      <c r="K162" s="32" t="s">
        <v>133</v>
      </c>
      <c r="L162" s="32" t="s">
        <v>133</v>
      </c>
      <c r="M162" s="32" t="s">
        <v>22</v>
      </c>
      <c r="N162" s="32" t="s">
        <v>32</v>
      </c>
      <c r="O162" s="32" t="s">
        <v>19</v>
      </c>
      <c r="P162" s="41">
        <v>1825</v>
      </c>
      <c r="Q162" s="41" t="s">
        <v>24</v>
      </c>
    </row>
    <row r="163" spans="1:17">
      <c r="A163" s="31">
        <v>99067</v>
      </c>
      <c r="B163" s="32" t="s">
        <v>54</v>
      </c>
      <c r="C163" s="32" t="s">
        <v>40</v>
      </c>
      <c r="D163" s="32" t="s">
        <v>161</v>
      </c>
      <c r="E163" s="32" t="s">
        <v>165</v>
      </c>
      <c r="F163" s="32" t="s">
        <v>154</v>
      </c>
      <c r="G163" s="32" t="s">
        <v>28</v>
      </c>
      <c r="H163" s="32" t="s">
        <v>28</v>
      </c>
      <c r="I163" s="32" t="s">
        <v>28</v>
      </c>
      <c r="J163" s="32" t="s">
        <v>133</v>
      </c>
      <c r="K163" s="32" t="s">
        <v>133</v>
      </c>
      <c r="L163" s="32" t="s">
        <v>133</v>
      </c>
      <c r="M163" s="32" t="s">
        <v>22</v>
      </c>
      <c r="N163" s="32" t="s">
        <v>32</v>
      </c>
      <c r="O163" s="32" t="s">
        <v>19</v>
      </c>
      <c r="P163" s="41">
        <v>1825</v>
      </c>
      <c r="Q163" s="41" t="s">
        <v>24</v>
      </c>
    </row>
    <row r="164" spans="1:17">
      <c r="A164" s="31">
        <v>99068</v>
      </c>
      <c r="B164" s="32" t="s">
        <v>54</v>
      </c>
      <c r="C164" s="32" t="s">
        <v>40</v>
      </c>
      <c r="D164" s="32" t="s">
        <v>161</v>
      </c>
      <c r="E164" s="32" t="s">
        <v>155</v>
      </c>
      <c r="F164" s="32" t="s">
        <v>156</v>
      </c>
      <c r="G164" s="32" t="s">
        <v>28</v>
      </c>
      <c r="H164" s="32" t="s">
        <v>28</v>
      </c>
      <c r="I164" s="32" t="s">
        <v>28</v>
      </c>
      <c r="J164" s="32" t="s">
        <v>133</v>
      </c>
      <c r="K164" s="32" t="s">
        <v>133</v>
      </c>
      <c r="L164" s="32" t="s">
        <v>133</v>
      </c>
      <c r="M164" s="32" t="s">
        <v>22</v>
      </c>
      <c r="N164" s="32" t="s">
        <v>32</v>
      </c>
      <c r="O164" s="32" t="s">
        <v>19</v>
      </c>
      <c r="P164" s="41">
        <v>1825</v>
      </c>
      <c r="Q164" s="41" t="s">
        <v>24</v>
      </c>
    </row>
    <row r="165" spans="1:17">
      <c r="A165" s="31">
        <v>99069</v>
      </c>
      <c r="B165" s="32" t="s">
        <v>54</v>
      </c>
      <c r="C165" s="32" t="s">
        <v>40</v>
      </c>
      <c r="D165" s="32" t="s">
        <v>161</v>
      </c>
      <c r="E165" s="32" t="s">
        <v>166</v>
      </c>
      <c r="F165" s="32" t="s">
        <v>157</v>
      </c>
      <c r="G165" s="32" t="s">
        <v>28</v>
      </c>
      <c r="H165" s="32" t="s">
        <v>28</v>
      </c>
      <c r="I165" s="32" t="s">
        <v>28</v>
      </c>
      <c r="J165" s="32" t="s">
        <v>133</v>
      </c>
      <c r="K165" s="32" t="s">
        <v>133</v>
      </c>
      <c r="L165" s="32" t="s">
        <v>133</v>
      </c>
      <c r="M165" s="32" t="s">
        <v>22</v>
      </c>
      <c r="N165" s="32" t="s">
        <v>32</v>
      </c>
      <c r="O165" s="32" t="s">
        <v>19</v>
      </c>
      <c r="P165" s="41">
        <v>1825</v>
      </c>
      <c r="Q165" s="41" t="s">
        <v>24</v>
      </c>
    </row>
    <row r="166" spans="1:17">
      <c r="A166" s="31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</row>
    <row r="167" spans="1:17">
      <c r="A167" s="31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</row>
    <row r="168" spans="1:17">
      <c r="A168" s="31" t="s">
        <v>111</v>
      </c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</row>
    <row r="169" spans="1:17">
      <c r="A169" s="31" t="s">
        <v>120</v>
      </c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</row>
    <row r="170" spans="1:17">
      <c r="A170" s="31">
        <v>80001</v>
      </c>
      <c r="B170" s="32" t="s">
        <v>123</v>
      </c>
      <c r="C170" s="32" t="s">
        <v>40</v>
      </c>
      <c r="D170" s="32" t="s">
        <v>126</v>
      </c>
      <c r="E170" s="32" t="s">
        <v>25</v>
      </c>
      <c r="F170" s="32" t="s">
        <v>25</v>
      </c>
      <c r="G170" s="32" t="s">
        <v>124</v>
      </c>
      <c r="H170" s="32" t="s">
        <v>25</v>
      </c>
      <c r="I170" s="32" t="s">
        <v>25</v>
      </c>
      <c r="J170" s="32" t="s">
        <v>122</v>
      </c>
      <c r="K170" s="32" t="s">
        <v>25</v>
      </c>
      <c r="L170" s="32" t="s">
        <v>25</v>
      </c>
      <c r="M170" s="32" t="s">
        <v>114</v>
      </c>
      <c r="N170" s="32" t="s">
        <v>126</v>
      </c>
      <c r="O170" s="32" t="s">
        <v>19</v>
      </c>
      <c r="P170" s="41">
        <v>1825</v>
      </c>
      <c r="Q170" s="41" t="s">
        <v>24</v>
      </c>
    </row>
    <row r="171" spans="1:17">
      <c r="A171" s="31">
        <v>80012</v>
      </c>
      <c r="B171" s="32" t="s">
        <v>123</v>
      </c>
      <c r="C171" s="32" t="s">
        <v>40</v>
      </c>
      <c r="D171" s="32" t="s">
        <v>127</v>
      </c>
      <c r="E171" s="32" t="s">
        <v>25</v>
      </c>
      <c r="F171" s="32" t="s">
        <v>25</v>
      </c>
      <c r="G171" s="32" t="s">
        <v>124</v>
      </c>
      <c r="H171" s="32" t="s">
        <v>25</v>
      </c>
      <c r="I171" s="32" t="s">
        <v>25</v>
      </c>
      <c r="J171" s="32" t="s">
        <v>122</v>
      </c>
      <c r="K171" s="32" t="s">
        <v>25</v>
      </c>
      <c r="L171" s="32" t="s">
        <v>25</v>
      </c>
      <c r="M171" s="32" t="s">
        <v>114</v>
      </c>
      <c r="N171" s="32" t="s">
        <v>127</v>
      </c>
      <c r="O171" s="32" t="s">
        <v>19</v>
      </c>
      <c r="P171" s="41">
        <v>1825</v>
      </c>
      <c r="Q171" s="41" t="s">
        <v>24</v>
      </c>
    </row>
    <row r="172" spans="1:17">
      <c r="A172" s="31">
        <v>80123</v>
      </c>
      <c r="B172" s="32" t="s">
        <v>123</v>
      </c>
      <c r="C172" s="32" t="s">
        <v>40</v>
      </c>
      <c r="D172" s="32" t="s">
        <v>115</v>
      </c>
      <c r="E172" s="32" t="s">
        <v>25</v>
      </c>
      <c r="F172" s="32" t="s">
        <v>25</v>
      </c>
      <c r="G172" s="32" t="s">
        <v>124</v>
      </c>
      <c r="H172" s="32" t="s">
        <v>25</v>
      </c>
      <c r="I172" s="32" t="s">
        <v>25</v>
      </c>
      <c r="J172" s="32" t="s">
        <v>122</v>
      </c>
      <c r="K172" s="32" t="s">
        <v>25</v>
      </c>
      <c r="L172" s="32" t="s">
        <v>25</v>
      </c>
      <c r="M172" s="32" t="s">
        <v>114</v>
      </c>
      <c r="N172" s="32" t="s">
        <v>115</v>
      </c>
      <c r="O172" s="32" t="s">
        <v>19</v>
      </c>
      <c r="P172" s="41">
        <v>1825</v>
      </c>
      <c r="Q172" s="41" t="s">
        <v>24</v>
      </c>
    </row>
    <row r="173" spans="1:17">
      <c r="A173" s="31" t="s">
        <v>121</v>
      </c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</row>
    <row r="174" spans="1:17">
      <c r="A174" s="31">
        <v>90001</v>
      </c>
      <c r="B174" s="32" t="s">
        <v>123</v>
      </c>
      <c r="C174" s="32" t="s">
        <v>40</v>
      </c>
      <c r="D174" s="32" t="s">
        <v>116</v>
      </c>
      <c r="E174" s="32" t="s">
        <v>25</v>
      </c>
      <c r="F174" s="32" t="s">
        <v>25</v>
      </c>
      <c r="G174" s="32" t="s">
        <v>124</v>
      </c>
      <c r="H174" s="32" t="s">
        <v>25</v>
      </c>
      <c r="I174" s="32" t="s">
        <v>25</v>
      </c>
      <c r="J174" s="32" t="s">
        <v>122</v>
      </c>
      <c r="K174" s="32" t="s">
        <v>25</v>
      </c>
      <c r="L174" s="32" t="s">
        <v>25</v>
      </c>
      <c r="M174" s="32" t="s">
        <v>119</v>
      </c>
      <c r="N174" s="32" t="s">
        <v>126</v>
      </c>
      <c r="O174" s="32" t="s">
        <v>19</v>
      </c>
      <c r="P174" s="41">
        <v>1825</v>
      </c>
      <c r="Q174" s="41" t="s">
        <v>24</v>
      </c>
    </row>
    <row r="175" spans="1:17">
      <c r="A175" s="31">
        <v>90012</v>
      </c>
      <c r="B175" s="32" t="s">
        <v>123</v>
      </c>
      <c r="C175" s="32" t="s">
        <v>40</v>
      </c>
      <c r="D175" s="32" t="s">
        <v>117</v>
      </c>
      <c r="E175" s="32" t="s">
        <v>25</v>
      </c>
      <c r="F175" s="32" t="s">
        <v>25</v>
      </c>
      <c r="G175" s="32" t="s">
        <v>124</v>
      </c>
      <c r="H175" s="32" t="s">
        <v>25</v>
      </c>
      <c r="I175" s="32" t="s">
        <v>25</v>
      </c>
      <c r="J175" s="32" t="s">
        <v>122</v>
      </c>
      <c r="K175" s="32" t="s">
        <v>25</v>
      </c>
      <c r="L175" s="32" t="s">
        <v>25</v>
      </c>
      <c r="M175" s="32" t="s">
        <v>119</v>
      </c>
      <c r="N175" s="32" t="s">
        <v>127</v>
      </c>
      <c r="O175" s="32" t="s">
        <v>19</v>
      </c>
      <c r="P175" s="41">
        <v>1825</v>
      </c>
      <c r="Q175" s="41" t="s">
        <v>24</v>
      </c>
    </row>
    <row r="176" spans="1:17">
      <c r="A176" s="31">
        <v>90123</v>
      </c>
      <c r="B176" s="32" t="s">
        <v>123</v>
      </c>
      <c r="C176" s="32" t="s">
        <v>40</v>
      </c>
      <c r="D176" s="32" t="s">
        <v>118</v>
      </c>
      <c r="E176" s="32" t="s">
        <v>25</v>
      </c>
      <c r="F176" s="32" t="s">
        <v>25</v>
      </c>
      <c r="G176" s="32" t="s">
        <v>124</v>
      </c>
      <c r="H176" s="32" t="s">
        <v>25</v>
      </c>
      <c r="I176" s="32" t="s">
        <v>25</v>
      </c>
      <c r="J176" s="32" t="s">
        <v>122</v>
      </c>
      <c r="K176" s="32" t="s">
        <v>25</v>
      </c>
      <c r="L176" s="32" t="s">
        <v>25</v>
      </c>
      <c r="M176" s="32" t="s">
        <v>119</v>
      </c>
      <c r="N176" s="32" t="s">
        <v>115</v>
      </c>
      <c r="O176" s="32" t="s">
        <v>19</v>
      </c>
      <c r="P176" s="41">
        <v>1825</v>
      </c>
      <c r="Q176" s="41" t="s">
        <v>24</v>
      </c>
    </row>
  </sheetData>
  <autoFilter ref="A1:Q13"/>
  <phoneticPr fontId="25" type="noConversion"/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tabColor rgb="FF92D050"/>
  </sheetPr>
  <dimension ref="A1:V296"/>
  <sheetViews>
    <sheetView zoomScaleNormal="100" workbookViewId="0">
      <pane ySplit="1" topLeftCell="A172" activePane="bottomLeft" state="frozen"/>
      <selection pane="bottomLeft" activeCell="A179" sqref="A179"/>
    </sheetView>
  </sheetViews>
  <sheetFormatPr defaultColWidth="9" defaultRowHeight="17.25"/>
  <cols>
    <col min="1" max="1" width="8.88671875" style="45" customWidth="1"/>
    <col min="2" max="2" width="9.77734375" style="44" customWidth="1"/>
    <col min="3" max="3" width="10" style="44" customWidth="1"/>
    <col min="4" max="4" width="16.109375" style="44" customWidth="1"/>
    <col min="5" max="5" width="17.77734375" style="44" customWidth="1"/>
    <col min="6" max="6" width="18" style="44" customWidth="1"/>
    <col min="7" max="7" width="13.77734375" style="44" customWidth="1"/>
    <col min="8" max="8" width="13" style="44" customWidth="1"/>
    <col min="9" max="9" width="14.88671875" style="44" customWidth="1"/>
    <col min="10" max="10" width="13.33203125" style="44" customWidth="1"/>
    <col min="11" max="12" width="14" style="44" customWidth="1"/>
    <col min="13" max="13" width="14.88671875" style="44" customWidth="1"/>
    <col min="14" max="14" width="9.88671875" style="44" customWidth="1"/>
    <col min="15" max="15" width="5.44140625" style="44" customWidth="1"/>
    <col min="16" max="16" width="9.44140625" style="44" customWidth="1"/>
    <col min="17" max="17" width="2.6640625" style="44" customWidth="1"/>
    <col min="18" max="18" width="1.109375" style="44" customWidth="1"/>
    <col min="19" max="19" width="8" style="44" customWidth="1"/>
    <col min="20" max="20" width="8.77734375" style="44" customWidth="1"/>
    <col min="21" max="21" width="4.6640625" style="42" customWidth="1"/>
    <col min="22" max="16384" width="9" style="42"/>
  </cols>
  <sheetData>
    <row r="1" spans="1:20" s="16" customFormat="1" ht="34.5" customHeight="1">
      <c r="A1" s="4" t="s">
        <v>45</v>
      </c>
      <c r="B1" s="17" t="s">
        <v>2</v>
      </c>
      <c r="C1" s="17" t="s">
        <v>3</v>
      </c>
      <c r="D1" s="17" t="s">
        <v>11</v>
      </c>
      <c r="E1" s="17" t="s">
        <v>14</v>
      </c>
      <c r="F1" s="17" t="s">
        <v>17</v>
      </c>
      <c r="G1" s="17" t="s">
        <v>10</v>
      </c>
      <c r="H1" s="17" t="s">
        <v>13</v>
      </c>
      <c r="I1" s="17" t="s">
        <v>16</v>
      </c>
      <c r="J1" s="17" t="s">
        <v>9</v>
      </c>
      <c r="K1" s="17" t="s">
        <v>12</v>
      </c>
      <c r="L1" s="17" t="s">
        <v>15</v>
      </c>
      <c r="M1" s="17" t="s">
        <v>20</v>
      </c>
      <c r="N1" s="17" t="s">
        <v>21</v>
      </c>
      <c r="O1" s="17" t="s">
        <v>18</v>
      </c>
      <c r="P1" s="17" t="s">
        <v>6</v>
      </c>
      <c r="Q1" s="17" t="s">
        <v>7</v>
      </c>
      <c r="R1" s="17" t="s">
        <v>8</v>
      </c>
      <c r="S1" s="17" t="s">
        <v>4</v>
      </c>
      <c r="T1" s="17" t="s">
        <v>5</v>
      </c>
    </row>
    <row r="2" spans="1:20" hidden="1">
      <c r="A2" s="10" t="s">
        <v>53</v>
      </c>
    </row>
    <row r="3" spans="1:20" hidden="1">
      <c r="A3" s="45" t="s">
        <v>41</v>
      </c>
    </row>
    <row r="4" spans="1:20" hidden="1">
      <c r="A4" s="45" t="s">
        <v>31</v>
      </c>
      <c r="B4" s="44" t="s">
        <v>30</v>
      </c>
      <c r="C4" s="44" t="s">
        <v>40</v>
      </c>
      <c r="D4" s="41" t="s">
        <v>23</v>
      </c>
      <c r="E4" s="41" t="s">
        <v>25</v>
      </c>
      <c r="F4" s="41" t="s">
        <v>25</v>
      </c>
      <c r="G4" s="41" t="s">
        <v>27</v>
      </c>
      <c r="H4" s="41" t="s">
        <v>25</v>
      </c>
      <c r="I4" s="41" t="s">
        <v>25</v>
      </c>
      <c r="J4" s="41" t="s">
        <v>60</v>
      </c>
      <c r="K4" s="41" t="s">
        <v>25</v>
      </c>
      <c r="L4" s="41" t="s">
        <v>25</v>
      </c>
      <c r="M4" s="41" t="s">
        <v>22</v>
      </c>
      <c r="N4" s="41" t="s">
        <v>32</v>
      </c>
      <c r="O4" s="43" t="s">
        <v>33</v>
      </c>
      <c r="P4" s="41" t="s">
        <v>19</v>
      </c>
      <c r="Q4" s="41" t="s">
        <v>0</v>
      </c>
      <c r="R4" s="41" t="s">
        <v>1</v>
      </c>
      <c r="S4" s="41">
        <v>1825</v>
      </c>
      <c r="T4" s="41" t="s">
        <v>24</v>
      </c>
    </row>
    <row r="5" spans="1:20">
      <c r="A5" s="45" t="s">
        <v>34</v>
      </c>
      <c r="B5" s="44" t="s">
        <v>30</v>
      </c>
      <c r="C5" s="44" t="s">
        <v>40</v>
      </c>
      <c r="D5" s="41" t="s">
        <v>23</v>
      </c>
      <c r="E5" s="41" t="s">
        <v>25</v>
      </c>
      <c r="F5" s="41" t="s">
        <v>25</v>
      </c>
      <c r="G5" s="41" t="s">
        <v>28</v>
      </c>
      <c r="H5" s="41" t="s">
        <v>25</v>
      </c>
      <c r="I5" s="41" t="s">
        <v>25</v>
      </c>
      <c r="J5" s="41" t="s">
        <v>60</v>
      </c>
      <c r="K5" s="41" t="s">
        <v>25</v>
      </c>
      <c r="L5" s="41" t="s">
        <v>25</v>
      </c>
      <c r="M5" s="41" t="s">
        <v>22</v>
      </c>
      <c r="N5" s="41" t="s">
        <v>32</v>
      </c>
      <c r="O5" s="43" t="s">
        <v>33</v>
      </c>
      <c r="P5" s="41" t="s">
        <v>19</v>
      </c>
      <c r="Q5" s="41" t="s">
        <v>0</v>
      </c>
      <c r="R5" s="41" t="s">
        <v>1</v>
      </c>
      <c r="S5" s="41">
        <v>1825</v>
      </c>
      <c r="T5" s="41" t="s">
        <v>24</v>
      </c>
    </row>
    <row r="6" spans="1:20" hidden="1">
      <c r="A6" s="45" t="s">
        <v>42</v>
      </c>
    </row>
    <row r="7" spans="1:20" hidden="1">
      <c r="A7" s="45" t="s">
        <v>35</v>
      </c>
      <c r="B7" s="44" t="s">
        <v>30</v>
      </c>
      <c r="C7" s="44" t="s">
        <v>40</v>
      </c>
      <c r="D7" s="41" t="s">
        <v>23</v>
      </c>
      <c r="E7" s="41" t="s">
        <v>25</v>
      </c>
      <c r="F7" s="41" t="s">
        <v>25</v>
      </c>
      <c r="G7" s="41" t="s">
        <v>27</v>
      </c>
      <c r="H7" s="41" t="s">
        <v>25</v>
      </c>
      <c r="I7" s="41" t="s">
        <v>25</v>
      </c>
      <c r="J7" s="41" t="s">
        <v>61</v>
      </c>
      <c r="K7" s="41" t="s">
        <v>25</v>
      </c>
      <c r="L7" s="41" t="s">
        <v>25</v>
      </c>
      <c r="M7" s="41" t="s">
        <v>22</v>
      </c>
      <c r="N7" s="41" t="s">
        <v>32</v>
      </c>
      <c r="O7" s="43" t="s">
        <v>33</v>
      </c>
      <c r="P7" s="41" t="s">
        <v>19</v>
      </c>
      <c r="Q7" s="41" t="s">
        <v>0</v>
      </c>
      <c r="R7" s="41" t="s">
        <v>1</v>
      </c>
      <c r="S7" s="41">
        <v>1825</v>
      </c>
      <c r="T7" s="41" t="s">
        <v>24</v>
      </c>
    </row>
    <row r="8" spans="1:20">
      <c r="A8" s="45" t="s">
        <v>36</v>
      </c>
      <c r="B8" s="44" t="s">
        <v>30</v>
      </c>
      <c r="C8" s="44" t="s">
        <v>40</v>
      </c>
      <c r="D8" s="41" t="s">
        <v>23</v>
      </c>
      <c r="E8" s="41" t="s">
        <v>25</v>
      </c>
      <c r="F8" s="41" t="s">
        <v>25</v>
      </c>
      <c r="G8" s="41" t="s">
        <v>28</v>
      </c>
      <c r="H8" s="41" t="s">
        <v>25</v>
      </c>
      <c r="I8" s="41" t="s">
        <v>25</v>
      </c>
      <c r="J8" s="41" t="s">
        <v>61</v>
      </c>
      <c r="K8" s="41" t="s">
        <v>25</v>
      </c>
      <c r="L8" s="41" t="s">
        <v>25</v>
      </c>
      <c r="M8" s="41" t="s">
        <v>22</v>
      </c>
      <c r="N8" s="41" t="s">
        <v>32</v>
      </c>
      <c r="O8" s="43" t="s">
        <v>33</v>
      </c>
      <c r="P8" s="41" t="s">
        <v>19</v>
      </c>
      <c r="Q8" s="41" t="s">
        <v>0</v>
      </c>
      <c r="R8" s="41" t="s">
        <v>1</v>
      </c>
      <c r="S8" s="41">
        <v>1825</v>
      </c>
      <c r="T8" s="41" t="s">
        <v>24</v>
      </c>
    </row>
    <row r="9" spans="1:20" hidden="1">
      <c r="A9" s="45" t="s">
        <v>43</v>
      </c>
    </row>
    <row r="10" spans="1:20" hidden="1">
      <c r="A10" s="45" t="s">
        <v>37</v>
      </c>
      <c r="B10" s="44" t="s">
        <v>30</v>
      </c>
      <c r="C10" s="44" t="s">
        <v>40</v>
      </c>
      <c r="D10" s="41" t="s">
        <v>23</v>
      </c>
      <c r="E10" s="41" t="s">
        <v>25</v>
      </c>
      <c r="F10" s="41" t="s">
        <v>25</v>
      </c>
      <c r="G10" s="41" t="s">
        <v>27</v>
      </c>
      <c r="H10" s="41" t="s">
        <v>25</v>
      </c>
      <c r="I10" s="41" t="s">
        <v>25</v>
      </c>
      <c r="J10" s="40" t="s">
        <v>63</v>
      </c>
      <c r="K10" s="41" t="s">
        <v>25</v>
      </c>
      <c r="L10" s="41" t="s">
        <v>25</v>
      </c>
      <c r="M10" s="41" t="s">
        <v>22</v>
      </c>
      <c r="N10" s="41" t="s">
        <v>32</v>
      </c>
      <c r="O10" s="43" t="s">
        <v>33</v>
      </c>
      <c r="P10" s="41" t="s">
        <v>19</v>
      </c>
      <c r="Q10" s="41" t="s">
        <v>0</v>
      </c>
      <c r="R10" s="41" t="s">
        <v>1</v>
      </c>
      <c r="S10" s="41">
        <v>1825</v>
      </c>
      <c r="T10" s="41" t="s">
        <v>24</v>
      </c>
    </row>
    <row r="11" spans="1:20">
      <c r="A11" s="45" t="s">
        <v>38</v>
      </c>
      <c r="B11" s="44" t="s">
        <v>30</v>
      </c>
      <c r="C11" s="44" t="s">
        <v>40</v>
      </c>
      <c r="D11" s="41" t="s">
        <v>23</v>
      </c>
      <c r="E11" s="41" t="s">
        <v>25</v>
      </c>
      <c r="F11" s="41" t="s">
        <v>25</v>
      </c>
      <c r="G11" s="41" t="s">
        <v>28</v>
      </c>
      <c r="H11" s="41" t="s">
        <v>25</v>
      </c>
      <c r="I11" s="41" t="s">
        <v>25</v>
      </c>
      <c r="J11" s="44" t="s">
        <v>63</v>
      </c>
      <c r="K11" s="41" t="s">
        <v>25</v>
      </c>
      <c r="L11" s="41" t="s">
        <v>25</v>
      </c>
      <c r="M11" s="41" t="s">
        <v>22</v>
      </c>
      <c r="N11" s="41" t="s">
        <v>32</v>
      </c>
      <c r="O11" s="43" t="s">
        <v>33</v>
      </c>
      <c r="P11" s="41" t="s">
        <v>19</v>
      </c>
      <c r="Q11" s="41" t="s">
        <v>0</v>
      </c>
      <c r="R11" s="41" t="s">
        <v>1</v>
      </c>
      <c r="S11" s="41">
        <v>1825</v>
      </c>
      <c r="T11" s="41" t="s">
        <v>24</v>
      </c>
    </row>
    <row r="12" spans="1:20" hidden="1">
      <c r="A12" s="7" t="s">
        <v>44</v>
      </c>
    </row>
    <row r="13" spans="1:20" hidden="1">
      <c r="A13" s="45" t="s">
        <v>39</v>
      </c>
      <c r="B13" s="44" t="s">
        <v>30</v>
      </c>
      <c r="C13" s="44" t="s">
        <v>40</v>
      </c>
      <c r="D13" s="41" t="s">
        <v>29</v>
      </c>
      <c r="E13" s="41" t="s">
        <v>25</v>
      </c>
      <c r="F13" s="41" t="s">
        <v>25</v>
      </c>
      <c r="G13" s="41" t="s">
        <v>25</v>
      </c>
      <c r="H13" s="41" t="s">
        <v>25</v>
      </c>
      <c r="I13" s="41" t="s">
        <v>25</v>
      </c>
      <c r="J13" s="41" t="s">
        <v>62</v>
      </c>
      <c r="K13" s="41" t="s">
        <v>25</v>
      </c>
      <c r="L13" s="41" t="s">
        <v>25</v>
      </c>
      <c r="M13" s="41" t="s">
        <v>22</v>
      </c>
      <c r="N13" s="41" t="s">
        <v>32</v>
      </c>
      <c r="O13" s="43" t="s">
        <v>26</v>
      </c>
      <c r="P13" s="41" t="s">
        <v>19</v>
      </c>
      <c r="Q13" s="41" t="s">
        <v>0</v>
      </c>
      <c r="R13" s="41" t="s">
        <v>1</v>
      </c>
      <c r="S13" s="41">
        <v>1825</v>
      </c>
      <c r="T13" s="41" t="s">
        <v>24</v>
      </c>
    </row>
    <row r="14" spans="1:20" hidden="1">
      <c r="A14" s="10" t="s">
        <v>52</v>
      </c>
    </row>
    <row r="15" spans="1:20" hidden="1">
      <c r="A15" s="8" t="s">
        <v>48</v>
      </c>
    </row>
    <row r="16" spans="1:20" hidden="1">
      <c r="A16" s="45">
        <v>99008</v>
      </c>
      <c r="B16" s="44" t="s">
        <v>30</v>
      </c>
      <c r="C16" s="44" t="s">
        <v>40</v>
      </c>
      <c r="D16" s="41" t="s">
        <v>23</v>
      </c>
      <c r="E16" s="41" t="s">
        <v>25</v>
      </c>
      <c r="F16" s="41" t="s">
        <v>25</v>
      </c>
      <c r="G16" s="41" t="s">
        <v>46</v>
      </c>
      <c r="H16" s="41" t="s">
        <v>25</v>
      </c>
      <c r="I16" s="41" t="s">
        <v>25</v>
      </c>
      <c r="J16" s="44" t="s">
        <v>63</v>
      </c>
      <c r="K16" s="41" t="s">
        <v>25</v>
      </c>
      <c r="L16" s="41" t="s">
        <v>25</v>
      </c>
      <c r="M16" s="41" t="s">
        <v>22</v>
      </c>
      <c r="N16" s="41" t="s">
        <v>32</v>
      </c>
      <c r="O16" s="43" t="s">
        <v>33</v>
      </c>
      <c r="P16" s="41" t="s">
        <v>19</v>
      </c>
      <c r="Q16" s="41" t="s">
        <v>0</v>
      </c>
      <c r="R16" s="41" t="s">
        <v>1</v>
      </c>
      <c r="S16" s="41">
        <v>1825</v>
      </c>
      <c r="T16" s="41" t="s">
        <v>24</v>
      </c>
    </row>
    <row r="17" spans="1:20" hidden="1">
      <c r="A17" s="45">
        <v>99009</v>
      </c>
      <c r="B17" s="44" t="s">
        <v>30</v>
      </c>
      <c r="C17" s="44" t="s">
        <v>40</v>
      </c>
      <c r="D17" s="41" t="s">
        <v>23</v>
      </c>
      <c r="E17" s="41" t="s">
        <v>25</v>
      </c>
      <c r="F17" s="41" t="s">
        <v>25</v>
      </c>
      <c r="G17" s="41" t="s">
        <v>47</v>
      </c>
      <c r="H17" s="41" t="s">
        <v>25</v>
      </c>
      <c r="I17" s="41" t="s">
        <v>25</v>
      </c>
      <c r="J17" s="44" t="s">
        <v>63</v>
      </c>
      <c r="K17" s="41" t="s">
        <v>25</v>
      </c>
      <c r="L17" s="41" t="s">
        <v>25</v>
      </c>
      <c r="M17" s="41" t="s">
        <v>22</v>
      </c>
      <c r="N17" s="41" t="s">
        <v>32</v>
      </c>
      <c r="O17" s="43" t="s">
        <v>33</v>
      </c>
      <c r="P17" s="41" t="s">
        <v>19</v>
      </c>
      <c r="Q17" s="41" t="s">
        <v>0</v>
      </c>
      <c r="R17" s="41" t="s">
        <v>1</v>
      </c>
      <c r="S17" s="41">
        <v>1825</v>
      </c>
      <c r="T17" s="41" t="s">
        <v>24</v>
      </c>
    </row>
    <row r="18" spans="1:20" hidden="1">
      <c r="A18" s="8" t="s">
        <v>51</v>
      </c>
    </row>
    <row r="19" spans="1:20" hidden="1">
      <c r="A19" s="45">
        <v>99010</v>
      </c>
      <c r="B19" s="44" t="s">
        <v>30</v>
      </c>
      <c r="C19" s="44" t="s">
        <v>40</v>
      </c>
      <c r="D19" s="41" t="s">
        <v>23</v>
      </c>
      <c r="E19" s="41" t="s">
        <v>25</v>
      </c>
      <c r="F19" s="41" t="s">
        <v>25</v>
      </c>
      <c r="G19" s="41" t="s">
        <v>49</v>
      </c>
      <c r="H19" s="41" t="s">
        <v>25</v>
      </c>
      <c r="I19" s="41" t="s">
        <v>25</v>
      </c>
      <c r="J19" s="44" t="s">
        <v>63</v>
      </c>
      <c r="K19" s="41" t="s">
        <v>25</v>
      </c>
      <c r="L19" s="41" t="s">
        <v>25</v>
      </c>
      <c r="M19" s="41" t="s">
        <v>22</v>
      </c>
      <c r="N19" s="41" t="s">
        <v>32</v>
      </c>
      <c r="O19" s="43" t="s">
        <v>33</v>
      </c>
      <c r="P19" s="41" t="s">
        <v>19</v>
      </c>
      <c r="Q19" s="41" t="s">
        <v>0</v>
      </c>
      <c r="R19" s="41" t="s">
        <v>1</v>
      </c>
      <c r="S19" s="41">
        <v>1825</v>
      </c>
      <c r="T19" s="41" t="s">
        <v>24</v>
      </c>
    </row>
    <row r="20" spans="1:20" hidden="1">
      <c r="A20" s="45">
        <v>99011</v>
      </c>
      <c r="B20" s="44" t="s">
        <v>30</v>
      </c>
      <c r="C20" s="44" t="s">
        <v>40</v>
      </c>
      <c r="D20" s="41" t="s">
        <v>23</v>
      </c>
      <c r="E20" s="41" t="s">
        <v>25</v>
      </c>
      <c r="F20" s="41" t="s">
        <v>25</v>
      </c>
      <c r="G20" s="41" t="s">
        <v>50</v>
      </c>
      <c r="H20" s="41" t="s">
        <v>25</v>
      </c>
      <c r="I20" s="41" t="s">
        <v>25</v>
      </c>
      <c r="J20" s="44" t="s">
        <v>63</v>
      </c>
      <c r="K20" s="41" t="s">
        <v>25</v>
      </c>
      <c r="L20" s="41" t="s">
        <v>25</v>
      </c>
      <c r="M20" s="41" t="s">
        <v>22</v>
      </c>
      <c r="N20" s="41" t="s">
        <v>32</v>
      </c>
      <c r="O20" s="43" t="s">
        <v>33</v>
      </c>
      <c r="P20" s="41" t="s">
        <v>19</v>
      </c>
      <c r="Q20" s="41" t="s">
        <v>0</v>
      </c>
      <c r="R20" s="41" t="s">
        <v>1</v>
      </c>
      <c r="S20" s="41">
        <v>1825</v>
      </c>
      <c r="T20" s="41" t="s">
        <v>24</v>
      </c>
    </row>
    <row r="21" spans="1:20" hidden="1">
      <c r="A21" s="9" t="s">
        <v>69</v>
      </c>
    </row>
    <row r="22" spans="1:20" hidden="1">
      <c r="A22" s="45" t="s">
        <v>55</v>
      </c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3"/>
      <c r="P22" s="41"/>
      <c r="Q22" s="41"/>
      <c r="R22" s="41"/>
      <c r="S22" s="41"/>
      <c r="T22" s="41"/>
    </row>
    <row r="23" spans="1:20" hidden="1">
      <c r="A23" s="45">
        <v>99012</v>
      </c>
      <c r="B23" s="44" t="s">
        <v>54</v>
      </c>
      <c r="C23" s="44" t="s">
        <v>40</v>
      </c>
      <c r="D23" s="41" t="s">
        <v>23</v>
      </c>
      <c r="E23" s="41" t="s">
        <v>25</v>
      </c>
      <c r="F23" s="41" t="s">
        <v>25</v>
      </c>
      <c r="G23" s="41" t="s">
        <v>27</v>
      </c>
      <c r="H23" s="41" t="s">
        <v>25</v>
      </c>
      <c r="I23" s="41" t="s">
        <v>25</v>
      </c>
      <c r="J23" s="44" t="s">
        <v>73</v>
      </c>
      <c r="K23" s="41" t="s">
        <v>25</v>
      </c>
      <c r="L23" s="41" t="s">
        <v>25</v>
      </c>
      <c r="M23" s="41" t="s">
        <v>22</v>
      </c>
      <c r="N23" s="41" t="s">
        <v>32</v>
      </c>
      <c r="O23" s="43" t="s">
        <v>33</v>
      </c>
      <c r="P23" s="41" t="s">
        <v>19</v>
      </c>
      <c r="Q23" s="41" t="s">
        <v>0</v>
      </c>
      <c r="R23" s="41" t="s">
        <v>1</v>
      </c>
      <c r="S23" s="41">
        <v>1825</v>
      </c>
      <c r="T23" s="41" t="s">
        <v>24</v>
      </c>
    </row>
    <row r="24" spans="1:20">
      <c r="A24" s="45">
        <v>99013</v>
      </c>
      <c r="B24" s="44" t="s">
        <v>54</v>
      </c>
      <c r="C24" s="44" t="s">
        <v>40</v>
      </c>
      <c r="D24" s="41" t="s">
        <v>23</v>
      </c>
      <c r="E24" s="41" t="s">
        <v>25</v>
      </c>
      <c r="F24" s="41" t="s">
        <v>25</v>
      </c>
      <c r="G24" s="41" t="s">
        <v>28</v>
      </c>
      <c r="H24" s="41" t="s">
        <v>25</v>
      </c>
      <c r="I24" s="41" t="s">
        <v>25</v>
      </c>
      <c r="J24" s="44" t="s">
        <v>64</v>
      </c>
      <c r="K24" s="41" t="s">
        <v>25</v>
      </c>
      <c r="L24" s="41" t="s">
        <v>25</v>
      </c>
      <c r="M24" s="41" t="s">
        <v>22</v>
      </c>
      <c r="N24" s="41" t="s">
        <v>32</v>
      </c>
      <c r="O24" s="43" t="s">
        <v>33</v>
      </c>
      <c r="P24" s="41" t="s">
        <v>19</v>
      </c>
      <c r="Q24" s="41" t="s">
        <v>0</v>
      </c>
      <c r="R24" s="41" t="s">
        <v>1</v>
      </c>
      <c r="S24" s="41">
        <v>1825</v>
      </c>
      <c r="T24" s="41" t="s">
        <v>24</v>
      </c>
    </row>
    <row r="25" spans="1:20" hidden="1">
      <c r="A25" s="45" t="s">
        <v>56</v>
      </c>
    </row>
    <row r="26" spans="1:20" hidden="1">
      <c r="A26" s="45">
        <v>99014</v>
      </c>
      <c r="B26" s="44" t="s">
        <v>54</v>
      </c>
      <c r="C26" s="44" t="s">
        <v>40</v>
      </c>
      <c r="D26" s="41" t="s">
        <v>23</v>
      </c>
      <c r="E26" s="41" t="s">
        <v>25</v>
      </c>
      <c r="F26" s="41" t="s">
        <v>25</v>
      </c>
      <c r="G26" s="41" t="s">
        <v>27</v>
      </c>
      <c r="H26" s="41" t="s">
        <v>25</v>
      </c>
      <c r="I26" s="41" t="s">
        <v>25</v>
      </c>
      <c r="J26" s="41" t="s">
        <v>60</v>
      </c>
      <c r="K26" s="41" t="s">
        <v>25</v>
      </c>
      <c r="L26" s="41" t="s">
        <v>25</v>
      </c>
      <c r="M26" s="41" t="s">
        <v>22</v>
      </c>
      <c r="N26" s="41" t="s">
        <v>32</v>
      </c>
      <c r="O26" s="43" t="s">
        <v>33</v>
      </c>
      <c r="P26" s="41" t="s">
        <v>19</v>
      </c>
      <c r="Q26" s="41" t="s">
        <v>0</v>
      </c>
      <c r="R26" s="41" t="s">
        <v>1</v>
      </c>
      <c r="S26" s="41">
        <v>1825</v>
      </c>
      <c r="T26" s="41" t="s">
        <v>24</v>
      </c>
    </row>
    <row r="27" spans="1:20">
      <c r="A27" s="45" t="s">
        <v>311</v>
      </c>
      <c r="B27" s="44" t="s">
        <v>54</v>
      </c>
      <c r="C27" s="44" t="s">
        <v>40</v>
      </c>
      <c r="D27" s="41" t="s">
        <v>23</v>
      </c>
      <c r="E27" s="41" t="s">
        <v>25</v>
      </c>
      <c r="F27" s="41" t="s">
        <v>25</v>
      </c>
      <c r="G27" s="41" t="s">
        <v>28</v>
      </c>
      <c r="H27" s="41" t="s">
        <v>25</v>
      </c>
      <c r="I27" s="41" t="s">
        <v>25</v>
      </c>
      <c r="J27" s="41" t="s">
        <v>60</v>
      </c>
      <c r="K27" s="41" t="s">
        <v>25</v>
      </c>
      <c r="L27" s="41" t="s">
        <v>25</v>
      </c>
      <c r="M27" s="41" t="s">
        <v>22</v>
      </c>
      <c r="N27" s="41" t="s">
        <v>32</v>
      </c>
      <c r="O27" s="43" t="s">
        <v>33</v>
      </c>
      <c r="P27" s="41" t="s">
        <v>19</v>
      </c>
      <c r="Q27" s="41" t="s">
        <v>0</v>
      </c>
      <c r="R27" s="41" t="s">
        <v>1</v>
      </c>
      <c r="S27" s="41">
        <v>1825</v>
      </c>
      <c r="T27" s="41" t="s">
        <v>24</v>
      </c>
    </row>
    <row r="28" spans="1:20" hidden="1">
      <c r="A28" s="45" t="s">
        <v>57</v>
      </c>
    </row>
    <row r="29" spans="1:20" hidden="1">
      <c r="A29" s="45">
        <v>99016</v>
      </c>
      <c r="B29" s="44" t="s">
        <v>54</v>
      </c>
      <c r="C29" s="44" t="s">
        <v>40</v>
      </c>
      <c r="D29" s="41" t="s">
        <v>23</v>
      </c>
      <c r="E29" s="41" t="s">
        <v>25</v>
      </c>
      <c r="F29" s="41" t="s">
        <v>25</v>
      </c>
      <c r="G29" s="41" t="s">
        <v>27</v>
      </c>
      <c r="H29" s="41" t="s">
        <v>25</v>
      </c>
      <c r="I29" s="41" t="s">
        <v>25</v>
      </c>
      <c r="J29" s="44" t="s">
        <v>72</v>
      </c>
      <c r="K29" s="41" t="s">
        <v>25</v>
      </c>
      <c r="L29" s="41" t="s">
        <v>25</v>
      </c>
      <c r="M29" s="41" t="s">
        <v>22</v>
      </c>
      <c r="N29" s="41" t="s">
        <v>32</v>
      </c>
      <c r="O29" s="43" t="s">
        <v>33</v>
      </c>
      <c r="P29" s="41" t="s">
        <v>19</v>
      </c>
      <c r="Q29" s="41" t="s">
        <v>0</v>
      </c>
      <c r="R29" s="41" t="s">
        <v>1</v>
      </c>
      <c r="S29" s="41">
        <v>1825</v>
      </c>
      <c r="T29" s="41" t="s">
        <v>24</v>
      </c>
    </row>
    <row r="30" spans="1:20">
      <c r="A30" s="45">
        <v>99017</v>
      </c>
      <c r="B30" s="44" t="s">
        <v>54</v>
      </c>
      <c r="C30" s="44" t="s">
        <v>40</v>
      </c>
      <c r="D30" s="41" t="s">
        <v>23</v>
      </c>
      <c r="E30" s="41" t="s">
        <v>25</v>
      </c>
      <c r="F30" s="41" t="s">
        <v>25</v>
      </c>
      <c r="G30" s="41" t="s">
        <v>28</v>
      </c>
      <c r="H30" s="41" t="s">
        <v>25</v>
      </c>
      <c r="I30" s="41" t="s">
        <v>25</v>
      </c>
      <c r="J30" s="44" t="s">
        <v>65</v>
      </c>
      <c r="K30" s="41" t="s">
        <v>25</v>
      </c>
      <c r="L30" s="41" t="s">
        <v>25</v>
      </c>
      <c r="M30" s="41" t="s">
        <v>22</v>
      </c>
      <c r="N30" s="41" t="s">
        <v>32</v>
      </c>
      <c r="O30" s="43" t="s">
        <v>33</v>
      </c>
      <c r="P30" s="41" t="s">
        <v>19</v>
      </c>
      <c r="Q30" s="41" t="s">
        <v>0</v>
      </c>
      <c r="R30" s="41" t="s">
        <v>1</v>
      </c>
      <c r="S30" s="41">
        <v>1825</v>
      </c>
      <c r="T30" s="41" t="s">
        <v>24</v>
      </c>
    </row>
    <row r="31" spans="1:20" hidden="1">
      <c r="A31" s="45" t="s">
        <v>58</v>
      </c>
    </row>
    <row r="32" spans="1:20" hidden="1">
      <c r="A32" s="45">
        <v>99018</v>
      </c>
      <c r="B32" s="44" t="s">
        <v>54</v>
      </c>
      <c r="C32" s="44" t="s">
        <v>40</v>
      </c>
      <c r="D32" s="41" t="s">
        <v>23</v>
      </c>
      <c r="E32" s="41" t="s">
        <v>25</v>
      </c>
      <c r="F32" s="41" t="s">
        <v>25</v>
      </c>
      <c r="G32" s="41" t="s">
        <v>27</v>
      </c>
      <c r="H32" s="41" t="s">
        <v>25</v>
      </c>
      <c r="I32" s="41" t="s">
        <v>25</v>
      </c>
      <c r="J32" s="41" t="s">
        <v>61</v>
      </c>
      <c r="K32" s="41" t="s">
        <v>25</v>
      </c>
      <c r="L32" s="41" t="s">
        <v>25</v>
      </c>
      <c r="M32" s="41" t="s">
        <v>22</v>
      </c>
      <c r="N32" s="41" t="s">
        <v>32</v>
      </c>
      <c r="O32" s="43" t="s">
        <v>33</v>
      </c>
      <c r="P32" s="41" t="s">
        <v>19</v>
      </c>
      <c r="Q32" s="41" t="s">
        <v>0</v>
      </c>
      <c r="R32" s="41" t="s">
        <v>1</v>
      </c>
      <c r="S32" s="41">
        <v>1825</v>
      </c>
      <c r="T32" s="41" t="s">
        <v>24</v>
      </c>
    </row>
    <row r="33" spans="1:20">
      <c r="A33" s="45" t="s">
        <v>312</v>
      </c>
      <c r="B33" s="44" t="s">
        <v>54</v>
      </c>
      <c r="C33" s="44" t="s">
        <v>40</v>
      </c>
      <c r="D33" s="41" t="s">
        <v>23</v>
      </c>
      <c r="E33" s="41" t="s">
        <v>25</v>
      </c>
      <c r="F33" s="41" t="s">
        <v>25</v>
      </c>
      <c r="G33" s="41" t="s">
        <v>28</v>
      </c>
      <c r="H33" s="41" t="s">
        <v>25</v>
      </c>
      <c r="I33" s="41" t="s">
        <v>25</v>
      </c>
      <c r="J33" s="41" t="s">
        <v>61</v>
      </c>
      <c r="K33" s="41" t="s">
        <v>25</v>
      </c>
      <c r="L33" s="41" t="s">
        <v>25</v>
      </c>
      <c r="M33" s="41" t="s">
        <v>22</v>
      </c>
      <c r="N33" s="41" t="s">
        <v>32</v>
      </c>
      <c r="O33" s="43" t="s">
        <v>33</v>
      </c>
      <c r="P33" s="41" t="s">
        <v>19</v>
      </c>
      <c r="Q33" s="41" t="s">
        <v>0</v>
      </c>
      <c r="R33" s="41" t="s">
        <v>1</v>
      </c>
      <c r="S33" s="41">
        <v>1825</v>
      </c>
      <c r="T33" s="41" t="s">
        <v>24</v>
      </c>
    </row>
    <row r="34" spans="1:20" hidden="1">
      <c r="A34" s="45" t="s">
        <v>59</v>
      </c>
    </row>
    <row r="35" spans="1:20" hidden="1">
      <c r="A35" s="45">
        <v>99020</v>
      </c>
      <c r="B35" s="44" t="s">
        <v>54</v>
      </c>
      <c r="C35" s="44" t="s">
        <v>40</v>
      </c>
      <c r="D35" s="41" t="s">
        <v>23</v>
      </c>
      <c r="E35" s="41" t="s">
        <v>25</v>
      </c>
      <c r="F35" s="41" t="s">
        <v>25</v>
      </c>
      <c r="G35" s="41" t="s">
        <v>27</v>
      </c>
      <c r="H35" s="41" t="s">
        <v>25</v>
      </c>
      <c r="I35" s="41" t="s">
        <v>25</v>
      </c>
      <c r="J35" s="44" t="s">
        <v>66</v>
      </c>
      <c r="K35" s="41" t="s">
        <v>25</v>
      </c>
      <c r="L35" s="41" t="s">
        <v>25</v>
      </c>
      <c r="M35" s="41" t="s">
        <v>22</v>
      </c>
      <c r="N35" s="41" t="s">
        <v>32</v>
      </c>
      <c r="O35" s="43" t="s">
        <v>33</v>
      </c>
      <c r="P35" s="41" t="s">
        <v>19</v>
      </c>
      <c r="Q35" s="41" t="s">
        <v>0</v>
      </c>
      <c r="R35" s="41" t="s">
        <v>1</v>
      </c>
      <c r="S35" s="41">
        <v>1825</v>
      </c>
      <c r="T35" s="41" t="s">
        <v>24</v>
      </c>
    </row>
    <row r="36" spans="1:20">
      <c r="A36" s="45">
        <v>99021</v>
      </c>
      <c r="B36" s="44" t="s">
        <v>54</v>
      </c>
      <c r="C36" s="44" t="s">
        <v>40</v>
      </c>
      <c r="D36" s="41" t="s">
        <v>23</v>
      </c>
      <c r="E36" s="41" t="s">
        <v>25</v>
      </c>
      <c r="F36" s="41" t="s">
        <v>25</v>
      </c>
      <c r="G36" s="41" t="s">
        <v>28</v>
      </c>
      <c r="H36" s="41" t="s">
        <v>25</v>
      </c>
      <c r="I36" s="41" t="s">
        <v>25</v>
      </c>
      <c r="J36" s="44" t="s">
        <v>66</v>
      </c>
      <c r="K36" s="41" t="s">
        <v>25</v>
      </c>
      <c r="L36" s="41" t="s">
        <v>25</v>
      </c>
      <c r="M36" s="41" t="s">
        <v>22</v>
      </c>
      <c r="N36" s="41" t="s">
        <v>32</v>
      </c>
      <c r="O36" s="43" t="s">
        <v>33</v>
      </c>
      <c r="P36" s="41" t="s">
        <v>19</v>
      </c>
      <c r="Q36" s="41" t="s">
        <v>0</v>
      </c>
      <c r="R36" s="41" t="s">
        <v>1</v>
      </c>
      <c r="S36" s="41">
        <v>1825</v>
      </c>
      <c r="T36" s="41" t="s">
        <v>24</v>
      </c>
    </row>
    <row r="37" spans="1:20" hidden="1">
      <c r="A37" s="45" t="s">
        <v>67</v>
      </c>
    </row>
    <row r="38" spans="1:20" hidden="1">
      <c r="A38" s="45">
        <v>99022</v>
      </c>
      <c r="B38" s="44" t="s">
        <v>54</v>
      </c>
      <c r="C38" s="44" t="s">
        <v>40</v>
      </c>
      <c r="D38" s="41" t="s">
        <v>23</v>
      </c>
      <c r="E38" s="41" t="s">
        <v>25</v>
      </c>
      <c r="F38" s="41" t="s">
        <v>25</v>
      </c>
      <c r="G38" s="41" t="s">
        <v>27</v>
      </c>
      <c r="H38" s="41" t="s">
        <v>25</v>
      </c>
      <c r="I38" s="41" t="s">
        <v>25</v>
      </c>
      <c r="J38" s="44" t="s">
        <v>68</v>
      </c>
      <c r="K38" s="41" t="s">
        <v>25</v>
      </c>
      <c r="L38" s="41" t="s">
        <v>25</v>
      </c>
      <c r="M38" s="41" t="s">
        <v>22</v>
      </c>
      <c r="N38" s="41" t="s">
        <v>32</v>
      </c>
      <c r="O38" s="43" t="s">
        <v>33</v>
      </c>
      <c r="P38" s="41" t="s">
        <v>19</v>
      </c>
      <c r="Q38" s="41" t="s">
        <v>0</v>
      </c>
      <c r="R38" s="41" t="s">
        <v>1</v>
      </c>
      <c r="S38" s="41">
        <v>1825</v>
      </c>
      <c r="T38" s="41" t="s">
        <v>24</v>
      </c>
    </row>
    <row r="39" spans="1:20">
      <c r="A39" s="45">
        <v>99023</v>
      </c>
      <c r="B39" s="44" t="s">
        <v>54</v>
      </c>
      <c r="C39" s="44" t="s">
        <v>40</v>
      </c>
      <c r="D39" s="41" t="s">
        <v>23</v>
      </c>
      <c r="E39" s="41" t="s">
        <v>25</v>
      </c>
      <c r="F39" s="41" t="s">
        <v>25</v>
      </c>
      <c r="G39" s="41" t="s">
        <v>28</v>
      </c>
      <c r="H39" s="41" t="s">
        <v>25</v>
      </c>
      <c r="I39" s="41" t="s">
        <v>25</v>
      </c>
      <c r="J39" s="44" t="s">
        <v>68</v>
      </c>
      <c r="K39" s="41" t="s">
        <v>25</v>
      </c>
      <c r="L39" s="41" t="s">
        <v>25</v>
      </c>
      <c r="M39" s="41" t="s">
        <v>22</v>
      </c>
      <c r="N39" s="41" t="s">
        <v>32</v>
      </c>
      <c r="O39" s="43" t="s">
        <v>33</v>
      </c>
      <c r="P39" s="41" t="s">
        <v>19</v>
      </c>
      <c r="Q39" s="41" t="s">
        <v>0</v>
      </c>
      <c r="R39" s="41" t="s">
        <v>1</v>
      </c>
      <c r="S39" s="41">
        <v>1825</v>
      </c>
      <c r="T39" s="41" t="s">
        <v>24</v>
      </c>
    </row>
    <row r="40" spans="1:20" hidden="1">
      <c r="A40" s="45" t="s">
        <v>70</v>
      </c>
    </row>
    <row r="41" spans="1:20" hidden="1">
      <c r="A41" s="45">
        <v>99024</v>
      </c>
      <c r="B41" s="44" t="s">
        <v>54</v>
      </c>
      <c r="C41" s="44" t="s">
        <v>40</v>
      </c>
      <c r="D41" s="41" t="s">
        <v>23</v>
      </c>
      <c r="E41" s="41" t="s">
        <v>25</v>
      </c>
      <c r="F41" s="41" t="s">
        <v>25</v>
      </c>
      <c r="G41" s="41" t="s">
        <v>27</v>
      </c>
      <c r="H41" s="41" t="s">
        <v>25</v>
      </c>
      <c r="I41" s="41" t="s">
        <v>25</v>
      </c>
      <c r="J41" s="44" t="s">
        <v>74</v>
      </c>
      <c r="K41" s="41" t="s">
        <v>25</v>
      </c>
      <c r="L41" s="41" t="s">
        <v>25</v>
      </c>
      <c r="M41" s="41" t="s">
        <v>22</v>
      </c>
      <c r="N41" s="41" t="s">
        <v>32</v>
      </c>
      <c r="O41" s="43" t="s">
        <v>33</v>
      </c>
      <c r="P41" s="41" t="s">
        <v>19</v>
      </c>
      <c r="Q41" s="41" t="s">
        <v>0</v>
      </c>
      <c r="R41" s="41" t="s">
        <v>1</v>
      </c>
      <c r="S41" s="41">
        <v>1825</v>
      </c>
      <c r="T41" s="41" t="s">
        <v>24</v>
      </c>
    </row>
    <row r="42" spans="1:20">
      <c r="A42" s="45">
        <v>99025</v>
      </c>
      <c r="B42" s="44" t="s">
        <v>54</v>
      </c>
      <c r="C42" s="44" t="s">
        <v>40</v>
      </c>
      <c r="D42" s="41" t="s">
        <v>23</v>
      </c>
      <c r="E42" s="41" t="s">
        <v>25</v>
      </c>
      <c r="F42" s="41" t="s">
        <v>25</v>
      </c>
      <c r="G42" s="41" t="s">
        <v>28</v>
      </c>
      <c r="H42" s="41" t="s">
        <v>25</v>
      </c>
      <c r="I42" s="41" t="s">
        <v>25</v>
      </c>
      <c r="J42" s="44" t="s">
        <v>71</v>
      </c>
      <c r="K42" s="41" t="s">
        <v>25</v>
      </c>
      <c r="L42" s="41" t="s">
        <v>25</v>
      </c>
      <c r="M42" s="41" t="s">
        <v>22</v>
      </c>
      <c r="N42" s="41" t="s">
        <v>32</v>
      </c>
      <c r="O42" s="43" t="s">
        <v>33</v>
      </c>
      <c r="P42" s="41" t="s">
        <v>19</v>
      </c>
      <c r="Q42" s="41" t="s">
        <v>0</v>
      </c>
      <c r="R42" s="41" t="s">
        <v>1</v>
      </c>
      <c r="S42" s="41">
        <v>1825</v>
      </c>
      <c r="T42" s="41" t="s">
        <v>24</v>
      </c>
    </row>
    <row r="43" spans="1:20" hidden="1">
      <c r="A43" s="10" t="s">
        <v>77</v>
      </c>
    </row>
    <row r="44" spans="1:20" hidden="1">
      <c r="A44" s="45" t="s">
        <v>78</v>
      </c>
    </row>
    <row r="45" spans="1:20">
      <c r="A45" s="45">
        <v>99026</v>
      </c>
      <c r="B45" s="44" t="s">
        <v>54</v>
      </c>
      <c r="C45" s="44" t="s">
        <v>40</v>
      </c>
      <c r="D45" s="44" t="s">
        <v>75</v>
      </c>
      <c r="E45" s="41" t="s">
        <v>25</v>
      </c>
      <c r="F45" s="41" t="s">
        <v>25</v>
      </c>
      <c r="G45" s="41" t="s">
        <v>28</v>
      </c>
      <c r="H45" s="41" t="s">
        <v>25</v>
      </c>
      <c r="I45" s="41" t="s">
        <v>25</v>
      </c>
      <c r="J45" s="44" t="s">
        <v>73</v>
      </c>
      <c r="K45" s="41" t="s">
        <v>25</v>
      </c>
      <c r="L45" s="41" t="s">
        <v>25</v>
      </c>
      <c r="M45" s="41" t="s">
        <v>22</v>
      </c>
      <c r="N45" s="41" t="s">
        <v>32</v>
      </c>
      <c r="O45" s="43" t="s">
        <v>33</v>
      </c>
      <c r="P45" s="41" t="s">
        <v>19</v>
      </c>
      <c r="Q45" s="41" t="s">
        <v>0</v>
      </c>
      <c r="R45" s="41" t="s">
        <v>1</v>
      </c>
      <c r="S45" s="41">
        <v>1825</v>
      </c>
      <c r="T45" s="41" t="s">
        <v>24</v>
      </c>
    </row>
    <row r="46" spans="1:20">
      <c r="A46" s="45">
        <v>99027</v>
      </c>
      <c r="B46" s="44" t="s">
        <v>54</v>
      </c>
      <c r="C46" s="44" t="s">
        <v>40</v>
      </c>
      <c r="D46" s="44" t="s">
        <v>76</v>
      </c>
      <c r="E46" s="41" t="s">
        <v>25</v>
      </c>
      <c r="F46" s="41" t="s">
        <v>25</v>
      </c>
      <c r="G46" s="41" t="s">
        <v>28</v>
      </c>
      <c r="H46" s="41" t="s">
        <v>25</v>
      </c>
      <c r="I46" s="41" t="s">
        <v>25</v>
      </c>
      <c r="J46" s="44" t="s">
        <v>73</v>
      </c>
      <c r="K46" s="41" t="s">
        <v>25</v>
      </c>
      <c r="L46" s="41" t="s">
        <v>25</v>
      </c>
      <c r="M46" s="41" t="s">
        <v>22</v>
      </c>
      <c r="N46" s="41" t="s">
        <v>32</v>
      </c>
      <c r="O46" s="43" t="s">
        <v>33</v>
      </c>
      <c r="P46" s="41" t="s">
        <v>19</v>
      </c>
      <c r="Q46" s="41" t="s">
        <v>0</v>
      </c>
      <c r="R46" s="41" t="s">
        <v>1</v>
      </c>
      <c r="S46" s="41">
        <v>1825</v>
      </c>
      <c r="T46" s="41" t="s">
        <v>24</v>
      </c>
    </row>
    <row r="47" spans="1:20" hidden="1">
      <c r="A47" s="45" t="s">
        <v>79</v>
      </c>
    </row>
    <row r="48" spans="1:20">
      <c r="A48" s="45">
        <v>99028</v>
      </c>
      <c r="B48" s="44" t="s">
        <v>54</v>
      </c>
      <c r="C48" s="44" t="s">
        <v>40</v>
      </c>
      <c r="D48" s="41" t="s">
        <v>23</v>
      </c>
      <c r="E48" s="41" t="s">
        <v>25</v>
      </c>
      <c r="F48" s="41" t="s">
        <v>25</v>
      </c>
      <c r="G48" s="41" t="s">
        <v>28</v>
      </c>
      <c r="H48" s="41" t="s">
        <v>25</v>
      </c>
      <c r="I48" s="41" t="s">
        <v>25</v>
      </c>
      <c r="J48" s="44" t="s">
        <v>73</v>
      </c>
      <c r="K48" s="41" t="s">
        <v>25</v>
      </c>
      <c r="L48" s="41" t="s">
        <v>25</v>
      </c>
      <c r="M48" s="41" t="s">
        <v>22</v>
      </c>
      <c r="N48" s="41" t="s">
        <v>32</v>
      </c>
      <c r="O48" s="43" t="s">
        <v>33</v>
      </c>
      <c r="P48" s="41" t="s">
        <v>19</v>
      </c>
      <c r="Q48" s="41" t="s">
        <v>0</v>
      </c>
      <c r="R48" s="41" t="s">
        <v>1</v>
      </c>
      <c r="S48" s="41" t="s">
        <v>80</v>
      </c>
      <c r="T48" s="41" t="s">
        <v>24</v>
      </c>
    </row>
    <row r="49" spans="1:20">
      <c r="A49" s="45">
        <v>99029</v>
      </c>
      <c r="B49" s="44" t="s">
        <v>54</v>
      </c>
      <c r="C49" s="44" t="s">
        <v>40</v>
      </c>
      <c r="D49" s="41" t="s">
        <v>23</v>
      </c>
      <c r="E49" s="41" t="s">
        <v>25</v>
      </c>
      <c r="F49" s="41" t="s">
        <v>25</v>
      </c>
      <c r="G49" s="41" t="s">
        <v>28</v>
      </c>
      <c r="H49" s="41" t="s">
        <v>25</v>
      </c>
      <c r="I49" s="41" t="s">
        <v>25</v>
      </c>
      <c r="J49" s="44" t="s">
        <v>73</v>
      </c>
      <c r="K49" s="41" t="s">
        <v>25</v>
      </c>
      <c r="L49" s="41" t="s">
        <v>25</v>
      </c>
      <c r="M49" s="41" t="s">
        <v>22</v>
      </c>
      <c r="N49" s="41" t="s">
        <v>32</v>
      </c>
      <c r="O49" s="43" t="s">
        <v>33</v>
      </c>
      <c r="P49" s="41" t="s">
        <v>19</v>
      </c>
      <c r="Q49" s="41" t="s">
        <v>0</v>
      </c>
      <c r="R49" s="41" t="s">
        <v>1</v>
      </c>
      <c r="S49" s="41" t="s">
        <v>81</v>
      </c>
      <c r="T49" s="41" t="s">
        <v>24</v>
      </c>
    </row>
    <row r="50" spans="1:20" hidden="1">
      <c r="A50" s="45" t="s">
        <v>82</v>
      </c>
    </row>
    <row r="51" spans="1:20">
      <c r="A51" s="45">
        <v>99030</v>
      </c>
      <c r="B51" s="44" t="s">
        <v>54</v>
      </c>
      <c r="C51" s="44" t="s">
        <v>40</v>
      </c>
      <c r="D51" s="41" t="s">
        <v>23</v>
      </c>
      <c r="E51" s="41" t="s">
        <v>25</v>
      </c>
      <c r="F51" s="41" t="s">
        <v>25</v>
      </c>
      <c r="G51" s="41" t="s">
        <v>28</v>
      </c>
      <c r="H51" s="41" t="s">
        <v>25</v>
      </c>
      <c r="I51" s="41" t="s">
        <v>25</v>
      </c>
      <c r="J51" s="44" t="s">
        <v>73</v>
      </c>
      <c r="K51" s="41" t="s">
        <v>25</v>
      </c>
      <c r="L51" s="41" t="s">
        <v>25</v>
      </c>
      <c r="M51" s="41" t="s">
        <v>22</v>
      </c>
      <c r="N51" s="41" t="s">
        <v>32</v>
      </c>
      <c r="O51" s="43" t="s">
        <v>33</v>
      </c>
      <c r="P51" s="41" t="s">
        <v>19</v>
      </c>
      <c r="Q51" s="14" t="s">
        <v>83</v>
      </c>
      <c r="R51" s="41" t="s">
        <v>1</v>
      </c>
      <c r="S51" s="41">
        <v>1825</v>
      </c>
      <c r="T51" s="41" t="s">
        <v>24</v>
      </c>
    </row>
    <row r="52" spans="1:20" hidden="1">
      <c r="A52" s="45" t="s">
        <v>84</v>
      </c>
    </row>
    <row r="53" spans="1:20">
      <c r="A53" s="45">
        <v>99031</v>
      </c>
      <c r="B53" s="44" t="s">
        <v>54</v>
      </c>
      <c r="C53" s="44" t="s">
        <v>40</v>
      </c>
      <c r="D53" s="41" t="s">
        <v>23</v>
      </c>
      <c r="E53" s="41" t="s">
        <v>25</v>
      </c>
      <c r="F53" s="41" t="s">
        <v>25</v>
      </c>
      <c r="G53" s="41" t="s">
        <v>28</v>
      </c>
      <c r="H53" s="41" t="s">
        <v>25</v>
      </c>
      <c r="I53" s="41" t="s">
        <v>25</v>
      </c>
      <c r="J53" s="44" t="s">
        <v>73</v>
      </c>
      <c r="K53" s="41" t="s">
        <v>25</v>
      </c>
      <c r="L53" s="41" t="s">
        <v>25</v>
      </c>
      <c r="M53" s="41" t="s">
        <v>22</v>
      </c>
      <c r="N53" s="41" t="s">
        <v>32</v>
      </c>
      <c r="O53" s="43" t="s">
        <v>33</v>
      </c>
      <c r="P53" s="14" t="s">
        <v>85</v>
      </c>
      <c r="Q53" s="41" t="s">
        <v>0</v>
      </c>
      <c r="R53" s="41" t="s">
        <v>1</v>
      </c>
      <c r="S53" s="41">
        <v>1825</v>
      </c>
      <c r="T53" s="41" t="s">
        <v>24</v>
      </c>
    </row>
    <row r="54" spans="1:20" hidden="1">
      <c r="A54" s="45" t="s">
        <v>87</v>
      </c>
    </row>
    <row r="55" spans="1:20">
      <c r="A55" s="45">
        <v>99032</v>
      </c>
      <c r="B55" s="44" t="s">
        <v>54</v>
      </c>
      <c r="C55" s="44" t="s">
        <v>40</v>
      </c>
      <c r="D55" s="41" t="s">
        <v>23</v>
      </c>
      <c r="E55" s="41" t="s">
        <v>25</v>
      </c>
      <c r="F55" s="41" t="s">
        <v>25</v>
      </c>
      <c r="G55" s="41" t="s">
        <v>28</v>
      </c>
      <c r="H55" s="41" t="s">
        <v>25</v>
      </c>
      <c r="I55" s="41" t="s">
        <v>25</v>
      </c>
      <c r="J55" s="44" t="s">
        <v>86</v>
      </c>
      <c r="K55" s="41" t="s">
        <v>25</v>
      </c>
      <c r="L55" s="41" t="s">
        <v>25</v>
      </c>
      <c r="M55" s="41" t="s">
        <v>22</v>
      </c>
      <c r="N55" s="41" t="s">
        <v>32</v>
      </c>
      <c r="O55" s="43" t="s">
        <v>33</v>
      </c>
      <c r="P55" s="41" t="s">
        <v>19</v>
      </c>
      <c r="Q55" s="41" t="s">
        <v>0</v>
      </c>
      <c r="R55" s="41" t="s">
        <v>1</v>
      </c>
      <c r="S55" s="41">
        <v>1825</v>
      </c>
      <c r="T55" s="41" t="s">
        <v>24</v>
      </c>
    </row>
    <row r="56" spans="1:20" hidden="1">
      <c r="A56" s="5" t="s">
        <v>88</v>
      </c>
    </row>
    <row r="57" spans="1:20">
      <c r="A57" s="5">
        <v>99033</v>
      </c>
      <c r="B57" s="44" t="s">
        <v>54</v>
      </c>
      <c r="C57" s="44" t="s">
        <v>40</v>
      </c>
      <c r="D57" s="41" t="s">
        <v>23</v>
      </c>
      <c r="E57" s="41" t="s">
        <v>25</v>
      </c>
      <c r="F57" s="41" t="s">
        <v>25</v>
      </c>
      <c r="G57" s="41" t="s">
        <v>28</v>
      </c>
      <c r="H57" s="41" t="s">
        <v>25</v>
      </c>
      <c r="I57" s="41" t="s">
        <v>25</v>
      </c>
      <c r="J57" s="44" t="s">
        <v>89</v>
      </c>
      <c r="K57" s="41" t="s">
        <v>25</v>
      </c>
      <c r="L57" s="41" t="s">
        <v>25</v>
      </c>
      <c r="M57" s="41" t="s">
        <v>22</v>
      </c>
      <c r="N57" s="41" t="s">
        <v>32</v>
      </c>
      <c r="O57" s="43" t="s">
        <v>33</v>
      </c>
      <c r="P57" s="41" t="s">
        <v>19</v>
      </c>
      <c r="Q57" s="41" t="s">
        <v>0</v>
      </c>
      <c r="R57" s="41" t="s">
        <v>1</v>
      </c>
      <c r="S57" s="41">
        <v>1825</v>
      </c>
      <c r="T57" s="41" t="s">
        <v>24</v>
      </c>
    </row>
    <row r="58" spans="1:20">
      <c r="A58" s="5">
        <v>99034</v>
      </c>
      <c r="B58" s="44" t="s">
        <v>54</v>
      </c>
      <c r="C58" s="44" t="s">
        <v>40</v>
      </c>
      <c r="D58" s="41" t="s">
        <v>23</v>
      </c>
      <c r="E58" s="41" t="s">
        <v>25</v>
      </c>
      <c r="F58" s="41" t="s">
        <v>25</v>
      </c>
      <c r="G58" s="41" t="s">
        <v>28</v>
      </c>
      <c r="H58" s="41" t="s">
        <v>25</v>
      </c>
      <c r="I58" s="41" t="s">
        <v>25</v>
      </c>
      <c r="J58" s="44" t="s">
        <v>90</v>
      </c>
      <c r="K58" s="41" t="s">
        <v>25</v>
      </c>
      <c r="L58" s="41" t="s">
        <v>25</v>
      </c>
      <c r="M58" s="41" t="s">
        <v>22</v>
      </c>
      <c r="N58" s="41" t="s">
        <v>32</v>
      </c>
      <c r="O58" s="43" t="s">
        <v>33</v>
      </c>
      <c r="P58" s="41" t="s">
        <v>19</v>
      </c>
      <c r="Q58" s="41" t="s">
        <v>0</v>
      </c>
      <c r="R58" s="41" t="s">
        <v>1</v>
      </c>
      <c r="S58" s="41">
        <v>1825</v>
      </c>
      <c r="T58" s="41" t="s">
        <v>24</v>
      </c>
    </row>
    <row r="59" spans="1:20">
      <c r="A59" s="5">
        <v>99035</v>
      </c>
      <c r="B59" s="44" t="s">
        <v>54</v>
      </c>
      <c r="C59" s="44" t="s">
        <v>40</v>
      </c>
      <c r="D59" s="41" t="s">
        <v>23</v>
      </c>
      <c r="E59" s="41" t="s">
        <v>25</v>
      </c>
      <c r="F59" s="41" t="s">
        <v>25</v>
      </c>
      <c r="G59" s="41" t="s">
        <v>28</v>
      </c>
      <c r="H59" s="41" t="s">
        <v>25</v>
      </c>
      <c r="I59" s="41" t="s">
        <v>25</v>
      </c>
      <c r="J59" s="44" t="s">
        <v>91</v>
      </c>
      <c r="K59" s="41" t="s">
        <v>25</v>
      </c>
      <c r="L59" s="41" t="s">
        <v>25</v>
      </c>
      <c r="M59" s="41" t="s">
        <v>22</v>
      </c>
      <c r="N59" s="41" t="s">
        <v>32</v>
      </c>
      <c r="O59" s="43" t="s">
        <v>33</v>
      </c>
      <c r="P59" s="41" t="s">
        <v>19</v>
      </c>
      <c r="Q59" s="41" t="s">
        <v>0</v>
      </c>
      <c r="R59" s="41" t="s">
        <v>1</v>
      </c>
      <c r="S59" s="41">
        <v>1825</v>
      </c>
      <c r="T59" s="41" t="s">
        <v>24</v>
      </c>
    </row>
    <row r="60" spans="1:20" hidden="1">
      <c r="A60" s="26" t="s">
        <v>92</v>
      </c>
    </row>
    <row r="61" spans="1:20" hidden="1">
      <c r="A61" s="5" t="s">
        <v>100</v>
      </c>
      <c r="G61" s="41"/>
      <c r="H61" s="41"/>
      <c r="I61" s="41"/>
    </row>
    <row r="62" spans="1:20">
      <c r="A62" s="5">
        <v>99036</v>
      </c>
      <c r="B62" s="44" t="s">
        <v>54</v>
      </c>
      <c r="C62" s="44" t="s">
        <v>40</v>
      </c>
      <c r="D62" s="41" t="s">
        <v>95</v>
      </c>
      <c r="E62" s="44" t="s">
        <v>93</v>
      </c>
      <c r="F62" s="44" t="s">
        <v>94</v>
      </c>
      <c r="G62" s="41" t="s">
        <v>28</v>
      </c>
      <c r="H62" s="41" t="s">
        <v>28</v>
      </c>
      <c r="I62" s="41" t="s">
        <v>28</v>
      </c>
      <c r="J62" s="44" t="s">
        <v>91</v>
      </c>
      <c r="K62" s="44" t="s">
        <v>91</v>
      </c>
      <c r="L62" s="44" t="s">
        <v>91</v>
      </c>
      <c r="M62" s="41" t="s">
        <v>22</v>
      </c>
      <c r="N62" s="41" t="s">
        <v>32</v>
      </c>
      <c r="O62" s="43" t="s">
        <v>33</v>
      </c>
      <c r="P62" s="41" t="s">
        <v>19</v>
      </c>
      <c r="Q62" s="41" t="s">
        <v>0</v>
      </c>
      <c r="R62" s="41" t="s">
        <v>1</v>
      </c>
      <c r="S62" s="41">
        <v>1825</v>
      </c>
      <c r="T62" s="41" t="s">
        <v>24</v>
      </c>
    </row>
    <row r="63" spans="1:20">
      <c r="A63" s="5">
        <v>99037</v>
      </c>
      <c r="B63" s="44" t="s">
        <v>54</v>
      </c>
      <c r="C63" s="44" t="s">
        <v>40</v>
      </c>
      <c r="D63" s="41" t="s">
        <v>95</v>
      </c>
      <c r="E63" s="44" t="s">
        <v>96</v>
      </c>
      <c r="F63" s="44" t="s">
        <v>97</v>
      </c>
      <c r="G63" s="41" t="s">
        <v>28</v>
      </c>
      <c r="H63" s="41" t="s">
        <v>28</v>
      </c>
      <c r="I63" s="41" t="s">
        <v>28</v>
      </c>
      <c r="J63" s="44" t="s">
        <v>91</v>
      </c>
      <c r="K63" s="44" t="s">
        <v>91</v>
      </c>
      <c r="L63" s="44" t="s">
        <v>91</v>
      </c>
      <c r="M63" s="41" t="s">
        <v>22</v>
      </c>
      <c r="N63" s="41" t="s">
        <v>32</v>
      </c>
      <c r="O63" s="43" t="s">
        <v>33</v>
      </c>
      <c r="P63" s="41" t="s">
        <v>19</v>
      </c>
      <c r="Q63" s="41" t="s">
        <v>0</v>
      </c>
      <c r="R63" s="41" t="s">
        <v>1</v>
      </c>
      <c r="S63" s="41">
        <v>1825</v>
      </c>
      <c r="T63" s="41" t="s">
        <v>24</v>
      </c>
    </row>
    <row r="64" spans="1:20">
      <c r="A64" s="5">
        <v>99038</v>
      </c>
      <c r="B64" s="44" t="s">
        <v>54</v>
      </c>
      <c r="C64" s="44" t="s">
        <v>40</v>
      </c>
      <c r="D64" s="41" t="s">
        <v>107</v>
      </c>
      <c r="E64" s="44" t="s">
        <v>98</v>
      </c>
      <c r="F64" s="44" t="s">
        <v>99</v>
      </c>
      <c r="G64" s="41" t="s">
        <v>28</v>
      </c>
      <c r="H64" s="41" t="s">
        <v>28</v>
      </c>
      <c r="I64" s="41" t="s">
        <v>28</v>
      </c>
      <c r="J64" s="44" t="s">
        <v>91</v>
      </c>
      <c r="K64" s="44" t="s">
        <v>91</v>
      </c>
      <c r="L64" s="44" t="s">
        <v>91</v>
      </c>
      <c r="M64" s="41" t="s">
        <v>22</v>
      </c>
      <c r="N64" s="41" t="s">
        <v>32</v>
      </c>
      <c r="O64" s="43" t="s">
        <v>33</v>
      </c>
      <c r="P64" s="41" t="s">
        <v>19</v>
      </c>
      <c r="Q64" s="41" t="s">
        <v>0</v>
      </c>
      <c r="R64" s="41" t="s">
        <v>1</v>
      </c>
      <c r="S64" s="41">
        <v>1825</v>
      </c>
      <c r="T64" s="41" t="s">
        <v>24</v>
      </c>
    </row>
    <row r="65" spans="1:20">
      <c r="A65" s="5">
        <v>99039</v>
      </c>
      <c r="B65" s="44" t="s">
        <v>54</v>
      </c>
      <c r="C65" s="44" t="s">
        <v>40</v>
      </c>
      <c r="D65" s="44" t="s">
        <v>101</v>
      </c>
      <c r="E65" s="41" t="s">
        <v>25</v>
      </c>
      <c r="F65" s="41" t="s">
        <v>25</v>
      </c>
      <c r="G65" s="41" t="s">
        <v>28</v>
      </c>
      <c r="H65" s="41" t="s">
        <v>25</v>
      </c>
      <c r="I65" s="41" t="s">
        <v>25</v>
      </c>
      <c r="J65" s="44" t="s">
        <v>91</v>
      </c>
      <c r="K65" s="41" t="s">
        <v>25</v>
      </c>
      <c r="L65" s="41" t="s">
        <v>25</v>
      </c>
      <c r="M65" s="41" t="s">
        <v>22</v>
      </c>
      <c r="N65" s="41" t="s">
        <v>32</v>
      </c>
      <c r="O65" s="43" t="s">
        <v>33</v>
      </c>
      <c r="P65" s="41" t="s">
        <v>19</v>
      </c>
      <c r="Q65" s="41" t="s">
        <v>0</v>
      </c>
      <c r="R65" s="41" t="s">
        <v>1</v>
      </c>
      <c r="S65" s="41">
        <v>1825</v>
      </c>
      <c r="T65" s="41" t="s">
        <v>24</v>
      </c>
    </row>
    <row r="66" spans="1:20" hidden="1">
      <c r="A66" s="26" t="s">
        <v>106</v>
      </c>
    </row>
    <row r="67" spans="1:20">
      <c r="A67" s="5">
        <v>99040</v>
      </c>
      <c r="B67" s="44" t="s">
        <v>54</v>
      </c>
      <c r="C67" s="44" t="s">
        <v>40</v>
      </c>
      <c r="D67" s="21" t="s">
        <v>102</v>
      </c>
      <c r="E67" s="41" t="s">
        <v>25</v>
      </c>
      <c r="F67" s="41" t="s">
        <v>25</v>
      </c>
      <c r="G67" s="41" t="s">
        <v>28</v>
      </c>
      <c r="H67" s="41" t="s">
        <v>25</v>
      </c>
      <c r="I67" s="41" t="s">
        <v>25</v>
      </c>
      <c r="J67" s="44" t="s">
        <v>103</v>
      </c>
      <c r="K67" s="41" t="s">
        <v>25</v>
      </c>
      <c r="L67" s="41" t="s">
        <v>25</v>
      </c>
      <c r="M67" s="41" t="s">
        <v>22</v>
      </c>
      <c r="N67" s="41" t="s">
        <v>32</v>
      </c>
      <c r="O67" s="43" t="s">
        <v>33</v>
      </c>
      <c r="P67" s="41" t="s">
        <v>19</v>
      </c>
      <c r="Q67" s="41" t="s">
        <v>0</v>
      </c>
      <c r="R67" s="41" t="s">
        <v>1</v>
      </c>
      <c r="S67" s="41">
        <v>1825</v>
      </c>
      <c r="T67" s="41" t="s">
        <v>24</v>
      </c>
    </row>
    <row r="68" spans="1:20">
      <c r="A68" s="5">
        <v>99041</v>
      </c>
      <c r="B68" s="44" t="s">
        <v>54</v>
      </c>
      <c r="C68" s="44" t="s">
        <v>40</v>
      </c>
      <c r="D68" s="21" t="s">
        <v>102</v>
      </c>
      <c r="E68" s="41" t="s">
        <v>25</v>
      </c>
      <c r="F68" s="41" t="s">
        <v>25</v>
      </c>
      <c r="G68" s="41" t="s">
        <v>28</v>
      </c>
      <c r="H68" s="41" t="s">
        <v>25</v>
      </c>
      <c r="I68" s="41" t="s">
        <v>25</v>
      </c>
      <c r="J68" s="44" t="s">
        <v>104</v>
      </c>
      <c r="K68" s="41" t="s">
        <v>25</v>
      </c>
      <c r="L68" s="41" t="s">
        <v>25</v>
      </c>
      <c r="M68" s="41" t="s">
        <v>22</v>
      </c>
      <c r="N68" s="41" t="s">
        <v>32</v>
      </c>
      <c r="O68" s="43" t="s">
        <v>33</v>
      </c>
      <c r="P68" s="41" t="s">
        <v>19</v>
      </c>
      <c r="Q68" s="41" t="s">
        <v>0</v>
      </c>
      <c r="R68" s="41" t="s">
        <v>1</v>
      </c>
      <c r="S68" s="41">
        <v>1825</v>
      </c>
      <c r="T68" s="41" t="s">
        <v>24</v>
      </c>
    </row>
    <row r="69" spans="1:20">
      <c r="A69" s="5">
        <v>99042</v>
      </c>
      <c r="B69" s="44" t="s">
        <v>54</v>
      </c>
      <c r="C69" s="44" t="s">
        <v>40</v>
      </c>
      <c r="D69" s="44" t="s">
        <v>108</v>
      </c>
      <c r="E69" s="41" t="s">
        <v>25</v>
      </c>
      <c r="F69" s="41" t="s">
        <v>25</v>
      </c>
      <c r="G69" s="41" t="s">
        <v>28</v>
      </c>
      <c r="H69" s="41" t="s">
        <v>25</v>
      </c>
      <c r="I69" s="41" t="s">
        <v>25</v>
      </c>
      <c r="J69" s="44" t="s">
        <v>105</v>
      </c>
      <c r="K69" s="41" t="s">
        <v>25</v>
      </c>
      <c r="L69" s="41" t="s">
        <v>25</v>
      </c>
      <c r="M69" s="41" t="s">
        <v>22</v>
      </c>
      <c r="N69" s="41" t="s">
        <v>32</v>
      </c>
      <c r="O69" s="43" t="s">
        <v>33</v>
      </c>
      <c r="P69" s="41" t="s">
        <v>19</v>
      </c>
      <c r="Q69" s="41" t="s">
        <v>0</v>
      </c>
      <c r="R69" s="41" t="s">
        <v>1</v>
      </c>
      <c r="S69" s="41">
        <v>1825</v>
      </c>
      <c r="T69" s="41" t="s">
        <v>24</v>
      </c>
    </row>
    <row r="70" spans="1:20" hidden="1">
      <c r="A70" s="10" t="s">
        <v>110</v>
      </c>
      <c r="E70" s="41"/>
      <c r="F70" s="41"/>
      <c r="G70" s="41"/>
      <c r="H70" s="41"/>
      <c r="I70" s="41"/>
      <c r="K70" s="41"/>
      <c r="L70" s="41"/>
      <c r="M70" s="41"/>
      <c r="N70" s="41"/>
      <c r="O70" s="43"/>
      <c r="P70" s="41"/>
      <c r="Q70" s="41"/>
      <c r="R70" s="41"/>
      <c r="S70" s="41"/>
      <c r="T70" s="41"/>
    </row>
    <row r="71" spans="1:20">
      <c r="A71" s="45">
        <v>99043</v>
      </c>
      <c r="B71" s="44" t="s">
        <v>54</v>
      </c>
      <c r="C71" s="44" t="s">
        <v>40</v>
      </c>
      <c r="D71" s="41" t="s">
        <v>23</v>
      </c>
      <c r="E71" s="44" t="s">
        <v>93</v>
      </c>
      <c r="F71" s="44" t="s">
        <v>94</v>
      </c>
      <c r="G71" s="41" t="s">
        <v>28</v>
      </c>
      <c r="H71" s="41" t="s">
        <v>28</v>
      </c>
      <c r="I71" s="41" t="s">
        <v>28</v>
      </c>
      <c r="J71" s="44" t="s">
        <v>105</v>
      </c>
      <c r="K71" s="44" t="s">
        <v>105</v>
      </c>
      <c r="L71" s="44" t="s">
        <v>105</v>
      </c>
      <c r="M71" s="41" t="s">
        <v>22</v>
      </c>
      <c r="N71" s="41" t="s">
        <v>32</v>
      </c>
      <c r="O71" s="43" t="s">
        <v>33</v>
      </c>
      <c r="P71" s="41" t="s">
        <v>19</v>
      </c>
      <c r="Q71" s="41" t="s">
        <v>0</v>
      </c>
      <c r="R71" s="41" t="s">
        <v>1</v>
      </c>
      <c r="S71" s="41">
        <v>1825</v>
      </c>
      <c r="T71" s="41" t="s">
        <v>24</v>
      </c>
    </row>
    <row r="72" spans="1:20">
      <c r="A72" s="45">
        <v>99044</v>
      </c>
      <c r="B72" s="44" t="s">
        <v>54</v>
      </c>
      <c r="C72" s="44" t="s">
        <v>40</v>
      </c>
      <c r="D72" s="41" t="s">
        <v>109</v>
      </c>
      <c r="E72" s="44" t="s">
        <v>96</v>
      </c>
      <c r="F72" s="44" t="s">
        <v>97</v>
      </c>
      <c r="G72" s="41" t="s">
        <v>28</v>
      </c>
      <c r="H72" s="41" t="s">
        <v>28</v>
      </c>
      <c r="I72" s="41" t="s">
        <v>28</v>
      </c>
      <c r="J72" s="44" t="s">
        <v>105</v>
      </c>
      <c r="K72" s="44" t="s">
        <v>105</v>
      </c>
      <c r="L72" s="44" t="s">
        <v>105</v>
      </c>
      <c r="M72" s="41" t="s">
        <v>22</v>
      </c>
      <c r="N72" s="41" t="s">
        <v>32</v>
      </c>
      <c r="O72" s="43" t="s">
        <v>33</v>
      </c>
      <c r="P72" s="41" t="s">
        <v>19</v>
      </c>
      <c r="Q72" s="41" t="s">
        <v>0</v>
      </c>
      <c r="R72" s="41" t="s">
        <v>1</v>
      </c>
      <c r="S72" s="41">
        <v>1825</v>
      </c>
      <c r="T72" s="41" t="s">
        <v>24</v>
      </c>
    </row>
    <row r="73" spans="1:20" hidden="1">
      <c r="A73" s="45" t="s">
        <v>132</v>
      </c>
    </row>
    <row r="74" spans="1:20">
      <c r="A74" s="45">
        <v>99045</v>
      </c>
      <c r="B74" s="44" t="s">
        <v>54</v>
      </c>
      <c r="C74" s="44" t="s">
        <v>40</v>
      </c>
      <c r="D74" s="41" t="s">
        <v>23</v>
      </c>
      <c r="E74" s="44" t="s">
        <v>93</v>
      </c>
      <c r="F74" s="44" t="s">
        <v>94</v>
      </c>
      <c r="G74" s="41" t="s">
        <v>28</v>
      </c>
      <c r="H74" s="41" t="s">
        <v>28</v>
      </c>
      <c r="I74" s="41" t="s">
        <v>28</v>
      </c>
      <c r="J74" s="44" t="s">
        <v>128</v>
      </c>
      <c r="K74" s="44" t="s">
        <v>128</v>
      </c>
      <c r="L74" s="44" t="s">
        <v>128</v>
      </c>
      <c r="M74" s="41" t="s">
        <v>22</v>
      </c>
      <c r="N74" s="41" t="s">
        <v>32</v>
      </c>
      <c r="O74" s="43" t="s">
        <v>33</v>
      </c>
      <c r="P74" s="41" t="s">
        <v>19</v>
      </c>
      <c r="Q74" s="41" t="s">
        <v>0</v>
      </c>
      <c r="R74" s="41" t="s">
        <v>1</v>
      </c>
      <c r="S74" s="41">
        <v>1825</v>
      </c>
      <c r="T74" s="41" t="s">
        <v>24</v>
      </c>
    </row>
    <row r="75" spans="1:20">
      <c r="A75" s="45">
        <v>99046</v>
      </c>
      <c r="B75" s="44" t="s">
        <v>54</v>
      </c>
      <c r="C75" s="44" t="s">
        <v>40</v>
      </c>
      <c r="D75" s="41" t="s">
        <v>129</v>
      </c>
      <c r="E75" s="44" t="s">
        <v>96</v>
      </c>
      <c r="F75" s="44" t="s">
        <v>97</v>
      </c>
      <c r="G75" s="41" t="s">
        <v>28</v>
      </c>
      <c r="H75" s="41" t="s">
        <v>28</v>
      </c>
      <c r="I75" s="41" t="s">
        <v>28</v>
      </c>
      <c r="J75" s="44" t="s">
        <v>128</v>
      </c>
      <c r="K75" s="44" t="s">
        <v>128</v>
      </c>
      <c r="L75" s="44" t="s">
        <v>128</v>
      </c>
      <c r="M75" s="41" t="s">
        <v>22</v>
      </c>
      <c r="N75" s="41" t="s">
        <v>32</v>
      </c>
      <c r="O75" s="43" t="s">
        <v>33</v>
      </c>
      <c r="P75" s="41" t="s">
        <v>19</v>
      </c>
      <c r="Q75" s="41" t="s">
        <v>0</v>
      </c>
      <c r="R75" s="41" t="s">
        <v>1</v>
      </c>
      <c r="S75" s="41">
        <v>1825</v>
      </c>
      <c r="T75" s="41" t="s">
        <v>24</v>
      </c>
    </row>
    <row r="76" spans="1:20">
      <c r="A76" s="45">
        <v>99047</v>
      </c>
      <c r="B76" s="44" t="s">
        <v>54</v>
      </c>
      <c r="C76" s="44" t="s">
        <v>40</v>
      </c>
      <c r="D76" s="41" t="s">
        <v>23</v>
      </c>
      <c r="E76" s="44" t="s">
        <v>93</v>
      </c>
      <c r="F76" s="44" t="s">
        <v>94</v>
      </c>
      <c r="G76" s="41" t="s">
        <v>28</v>
      </c>
      <c r="H76" s="41" t="s">
        <v>28</v>
      </c>
      <c r="I76" s="41" t="s">
        <v>28</v>
      </c>
      <c r="J76" s="44" t="s">
        <v>131</v>
      </c>
      <c r="K76" s="44" t="s">
        <v>131</v>
      </c>
      <c r="L76" s="44" t="s">
        <v>131</v>
      </c>
      <c r="M76" s="41" t="s">
        <v>22</v>
      </c>
      <c r="N76" s="41" t="s">
        <v>32</v>
      </c>
      <c r="O76" s="43" t="s">
        <v>33</v>
      </c>
      <c r="P76" s="41" t="s">
        <v>19</v>
      </c>
      <c r="Q76" s="41" t="s">
        <v>0</v>
      </c>
      <c r="R76" s="41" t="s">
        <v>1</v>
      </c>
      <c r="S76" s="41">
        <v>1825</v>
      </c>
      <c r="T76" s="41" t="s">
        <v>24</v>
      </c>
    </row>
    <row r="77" spans="1:20">
      <c r="A77" s="45">
        <v>99048</v>
      </c>
      <c r="B77" s="44" t="s">
        <v>54</v>
      </c>
      <c r="C77" s="44" t="s">
        <v>40</v>
      </c>
      <c r="D77" s="41" t="s">
        <v>130</v>
      </c>
      <c r="E77" s="44" t="s">
        <v>96</v>
      </c>
      <c r="F77" s="44" t="s">
        <v>97</v>
      </c>
      <c r="G77" s="41" t="s">
        <v>28</v>
      </c>
      <c r="H77" s="41" t="s">
        <v>28</v>
      </c>
      <c r="I77" s="41" t="s">
        <v>28</v>
      </c>
      <c r="J77" s="44" t="s">
        <v>131</v>
      </c>
      <c r="K77" s="44" t="s">
        <v>131</v>
      </c>
      <c r="L77" s="44" t="s">
        <v>131</v>
      </c>
      <c r="M77" s="41" t="s">
        <v>22</v>
      </c>
      <c r="N77" s="41" t="s">
        <v>32</v>
      </c>
      <c r="O77" s="43" t="s">
        <v>33</v>
      </c>
      <c r="P77" s="41" t="s">
        <v>19</v>
      </c>
      <c r="Q77" s="41" t="s">
        <v>0</v>
      </c>
      <c r="R77" s="41" t="s">
        <v>1</v>
      </c>
      <c r="S77" s="41">
        <v>1825</v>
      </c>
      <c r="T77" s="41" t="s">
        <v>24</v>
      </c>
    </row>
    <row r="78" spans="1:20" hidden="1">
      <c r="A78" s="45" t="s">
        <v>134</v>
      </c>
      <c r="D78" s="41"/>
      <c r="G78" s="41"/>
      <c r="H78" s="41"/>
      <c r="I78" s="41"/>
      <c r="M78" s="41"/>
      <c r="N78" s="41"/>
      <c r="O78" s="43"/>
      <c r="P78" s="41"/>
      <c r="Q78" s="41"/>
      <c r="R78" s="41"/>
      <c r="S78" s="41"/>
      <c r="T78" s="41"/>
    </row>
    <row r="79" spans="1:20">
      <c r="A79" s="5">
        <v>99049</v>
      </c>
      <c r="B79" s="44" t="s">
        <v>54</v>
      </c>
      <c r="C79" s="44" t="s">
        <v>40</v>
      </c>
      <c r="D79" s="41" t="s">
        <v>23</v>
      </c>
      <c r="E79" s="44" t="s">
        <v>93</v>
      </c>
      <c r="F79" s="44" t="s">
        <v>94</v>
      </c>
      <c r="G79" s="41" t="s">
        <v>28</v>
      </c>
      <c r="H79" s="41" t="s">
        <v>28</v>
      </c>
      <c r="I79" s="41" t="s">
        <v>28</v>
      </c>
      <c r="J79" s="44" t="s">
        <v>133</v>
      </c>
      <c r="K79" s="44" t="s">
        <v>133</v>
      </c>
      <c r="L79" s="44" t="s">
        <v>133</v>
      </c>
      <c r="M79" s="41" t="s">
        <v>22</v>
      </c>
      <c r="N79" s="41" t="s">
        <v>32</v>
      </c>
      <c r="O79" s="43" t="s">
        <v>33</v>
      </c>
      <c r="P79" s="41" t="s">
        <v>19</v>
      </c>
      <c r="Q79" s="41" t="s">
        <v>0</v>
      </c>
      <c r="R79" s="41" t="s">
        <v>1</v>
      </c>
      <c r="S79" s="41">
        <v>1825</v>
      </c>
      <c r="T79" s="41" t="s">
        <v>24</v>
      </c>
    </row>
    <row r="80" spans="1:20">
      <c r="A80" s="5">
        <v>99050</v>
      </c>
      <c r="B80" s="44" t="s">
        <v>54</v>
      </c>
      <c r="C80" s="44" t="s">
        <v>40</v>
      </c>
      <c r="D80" s="41" t="s">
        <v>135</v>
      </c>
      <c r="E80" s="44" t="s">
        <v>96</v>
      </c>
      <c r="F80" s="44" t="s">
        <v>97</v>
      </c>
      <c r="G80" s="41" t="s">
        <v>28</v>
      </c>
      <c r="H80" s="41" t="s">
        <v>28</v>
      </c>
      <c r="I80" s="41" t="s">
        <v>28</v>
      </c>
      <c r="J80" s="44" t="s">
        <v>133</v>
      </c>
      <c r="K80" s="44" t="s">
        <v>133</v>
      </c>
      <c r="L80" s="44" t="s">
        <v>133</v>
      </c>
      <c r="M80" s="41" t="s">
        <v>22</v>
      </c>
      <c r="N80" s="41" t="s">
        <v>32</v>
      </c>
      <c r="O80" s="43" t="s">
        <v>33</v>
      </c>
      <c r="P80" s="41" t="s">
        <v>19</v>
      </c>
      <c r="Q80" s="41" t="s">
        <v>0</v>
      </c>
      <c r="R80" s="41" t="s">
        <v>1</v>
      </c>
      <c r="S80" s="41">
        <v>1825</v>
      </c>
      <c r="T80" s="41" t="s">
        <v>24</v>
      </c>
    </row>
    <row r="81" spans="1:22">
      <c r="A81" s="45">
        <v>99051</v>
      </c>
      <c r="B81" s="44" t="s">
        <v>54</v>
      </c>
      <c r="C81" s="44" t="s">
        <v>40</v>
      </c>
      <c r="D81" s="44" t="s">
        <v>108</v>
      </c>
      <c r="E81" s="41" t="s">
        <v>25</v>
      </c>
      <c r="F81" s="41" t="s">
        <v>25</v>
      </c>
      <c r="G81" s="41" t="s">
        <v>28</v>
      </c>
      <c r="H81" s="41" t="s">
        <v>25</v>
      </c>
      <c r="I81" s="41" t="s">
        <v>25</v>
      </c>
      <c r="J81" s="44" t="s">
        <v>133</v>
      </c>
      <c r="K81" s="41" t="s">
        <v>25</v>
      </c>
      <c r="L81" s="41" t="s">
        <v>25</v>
      </c>
      <c r="M81" s="41" t="s">
        <v>22</v>
      </c>
      <c r="N81" s="41" t="s">
        <v>32</v>
      </c>
      <c r="O81" s="43" t="s">
        <v>33</v>
      </c>
      <c r="P81" s="41" t="s">
        <v>19</v>
      </c>
      <c r="Q81" s="41" t="s">
        <v>0</v>
      </c>
      <c r="R81" s="41" t="s">
        <v>1</v>
      </c>
      <c r="S81" s="41">
        <v>1825</v>
      </c>
      <c r="T81" s="41" t="s">
        <v>24</v>
      </c>
    </row>
    <row r="82" spans="1:22">
      <c r="A82" s="45">
        <v>99052</v>
      </c>
      <c r="B82" s="44" t="s">
        <v>54</v>
      </c>
      <c r="C82" s="44" t="s">
        <v>40</v>
      </c>
      <c r="D82" s="44" t="s">
        <v>192</v>
      </c>
      <c r="E82" s="41" t="s">
        <v>25</v>
      </c>
      <c r="F82" s="41" t="s">
        <v>25</v>
      </c>
      <c r="G82" s="41" t="s">
        <v>28</v>
      </c>
      <c r="H82" s="41" t="s">
        <v>25</v>
      </c>
      <c r="I82" s="41" t="s">
        <v>25</v>
      </c>
      <c r="J82" s="44" t="s">
        <v>133</v>
      </c>
      <c r="K82" s="41" t="s">
        <v>25</v>
      </c>
      <c r="L82" s="41" t="s">
        <v>25</v>
      </c>
      <c r="M82" s="41" t="s">
        <v>22</v>
      </c>
      <c r="N82" s="41" t="s">
        <v>32</v>
      </c>
      <c r="O82" s="43" t="s">
        <v>33</v>
      </c>
      <c r="P82" s="41" t="s">
        <v>19</v>
      </c>
      <c r="Q82" s="41" t="s">
        <v>0</v>
      </c>
      <c r="R82" s="41" t="s">
        <v>1</v>
      </c>
      <c r="S82" s="41">
        <v>1825</v>
      </c>
      <c r="T82" s="41" t="s">
        <v>24</v>
      </c>
    </row>
    <row r="83" spans="1:22">
      <c r="A83" s="45">
        <v>99053</v>
      </c>
      <c r="B83" s="44" t="s">
        <v>54</v>
      </c>
      <c r="C83" s="44" t="s">
        <v>40</v>
      </c>
      <c r="D83" s="41" t="s">
        <v>107</v>
      </c>
      <c r="E83" s="44" t="s">
        <v>98</v>
      </c>
      <c r="F83" s="44" t="s">
        <v>99</v>
      </c>
      <c r="G83" s="41" t="s">
        <v>28</v>
      </c>
      <c r="H83" s="41" t="s">
        <v>28</v>
      </c>
      <c r="I83" s="41" t="s">
        <v>28</v>
      </c>
      <c r="J83" s="44" t="s">
        <v>133</v>
      </c>
      <c r="K83" s="44" t="s">
        <v>133</v>
      </c>
      <c r="L83" s="44" t="s">
        <v>133</v>
      </c>
      <c r="M83" s="41" t="s">
        <v>22</v>
      </c>
      <c r="N83" s="41" t="s">
        <v>32</v>
      </c>
      <c r="O83" s="43" t="s">
        <v>33</v>
      </c>
      <c r="P83" s="41" t="s">
        <v>19</v>
      </c>
      <c r="Q83" s="41" t="s">
        <v>0</v>
      </c>
      <c r="R83" s="41" t="s">
        <v>1</v>
      </c>
      <c r="S83" s="41">
        <v>1825</v>
      </c>
      <c r="T83" s="41" t="s">
        <v>24</v>
      </c>
      <c r="V83" s="42">
        <v>123</v>
      </c>
    </row>
    <row r="84" spans="1:22">
      <c r="A84" s="45">
        <v>99054</v>
      </c>
      <c r="B84" s="44" t="s">
        <v>54</v>
      </c>
      <c r="C84" s="44" t="s">
        <v>40</v>
      </c>
      <c r="D84" s="41" t="s">
        <v>137</v>
      </c>
      <c r="E84" s="44" t="s">
        <v>139</v>
      </c>
      <c r="F84" s="44" t="s">
        <v>140</v>
      </c>
      <c r="G84" s="41" t="s">
        <v>28</v>
      </c>
      <c r="H84" s="41" t="s">
        <v>28</v>
      </c>
      <c r="I84" s="41" t="s">
        <v>28</v>
      </c>
      <c r="J84" s="44" t="s">
        <v>133</v>
      </c>
      <c r="K84" s="44" t="s">
        <v>133</v>
      </c>
      <c r="L84" s="44" t="s">
        <v>133</v>
      </c>
      <c r="M84" s="41" t="s">
        <v>22</v>
      </c>
      <c r="N84" s="41" t="s">
        <v>32</v>
      </c>
      <c r="O84" s="43" t="s">
        <v>33</v>
      </c>
      <c r="P84" s="41" t="s">
        <v>19</v>
      </c>
      <c r="Q84" s="41" t="s">
        <v>0</v>
      </c>
      <c r="R84" s="41" t="s">
        <v>1</v>
      </c>
      <c r="S84" s="41">
        <v>1825</v>
      </c>
      <c r="T84" s="41" t="s">
        <v>24</v>
      </c>
      <c r="V84" s="42">
        <v>124</v>
      </c>
    </row>
    <row r="85" spans="1:22">
      <c r="A85" s="45">
        <v>99055</v>
      </c>
      <c r="B85" s="44" t="s">
        <v>54</v>
      </c>
      <c r="C85" s="44" t="s">
        <v>40</v>
      </c>
      <c r="D85" s="41" t="s">
        <v>76</v>
      </c>
      <c r="E85" s="44" t="s">
        <v>142</v>
      </c>
      <c r="F85" s="44" t="s">
        <v>143</v>
      </c>
      <c r="G85" s="41" t="s">
        <v>28</v>
      </c>
      <c r="H85" s="41" t="s">
        <v>28</v>
      </c>
      <c r="I85" s="41" t="s">
        <v>28</v>
      </c>
      <c r="J85" s="44" t="s">
        <v>133</v>
      </c>
      <c r="K85" s="44" t="s">
        <v>133</v>
      </c>
      <c r="L85" s="44" t="s">
        <v>133</v>
      </c>
      <c r="M85" s="41" t="s">
        <v>22</v>
      </c>
      <c r="N85" s="41" t="s">
        <v>32</v>
      </c>
      <c r="O85" s="43" t="s">
        <v>33</v>
      </c>
      <c r="P85" s="41" t="s">
        <v>19</v>
      </c>
      <c r="Q85" s="41" t="s">
        <v>0</v>
      </c>
      <c r="R85" s="41" t="s">
        <v>1</v>
      </c>
      <c r="S85" s="41">
        <v>1825</v>
      </c>
      <c r="T85" s="41" t="s">
        <v>24</v>
      </c>
      <c r="V85" s="42">
        <v>213</v>
      </c>
    </row>
    <row r="86" spans="1:22">
      <c r="A86" s="45">
        <v>99056</v>
      </c>
      <c r="B86" s="44" t="s">
        <v>54</v>
      </c>
      <c r="C86" s="44" t="s">
        <v>40</v>
      </c>
      <c r="D86" s="41" t="s">
        <v>138</v>
      </c>
      <c r="E86" s="44" t="s">
        <v>193</v>
      </c>
      <c r="F86" s="44" t="s">
        <v>136</v>
      </c>
      <c r="G86" s="41" t="s">
        <v>28</v>
      </c>
      <c r="H86" s="41" t="s">
        <v>28</v>
      </c>
      <c r="I86" s="41" t="s">
        <v>28</v>
      </c>
      <c r="J86" s="44" t="s">
        <v>133</v>
      </c>
      <c r="K86" s="44" t="s">
        <v>133</v>
      </c>
      <c r="L86" s="44" t="s">
        <v>133</v>
      </c>
      <c r="M86" s="41" t="s">
        <v>22</v>
      </c>
      <c r="N86" s="41" t="s">
        <v>32</v>
      </c>
      <c r="O86" s="43" t="s">
        <v>33</v>
      </c>
      <c r="P86" s="41" t="s">
        <v>19</v>
      </c>
      <c r="Q86" s="41" t="s">
        <v>0</v>
      </c>
      <c r="R86" s="41" t="s">
        <v>1</v>
      </c>
      <c r="S86" s="41">
        <v>1825</v>
      </c>
      <c r="T86" s="41" t="s">
        <v>24</v>
      </c>
      <c r="V86" s="42">
        <v>123</v>
      </c>
    </row>
    <row r="87" spans="1:22">
      <c r="A87" s="45">
        <v>99057</v>
      </c>
      <c r="B87" s="44" t="s">
        <v>54</v>
      </c>
      <c r="C87" s="44" t="s">
        <v>40</v>
      </c>
      <c r="D87" s="41" t="s">
        <v>137</v>
      </c>
      <c r="E87" s="44" t="s">
        <v>147</v>
      </c>
      <c r="F87" s="44" t="s">
        <v>141</v>
      </c>
      <c r="G87" s="41" t="s">
        <v>28</v>
      </c>
      <c r="H87" s="41" t="s">
        <v>28</v>
      </c>
      <c r="I87" s="41" t="s">
        <v>28</v>
      </c>
      <c r="J87" s="44" t="s">
        <v>133</v>
      </c>
      <c r="K87" s="44" t="s">
        <v>133</v>
      </c>
      <c r="L87" s="44" t="s">
        <v>133</v>
      </c>
      <c r="M87" s="41" t="s">
        <v>22</v>
      </c>
      <c r="N87" s="41" t="s">
        <v>32</v>
      </c>
      <c r="O87" s="43" t="s">
        <v>33</v>
      </c>
      <c r="P87" s="41" t="s">
        <v>19</v>
      </c>
      <c r="Q87" s="41" t="s">
        <v>0</v>
      </c>
      <c r="R87" s="41" t="s">
        <v>1</v>
      </c>
      <c r="S87" s="41">
        <v>1825</v>
      </c>
      <c r="T87" s="41" t="s">
        <v>24</v>
      </c>
      <c r="V87" s="42">
        <v>124</v>
      </c>
    </row>
    <row r="88" spans="1:22">
      <c r="A88" s="45">
        <v>99058</v>
      </c>
      <c r="B88" s="44" t="s">
        <v>54</v>
      </c>
      <c r="C88" s="44" t="s">
        <v>40</v>
      </c>
      <c r="D88" s="41" t="s">
        <v>144</v>
      </c>
      <c r="E88" s="44" t="s">
        <v>145</v>
      </c>
      <c r="F88" s="44" t="s">
        <v>146</v>
      </c>
      <c r="G88" s="41" t="s">
        <v>28</v>
      </c>
      <c r="H88" s="41" t="s">
        <v>28</v>
      </c>
      <c r="I88" s="41" t="s">
        <v>28</v>
      </c>
      <c r="J88" s="44" t="s">
        <v>133</v>
      </c>
      <c r="K88" s="44" t="s">
        <v>133</v>
      </c>
      <c r="L88" s="44" t="s">
        <v>133</v>
      </c>
      <c r="M88" s="41" t="s">
        <v>22</v>
      </c>
      <c r="N88" s="41" t="s">
        <v>32</v>
      </c>
      <c r="O88" s="43" t="s">
        <v>33</v>
      </c>
      <c r="P88" s="41" t="s">
        <v>19</v>
      </c>
      <c r="Q88" s="41" t="s">
        <v>0</v>
      </c>
      <c r="R88" s="41" t="s">
        <v>1</v>
      </c>
      <c r="S88" s="41">
        <v>1825</v>
      </c>
      <c r="T88" s="41" t="s">
        <v>24</v>
      </c>
      <c r="V88" s="42">
        <v>213</v>
      </c>
    </row>
    <row r="89" spans="1:22" hidden="1">
      <c r="A89" s="45" t="s">
        <v>187</v>
      </c>
      <c r="D89" s="41"/>
      <c r="G89" s="41"/>
      <c r="H89" s="41"/>
      <c r="I89" s="41"/>
      <c r="M89" s="41"/>
      <c r="N89" s="41"/>
      <c r="O89" s="43"/>
      <c r="P89" s="41"/>
      <c r="Q89" s="41"/>
      <c r="R89" s="41"/>
      <c r="S89" s="41"/>
      <c r="T89" s="41"/>
    </row>
    <row r="90" spans="1:22">
      <c r="A90" s="30">
        <v>99059</v>
      </c>
      <c r="B90" s="44" t="s">
        <v>54</v>
      </c>
      <c r="C90" s="44" t="s">
        <v>40</v>
      </c>
      <c r="D90" s="41" t="s">
        <v>138</v>
      </c>
      <c r="E90" s="44" t="s">
        <v>174</v>
      </c>
      <c r="F90" s="44" t="s">
        <v>151</v>
      </c>
      <c r="G90" s="41" t="s">
        <v>28</v>
      </c>
      <c r="H90" s="41" t="s">
        <v>28</v>
      </c>
      <c r="I90" s="41" t="s">
        <v>28</v>
      </c>
      <c r="J90" s="44" t="s">
        <v>133</v>
      </c>
      <c r="K90" s="44" t="s">
        <v>133</v>
      </c>
      <c r="L90" s="44" t="s">
        <v>133</v>
      </c>
      <c r="M90" s="41" t="s">
        <v>22</v>
      </c>
      <c r="N90" s="41" t="s">
        <v>32</v>
      </c>
      <c r="O90" s="43" t="s">
        <v>33</v>
      </c>
      <c r="P90" s="41" t="s">
        <v>19</v>
      </c>
      <c r="Q90" s="41" t="s">
        <v>0</v>
      </c>
      <c r="R90" s="41" t="s">
        <v>1</v>
      </c>
      <c r="S90" s="41">
        <v>1825</v>
      </c>
      <c r="T90" s="41" t="s">
        <v>24</v>
      </c>
    </row>
    <row r="91" spans="1:22" hidden="1">
      <c r="A91" s="30" t="s">
        <v>181</v>
      </c>
    </row>
    <row r="92" spans="1:22">
      <c r="A92" s="37">
        <v>99060</v>
      </c>
      <c r="B92" s="44" t="s">
        <v>54</v>
      </c>
      <c r="C92" s="44" t="s">
        <v>40</v>
      </c>
      <c r="D92" s="38" t="s">
        <v>171</v>
      </c>
      <c r="E92" s="44" t="s">
        <v>174</v>
      </c>
      <c r="F92" s="44" t="s">
        <v>151</v>
      </c>
      <c r="G92" s="41" t="s">
        <v>28</v>
      </c>
      <c r="H92" s="41" t="s">
        <v>28</v>
      </c>
      <c r="I92" s="41" t="s">
        <v>28</v>
      </c>
      <c r="J92" s="44" t="s">
        <v>133</v>
      </c>
      <c r="K92" s="44" t="s">
        <v>133</v>
      </c>
      <c r="L92" s="44" t="s">
        <v>133</v>
      </c>
      <c r="M92" s="41" t="s">
        <v>22</v>
      </c>
      <c r="N92" s="41" t="s">
        <v>32</v>
      </c>
      <c r="O92" s="43" t="s">
        <v>33</v>
      </c>
      <c r="P92" s="41" t="s">
        <v>19</v>
      </c>
      <c r="Q92" s="41" t="s">
        <v>0</v>
      </c>
      <c r="R92" s="41" t="s">
        <v>1</v>
      </c>
      <c r="S92" s="41">
        <v>1825</v>
      </c>
      <c r="T92" s="41" t="s">
        <v>24</v>
      </c>
    </row>
    <row r="93" spans="1:22" hidden="1">
      <c r="A93" s="30" t="s">
        <v>182</v>
      </c>
    </row>
    <row r="94" spans="1:22">
      <c r="A94" s="37">
        <v>99061</v>
      </c>
      <c r="B94" s="44" t="s">
        <v>54</v>
      </c>
      <c r="C94" s="44" t="s">
        <v>40</v>
      </c>
      <c r="D94" s="41" t="s">
        <v>180</v>
      </c>
      <c r="E94" s="36" t="s">
        <v>177</v>
      </c>
      <c r="F94" s="40" t="s">
        <v>178</v>
      </c>
      <c r="G94" s="41" t="s">
        <v>28</v>
      </c>
      <c r="H94" s="41" t="s">
        <v>28</v>
      </c>
      <c r="I94" s="41" t="s">
        <v>28</v>
      </c>
      <c r="J94" s="44" t="s">
        <v>133</v>
      </c>
      <c r="K94" s="44" t="s">
        <v>133</v>
      </c>
      <c r="L94" s="44" t="s">
        <v>133</v>
      </c>
      <c r="M94" s="41" t="s">
        <v>22</v>
      </c>
      <c r="N94" s="41" t="s">
        <v>32</v>
      </c>
      <c r="O94" s="43" t="s">
        <v>33</v>
      </c>
      <c r="P94" s="41" t="s">
        <v>19</v>
      </c>
      <c r="Q94" s="41" t="s">
        <v>0</v>
      </c>
      <c r="R94" s="41" t="s">
        <v>1</v>
      </c>
      <c r="S94" s="41">
        <v>1825</v>
      </c>
      <c r="T94" s="41" t="s">
        <v>24</v>
      </c>
    </row>
    <row r="95" spans="1:22" hidden="1">
      <c r="A95" s="30" t="s">
        <v>183</v>
      </c>
    </row>
    <row r="96" spans="1:22">
      <c r="A96" s="37">
        <v>99062</v>
      </c>
      <c r="B96" s="44" t="s">
        <v>54</v>
      </c>
      <c r="C96" s="44" t="s">
        <v>40</v>
      </c>
      <c r="D96" s="41" t="s">
        <v>186</v>
      </c>
      <c r="E96" s="40" t="s">
        <v>184</v>
      </c>
      <c r="F96" s="40" t="s">
        <v>185</v>
      </c>
      <c r="G96" s="41" t="s">
        <v>28</v>
      </c>
      <c r="H96" s="41" t="s">
        <v>28</v>
      </c>
      <c r="I96" s="41" t="s">
        <v>28</v>
      </c>
      <c r="J96" s="44" t="s">
        <v>133</v>
      </c>
      <c r="K96" s="44" t="s">
        <v>133</v>
      </c>
      <c r="L96" s="44" t="s">
        <v>133</v>
      </c>
      <c r="M96" s="41" t="s">
        <v>22</v>
      </c>
      <c r="N96" s="41" t="s">
        <v>32</v>
      </c>
      <c r="O96" s="43" t="s">
        <v>33</v>
      </c>
      <c r="P96" s="41" t="s">
        <v>19</v>
      </c>
      <c r="Q96" s="41" t="s">
        <v>0</v>
      </c>
      <c r="R96" s="41" t="s">
        <v>1</v>
      </c>
      <c r="S96" s="41">
        <v>1825</v>
      </c>
      <c r="T96" s="41" t="s">
        <v>24</v>
      </c>
    </row>
    <row r="97" spans="1:20" hidden="1">
      <c r="A97" s="45" t="s">
        <v>199</v>
      </c>
    </row>
    <row r="98" spans="1:20">
      <c r="A98" s="5" t="s">
        <v>305</v>
      </c>
      <c r="B98" s="44" t="s">
        <v>54</v>
      </c>
      <c r="C98" s="44" t="s">
        <v>40</v>
      </c>
      <c r="D98" s="41" t="s">
        <v>23</v>
      </c>
      <c r="E98" s="44" t="s">
        <v>93</v>
      </c>
      <c r="F98" s="44" t="s">
        <v>94</v>
      </c>
      <c r="G98" s="41" t="s">
        <v>28</v>
      </c>
      <c r="H98" s="41" t="s">
        <v>28</v>
      </c>
      <c r="I98" s="41" t="s">
        <v>28</v>
      </c>
      <c r="J98" s="44" t="s">
        <v>188</v>
      </c>
      <c r="K98" s="44" t="s">
        <v>188</v>
      </c>
      <c r="L98" s="44" t="s">
        <v>188</v>
      </c>
      <c r="M98" s="41" t="s">
        <v>22</v>
      </c>
      <c r="N98" s="41" t="s">
        <v>32</v>
      </c>
      <c r="O98" s="43" t="s">
        <v>33</v>
      </c>
      <c r="P98" s="41" t="s">
        <v>19</v>
      </c>
      <c r="Q98" s="41" t="s">
        <v>0</v>
      </c>
      <c r="R98" s="41" t="s">
        <v>1</v>
      </c>
      <c r="S98" s="41">
        <v>1825</v>
      </c>
      <c r="T98" s="41" t="s">
        <v>24</v>
      </c>
    </row>
    <row r="99" spans="1:20">
      <c r="A99" s="45">
        <v>99064</v>
      </c>
      <c r="B99" s="44" t="s">
        <v>54</v>
      </c>
      <c r="C99" s="44" t="s">
        <v>40</v>
      </c>
      <c r="D99" s="41" t="s">
        <v>107</v>
      </c>
      <c r="E99" s="44" t="s">
        <v>189</v>
      </c>
      <c r="F99" s="44" t="s">
        <v>190</v>
      </c>
      <c r="G99" s="41" t="s">
        <v>28</v>
      </c>
      <c r="H99" s="41" t="s">
        <v>28</v>
      </c>
      <c r="I99" s="41" t="s">
        <v>28</v>
      </c>
      <c r="J99" s="44" t="s">
        <v>188</v>
      </c>
      <c r="K99" s="44" t="s">
        <v>188</v>
      </c>
      <c r="L99" s="44" t="s">
        <v>188</v>
      </c>
      <c r="M99" s="41" t="s">
        <v>22</v>
      </c>
      <c r="N99" s="41" t="s">
        <v>32</v>
      </c>
      <c r="O99" s="43" t="s">
        <v>33</v>
      </c>
      <c r="P99" s="41" t="s">
        <v>19</v>
      </c>
      <c r="Q99" s="41" t="s">
        <v>0</v>
      </c>
      <c r="R99" s="41" t="s">
        <v>1</v>
      </c>
      <c r="S99" s="41">
        <v>1825</v>
      </c>
      <c r="T99" s="41" t="s">
        <v>24</v>
      </c>
    </row>
    <row r="100" spans="1:20" hidden="1">
      <c r="A100" s="44" t="s">
        <v>200</v>
      </c>
      <c r="D100" s="41"/>
      <c r="G100" s="41"/>
      <c r="H100" s="41"/>
      <c r="I100" s="41"/>
      <c r="M100" s="41"/>
      <c r="N100" s="41"/>
      <c r="O100" s="43"/>
      <c r="P100" s="41"/>
      <c r="Q100" s="41"/>
      <c r="R100" s="41"/>
      <c r="S100" s="41"/>
      <c r="T100" s="41"/>
    </row>
    <row r="101" spans="1:20">
      <c r="A101" s="45">
        <v>99065</v>
      </c>
      <c r="B101" s="44" t="s">
        <v>54</v>
      </c>
      <c r="C101" s="44" t="s">
        <v>40</v>
      </c>
      <c r="D101" s="44" t="s">
        <v>197</v>
      </c>
      <c r="E101" s="44" t="s">
        <v>93</v>
      </c>
      <c r="F101" s="44" t="s">
        <v>94</v>
      </c>
      <c r="G101" s="41" t="s">
        <v>28</v>
      </c>
      <c r="H101" s="41" t="s">
        <v>28</v>
      </c>
      <c r="I101" s="41" t="s">
        <v>28</v>
      </c>
      <c r="J101" s="44" t="s">
        <v>194</v>
      </c>
      <c r="K101" s="44" t="s">
        <v>194</v>
      </c>
      <c r="L101" s="44" t="s">
        <v>194</v>
      </c>
      <c r="M101" s="41" t="s">
        <v>22</v>
      </c>
      <c r="N101" s="41" t="s">
        <v>32</v>
      </c>
      <c r="O101" s="43" t="s">
        <v>33</v>
      </c>
      <c r="P101" s="41" t="s">
        <v>19</v>
      </c>
      <c r="Q101" s="41" t="s">
        <v>0</v>
      </c>
      <c r="R101" s="41" t="s">
        <v>1</v>
      </c>
      <c r="S101" s="41">
        <v>1825</v>
      </c>
      <c r="T101" s="41" t="s">
        <v>24</v>
      </c>
    </row>
    <row r="102" spans="1:20" hidden="1">
      <c r="A102" s="44" t="s">
        <v>201</v>
      </c>
    </row>
    <row r="103" spans="1:20">
      <c r="A103" s="45">
        <v>99066</v>
      </c>
      <c r="B103" s="44" t="s">
        <v>54</v>
      </c>
      <c r="C103" s="44" t="s">
        <v>40</v>
      </c>
      <c r="D103" s="41" t="s">
        <v>23</v>
      </c>
      <c r="E103" s="44" t="s">
        <v>93</v>
      </c>
      <c r="F103" s="44" t="s">
        <v>94</v>
      </c>
      <c r="G103" s="41" t="s">
        <v>28</v>
      </c>
      <c r="H103" s="41" t="s">
        <v>28</v>
      </c>
      <c r="I103" s="41" t="s">
        <v>28</v>
      </c>
      <c r="J103" s="44" t="s">
        <v>195</v>
      </c>
      <c r="K103" s="44" t="s">
        <v>195</v>
      </c>
      <c r="L103" s="44" t="s">
        <v>195</v>
      </c>
      <c r="M103" s="41" t="s">
        <v>22</v>
      </c>
      <c r="N103" s="41" t="s">
        <v>32</v>
      </c>
      <c r="O103" s="43" t="s">
        <v>33</v>
      </c>
      <c r="P103" s="41" t="s">
        <v>19</v>
      </c>
      <c r="Q103" s="41" t="s">
        <v>0</v>
      </c>
      <c r="R103" s="41" t="s">
        <v>1</v>
      </c>
      <c r="S103" s="41">
        <v>1825</v>
      </c>
      <c r="T103" s="41" t="s">
        <v>24</v>
      </c>
    </row>
    <row r="104" spans="1:20" hidden="1">
      <c r="A104" s="44" t="s">
        <v>202</v>
      </c>
    </row>
    <row r="105" spans="1:20">
      <c r="A105" s="45">
        <v>99067</v>
      </c>
      <c r="B105" s="44" t="s">
        <v>54</v>
      </c>
      <c r="C105" s="44" t="s">
        <v>40</v>
      </c>
      <c r="D105" s="44" t="s">
        <v>198</v>
      </c>
      <c r="E105" s="44" t="s">
        <v>93</v>
      </c>
      <c r="F105" s="44" t="s">
        <v>94</v>
      </c>
      <c r="G105" s="41" t="s">
        <v>28</v>
      </c>
      <c r="H105" s="41" t="s">
        <v>28</v>
      </c>
      <c r="I105" s="41" t="s">
        <v>28</v>
      </c>
      <c r="J105" s="44" t="s">
        <v>196</v>
      </c>
      <c r="K105" s="44" t="s">
        <v>196</v>
      </c>
      <c r="L105" s="44" t="s">
        <v>196</v>
      </c>
      <c r="M105" s="41" t="s">
        <v>22</v>
      </c>
      <c r="N105" s="41" t="s">
        <v>32</v>
      </c>
      <c r="O105" s="43" t="s">
        <v>33</v>
      </c>
      <c r="P105" s="41" t="s">
        <v>19</v>
      </c>
      <c r="Q105" s="41" t="s">
        <v>0</v>
      </c>
      <c r="R105" s="41" t="s">
        <v>1</v>
      </c>
      <c r="S105" s="41">
        <v>1825</v>
      </c>
      <c r="T105" s="41" t="s">
        <v>24</v>
      </c>
    </row>
    <row r="106" spans="1:20" hidden="1">
      <c r="A106" s="45" t="s">
        <v>203</v>
      </c>
    </row>
    <row r="107" spans="1:20" hidden="1">
      <c r="A107" s="39">
        <v>99068</v>
      </c>
      <c r="B107" s="44" t="s">
        <v>54</v>
      </c>
      <c r="C107" s="44" t="s">
        <v>40</v>
      </c>
      <c r="D107" s="44" t="s">
        <v>198</v>
      </c>
      <c r="E107" s="44" t="s">
        <v>93</v>
      </c>
      <c r="F107" s="44" t="s">
        <v>94</v>
      </c>
      <c r="G107" s="41" t="s">
        <v>27</v>
      </c>
      <c r="H107" s="41" t="s">
        <v>27</v>
      </c>
      <c r="I107" s="41" t="s">
        <v>27</v>
      </c>
      <c r="J107" s="44" t="s">
        <v>194</v>
      </c>
      <c r="K107" s="44" t="s">
        <v>194</v>
      </c>
      <c r="L107" s="44" t="s">
        <v>194</v>
      </c>
      <c r="M107" s="41" t="s">
        <v>22</v>
      </c>
      <c r="N107" s="41" t="s">
        <v>32</v>
      </c>
      <c r="O107" s="43" t="s">
        <v>33</v>
      </c>
      <c r="P107" s="41" t="s">
        <v>19</v>
      </c>
      <c r="Q107" s="41" t="s">
        <v>0</v>
      </c>
      <c r="R107" s="41" t="s">
        <v>1</v>
      </c>
      <c r="S107" s="41">
        <v>1825</v>
      </c>
      <c r="T107" s="41" t="s">
        <v>24</v>
      </c>
    </row>
    <row r="108" spans="1:20" hidden="1">
      <c r="A108" s="39">
        <v>99069</v>
      </c>
      <c r="B108" s="44" t="s">
        <v>54</v>
      </c>
      <c r="C108" s="44" t="s">
        <v>40</v>
      </c>
      <c r="D108" s="44" t="s">
        <v>198</v>
      </c>
      <c r="E108" s="44" t="s">
        <v>93</v>
      </c>
      <c r="F108" s="44" t="s">
        <v>94</v>
      </c>
      <c r="G108" s="41" t="s">
        <v>27</v>
      </c>
      <c r="H108" s="41" t="s">
        <v>27</v>
      </c>
      <c r="I108" s="41" t="s">
        <v>27</v>
      </c>
      <c r="J108" s="44" t="s">
        <v>204</v>
      </c>
      <c r="K108" s="44" t="s">
        <v>204</v>
      </c>
      <c r="L108" s="44" t="s">
        <v>204</v>
      </c>
      <c r="M108" s="41" t="s">
        <v>22</v>
      </c>
      <c r="N108" s="41" t="s">
        <v>32</v>
      </c>
      <c r="O108" s="43" t="s">
        <v>33</v>
      </c>
      <c r="P108" s="41" t="s">
        <v>19</v>
      </c>
      <c r="Q108" s="41" t="s">
        <v>0</v>
      </c>
      <c r="R108" s="41" t="s">
        <v>1</v>
      </c>
      <c r="S108" s="41">
        <v>1825</v>
      </c>
      <c r="T108" s="41" t="s">
        <v>24</v>
      </c>
    </row>
    <row r="109" spans="1:20" hidden="1">
      <c r="A109" s="45">
        <v>99070</v>
      </c>
      <c r="B109" s="44" t="s">
        <v>54</v>
      </c>
      <c r="C109" s="44" t="s">
        <v>40</v>
      </c>
      <c r="D109" s="44" t="s">
        <v>198</v>
      </c>
      <c r="E109" s="44" t="s">
        <v>93</v>
      </c>
      <c r="F109" s="44" t="s">
        <v>94</v>
      </c>
      <c r="G109" s="41" t="s">
        <v>27</v>
      </c>
      <c r="H109" s="41" t="s">
        <v>27</v>
      </c>
      <c r="I109" s="41" t="s">
        <v>27</v>
      </c>
      <c r="J109" s="44" t="s">
        <v>205</v>
      </c>
      <c r="K109" s="44" t="s">
        <v>205</v>
      </c>
      <c r="L109" s="44" t="s">
        <v>205</v>
      </c>
      <c r="M109" s="41" t="s">
        <v>22</v>
      </c>
      <c r="N109" s="41" t="s">
        <v>32</v>
      </c>
      <c r="O109" s="43" t="s">
        <v>33</v>
      </c>
      <c r="P109" s="41" t="s">
        <v>19</v>
      </c>
      <c r="Q109" s="41" t="s">
        <v>0</v>
      </c>
      <c r="R109" s="41" t="s">
        <v>1</v>
      </c>
      <c r="S109" s="41">
        <v>1825</v>
      </c>
      <c r="T109" s="41" t="s">
        <v>24</v>
      </c>
    </row>
    <row r="110" spans="1:20" hidden="1">
      <c r="A110" s="39">
        <v>99071</v>
      </c>
      <c r="B110" s="44" t="s">
        <v>54</v>
      </c>
      <c r="C110" s="44" t="s">
        <v>40</v>
      </c>
      <c r="D110" s="44" t="s">
        <v>198</v>
      </c>
      <c r="E110" s="44" t="s">
        <v>93</v>
      </c>
      <c r="F110" s="44" t="s">
        <v>94</v>
      </c>
      <c r="G110" s="41" t="s">
        <v>206</v>
      </c>
      <c r="H110" s="41" t="s">
        <v>206</v>
      </c>
      <c r="I110" s="41" t="s">
        <v>206</v>
      </c>
      <c r="J110" s="44" t="s">
        <v>194</v>
      </c>
      <c r="K110" s="44" t="s">
        <v>194</v>
      </c>
      <c r="L110" s="44" t="s">
        <v>194</v>
      </c>
      <c r="M110" s="41" t="s">
        <v>22</v>
      </c>
      <c r="N110" s="41" t="s">
        <v>32</v>
      </c>
      <c r="O110" s="43" t="s">
        <v>33</v>
      </c>
      <c r="P110" s="41" t="s">
        <v>19</v>
      </c>
      <c r="Q110" s="41" t="s">
        <v>0</v>
      </c>
      <c r="R110" s="41" t="s">
        <v>1</v>
      </c>
      <c r="S110" s="41">
        <v>1825</v>
      </c>
      <c r="T110" s="41" t="s">
        <v>24</v>
      </c>
    </row>
    <row r="111" spans="1:20" hidden="1">
      <c r="A111" s="39">
        <v>99072</v>
      </c>
      <c r="B111" s="44" t="s">
        <v>54</v>
      </c>
      <c r="C111" s="44" t="s">
        <v>40</v>
      </c>
      <c r="D111" s="44" t="s">
        <v>198</v>
      </c>
      <c r="E111" s="44" t="s">
        <v>93</v>
      </c>
      <c r="F111" s="44" t="s">
        <v>94</v>
      </c>
      <c r="G111" s="41" t="s">
        <v>206</v>
      </c>
      <c r="H111" s="41" t="s">
        <v>206</v>
      </c>
      <c r="I111" s="41" t="s">
        <v>206</v>
      </c>
      <c r="J111" s="44" t="s">
        <v>204</v>
      </c>
      <c r="K111" s="44" t="s">
        <v>204</v>
      </c>
      <c r="L111" s="44" t="s">
        <v>204</v>
      </c>
      <c r="M111" s="41" t="s">
        <v>22</v>
      </c>
      <c r="N111" s="41" t="s">
        <v>32</v>
      </c>
      <c r="O111" s="43" t="s">
        <v>33</v>
      </c>
      <c r="P111" s="41" t="s">
        <v>19</v>
      </c>
      <c r="Q111" s="41" t="s">
        <v>0</v>
      </c>
      <c r="R111" s="41" t="s">
        <v>1</v>
      </c>
      <c r="S111" s="41">
        <v>1825</v>
      </c>
      <c r="T111" s="41" t="s">
        <v>24</v>
      </c>
    </row>
    <row r="112" spans="1:20" hidden="1">
      <c r="A112" s="45">
        <v>99073</v>
      </c>
      <c r="B112" s="44" t="s">
        <v>54</v>
      </c>
      <c r="C112" s="44" t="s">
        <v>40</v>
      </c>
      <c r="D112" s="44" t="s">
        <v>198</v>
      </c>
      <c r="E112" s="44" t="s">
        <v>93</v>
      </c>
      <c r="F112" s="44" t="s">
        <v>94</v>
      </c>
      <c r="G112" s="41" t="s">
        <v>206</v>
      </c>
      <c r="H112" s="41" t="s">
        <v>206</v>
      </c>
      <c r="I112" s="41" t="s">
        <v>206</v>
      </c>
      <c r="J112" s="44" t="s">
        <v>205</v>
      </c>
      <c r="K112" s="44" t="s">
        <v>205</v>
      </c>
      <c r="L112" s="44" t="s">
        <v>205</v>
      </c>
      <c r="M112" s="41" t="s">
        <v>22</v>
      </c>
      <c r="N112" s="41" t="s">
        <v>32</v>
      </c>
      <c r="O112" s="43" t="s">
        <v>33</v>
      </c>
      <c r="P112" s="41" t="s">
        <v>19</v>
      </c>
      <c r="Q112" s="41" t="s">
        <v>0</v>
      </c>
      <c r="R112" s="41" t="s">
        <v>1</v>
      </c>
      <c r="S112" s="41">
        <v>1825</v>
      </c>
      <c r="T112" s="41" t="s">
        <v>24</v>
      </c>
    </row>
    <row r="113" spans="1:20" hidden="1">
      <c r="A113" s="45" t="s">
        <v>210</v>
      </c>
      <c r="G113" s="41"/>
      <c r="H113" s="41"/>
      <c r="I113" s="41"/>
      <c r="M113" s="41"/>
      <c r="N113" s="41"/>
      <c r="O113" s="43"/>
      <c r="P113" s="41"/>
      <c r="Q113" s="41"/>
      <c r="R113" s="41"/>
      <c r="S113" s="41"/>
      <c r="T113" s="41"/>
    </row>
    <row r="114" spans="1:20" hidden="1">
      <c r="A114" s="45">
        <v>99074</v>
      </c>
      <c r="B114" s="44" t="s">
        <v>54</v>
      </c>
      <c r="C114" s="44" t="s">
        <v>40</v>
      </c>
      <c r="D114" s="44" t="s">
        <v>198</v>
      </c>
      <c r="E114" s="44" t="s">
        <v>93</v>
      </c>
      <c r="F114" s="44" t="s">
        <v>94</v>
      </c>
      <c r="G114" s="41" t="s">
        <v>207</v>
      </c>
      <c r="H114" s="41" t="s">
        <v>207</v>
      </c>
      <c r="I114" s="41" t="s">
        <v>207</v>
      </c>
      <c r="J114" s="44" t="s">
        <v>205</v>
      </c>
      <c r="K114" s="44" t="s">
        <v>205</v>
      </c>
      <c r="L114" s="44" t="s">
        <v>205</v>
      </c>
      <c r="M114" s="41" t="s">
        <v>22</v>
      </c>
      <c r="N114" s="41" t="s">
        <v>32</v>
      </c>
      <c r="O114" s="43" t="s">
        <v>33</v>
      </c>
      <c r="P114" s="41" t="s">
        <v>19</v>
      </c>
      <c r="Q114" s="41" t="s">
        <v>0</v>
      </c>
      <c r="R114" s="41" t="s">
        <v>1</v>
      </c>
      <c r="S114" s="41">
        <v>1825</v>
      </c>
      <c r="T114" s="41" t="s">
        <v>24</v>
      </c>
    </row>
    <row r="115" spans="1:20" hidden="1">
      <c r="A115" s="45">
        <v>99075</v>
      </c>
      <c r="B115" s="44" t="s">
        <v>54</v>
      </c>
      <c r="C115" s="44" t="s">
        <v>40</v>
      </c>
      <c r="D115" s="44" t="s">
        <v>198</v>
      </c>
      <c r="E115" s="44" t="s">
        <v>93</v>
      </c>
      <c r="F115" s="44" t="s">
        <v>94</v>
      </c>
      <c r="G115" s="42" t="s">
        <v>208</v>
      </c>
      <c r="H115" s="42" t="s">
        <v>208</v>
      </c>
      <c r="I115" s="42" t="s">
        <v>208</v>
      </c>
      <c r="J115" s="44" t="s">
        <v>205</v>
      </c>
      <c r="K115" s="44" t="s">
        <v>205</v>
      </c>
      <c r="L115" s="44" t="s">
        <v>205</v>
      </c>
      <c r="M115" s="41" t="s">
        <v>22</v>
      </c>
      <c r="N115" s="41" t="s">
        <v>32</v>
      </c>
      <c r="O115" s="43" t="s">
        <v>33</v>
      </c>
      <c r="P115" s="41" t="s">
        <v>19</v>
      </c>
      <c r="Q115" s="41" t="s">
        <v>0</v>
      </c>
      <c r="R115" s="41" t="s">
        <v>1</v>
      </c>
      <c r="S115" s="41">
        <v>1825</v>
      </c>
      <c r="T115" s="41" t="s">
        <v>24</v>
      </c>
    </row>
    <row r="116" spans="1:20" hidden="1">
      <c r="A116" s="45">
        <v>99076</v>
      </c>
      <c r="B116" s="44" t="s">
        <v>54</v>
      </c>
      <c r="C116" s="44" t="s">
        <v>40</v>
      </c>
      <c r="D116" s="44" t="s">
        <v>198</v>
      </c>
      <c r="E116" s="44" t="s">
        <v>93</v>
      </c>
      <c r="F116" s="44" t="s">
        <v>94</v>
      </c>
      <c r="G116" s="42" t="s">
        <v>209</v>
      </c>
      <c r="H116" s="42" t="s">
        <v>209</v>
      </c>
      <c r="I116" s="42" t="s">
        <v>209</v>
      </c>
      <c r="J116" s="44" t="s">
        <v>205</v>
      </c>
      <c r="K116" s="44" t="s">
        <v>205</v>
      </c>
      <c r="L116" s="44" t="s">
        <v>205</v>
      </c>
      <c r="M116" s="41" t="s">
        <v>22</v>
      </c>
      <c r="N116" s="41" t="s">
        <v>32</v>
      </c>
      <c r="O116" s="43" t="s">
        <v>33</v>
      </c>
      <c r="P116" s="41" t="s">
        <v>19</v>
      </c>
      <c r="Q116" s="41" t="s">
        <v>0</v>
      </c>
      <c r="R116" s="41" t="s">
        <v>1</v>
      </c>
      <c r="S116" s="41">
        <v>1825</v>
      </c>
      <c r="T116" s="41" t="s">
        <v>24</v>
      </c>
    </row>
    <row r="117" spans="1:20" hidden="1">
      <c r="A117" s="45">
        <v>99077</v>
      </c>
      <c r="B117" s="44" t="s">
        <v>54</v>
      </c>
      <c r="C117" s="44" t="s">
        <v>40</v>
      </c>
      <c r="D117" s="44" t="s">
        <v>198</v>
      </c>
      <c r="E117" s="44" t="s">
        <v>93</v>
      </c>
      <c r="F117" s="44" t="s">
        <v>94</v>
      </c>
      <c r="G117" s="41" t="s">
        <v>207</v>
      </c>
      <c r="H117" s="41" t="s">
        <v>207</v>
      </c>
      <c r="I117" s="41" t="s">
        <v>207</v>
      </c>
      <c r="J117" s="44" t="s">
        <v>204</v>
      </c>
      <c r="K117" s="44" t="s">
        <v>204</v>
      </c>
      <c r="L117" s="44" t="s">
        <v>204</v>
      </c>
      <c r="M117" s="41" t="s">
        <v>22</v>
      </c>
      <c r="N117" s="41" t="s">
        <v>32</v>
      </c>
      <c r="O117" s="43" t="s">
        <v>33</v>
      </c>
      <c r="P117" s="41" t="s">
        <v>19</v>
      </c>
      <c r="Q117" s="41" t="s">
        <v>0</v>
      </c>
      <c r="R117" s="41" t="s">
        <v>1</v>
      </c>
      <c r="S117" s="41">
        <v>1825</v>
      </c>
      <c r="T117" s="41" t="s">
        <v>24</v>
      </c>
    </row>
    <row r="118" spans="1:20" hidden="1">
      <c r="A118" s="45">
        <v>99078</v>
      </c>
      <c r="B118" s="44" t="s">
        <v>54</v>
      </c>
      <c r="C118" s="44" t="s">
        <v>40</v>
      </c>
      <c r="D118" s="44" t="s">
        <v>198</v>
      </c>
      <c r="E118" s="44" t="s">
        <v>93</v>
      </c>
      <c r="F118" s="44" t="s">
        <v>94</v>
      </c>
      <c r="G118" s="42" t="s">
        <v>208</v>
      </c>
      <c r="H118" s="42" t="s">
        <v>208</v>
      </c>
      <c r="I118" s="42" t="s">
        <v>208</v>
      </c>
      <c r="J118" s="44" t="s">
        <v>204</v>
      </c>
      <c r="K118" s="44" t="s">
        <v>204</v>
      </c>
      <c r="L118" s="44" t="s">
        <v>204</v>
      </c>
      <c r="M118" s="41" t="s">
        <v>22</v>
      </c>
      <c r="N118" s="41" t="s">
        <v>32</v>
      </c>
      <c r="O118" s="43" t="s">
        <v>33</v>
      </c>
      <c r="P118" s="41" t="s">
        <v>19</v>
      </c>
      <c r="Q118" s="41" t="s">
        <v>0</v>
      </c>
      <c r="R118" s="41" t="s">
        <v>1</v>
      </c>
      <c r="S118" s="41">
        <v>1825</v>
      </c>
      <c r="T118" s="41" t="s">
        <v>24</v>
      </c>
    </row>
    <row r="119" spans="1:20" hidden="1">
      <c r="A119" s="45">
        <v>99079</v>
      </c>
      <c r="B119" s="44" t="s">
        <v>54</v>
      </c>
      <c r="C119" s="44" t="s">
        <v>40</v>
      </c>
      <c r="D119" s="44" t="s">
        <v>198</v>
      </c>
      <c r="E119" s="44" t="s">
        <v>93</v>
      </c>
      <c r="F119" s="44" t="s">
        <v>94</v>
      </c>
      <c r="G119" s="42" t="s">
        <v>209</v>
      </c>
      <c r="H119" s="42" t="s">
        <v>209</v>
      </c>
      <c r="I119" s="42" t="s">
        <v>209</v>
      </c>
      <c r="J119" s="44" t="s">
        <v>204</v>
      </c>
      <c r="K119" s="44" t="s">
        <v>204</v>
      </c>
      <c r="L119" s="44" t="s">
        <v>204</v>
      </c>
      <c r="M119" s="41" t="s">
        <v>22</v>
      </c>
      <c r="N119" s="41" t="s">
        <v>32</v>
      </c>
      <c r="O119" s="43" t="s">
        <v>33</v>
      </c>
      <c r="P119" s="41" t="s">
        <v>19</v>
      </c>
      <c r="Q119" s="41" t="s">
        <v>0</v>
      </c>
      <c r="R119" s="41" t="s">
        <v>1</v>
      </c>
      <c r="S119" s="41">
        <v>1825</v>
      </c>
      <c r="T119" s="41" t="s">
        <v>24</v>
      </c>
    </row>
    <row r="120" spans="1:20" hidden="1">
      <c r="A120" s="44" t="s">
        <v>211</v>
      </c>
    </row>
    <row r="121" spans="1:20">
      <c r="A121" s="45" t="s">
        <v>306</v>
      </c>
      <c r="B121" s="44" t="s">
        <v>54</v>
      </c>
      <c r="C121" s="44" t="s">
        <v>40</v>
      </c>
      <c r="D121" s="44" t="s">
        <v>212</v>
      </c>
      <c r="E121" s="44" t="s">
        <v>93</v>
      </c>
      <c r="F121" s="44" t="s">
        <v>94</v>
      </c>
      <c r="G121" s="41" t="s">
        <v>28</v>
      </c>
      <c r="H121" s="41" t="s">
        <v>28</v>
      </c>
      <c r="I121" s="41" t="s">
        <v>28</v>
      </c>
      <c r="J121" s="41" t="s">
        <v>60</v>
      </c>
      <c r="K121" s="41" t="s">
        <v>60</v>
      </c>
      <c r="L121" s="41" t="s">
        <v>60</v>
      </c>
      <c r="M121" s="41" t="s">
        <v>22</v>
      </c>
      <c r="N121" s="41" t="s">
        <v>32</v>
      </c>
      <c r="O121" s="43" t="s">
        <v>33</v>
      </c>
      <c r="P121" s="41" t="s">
        <v>19</v>
      </c>
      <c r="Q121" s="41" t="s">
        <v>0</v>
      </c>
      <c r="R121" s="41" t="s">
        <v>1</v>
      </c>
      <c r="S121" s="41">
        <v>1825</v>
      </c>
      <c r="T121" s="41" t="s">
        <v>24</v>
      </c>
    </row>
    <row r="122" spans="1:20" hidden="1">
      <c r="A122" s="45">
        <v>99081</v>
      </c>
      <c r="B122" s="44" t="s">
        <v>54</v>
      </c>
      <c r="C122" s="44" t="s">
        <v>40</v>
      </c>
      <c r="D122" s="44" t="s">
        <v>213</v>
      </c>
      <c r="E122" s="44" t="s">
        <v>93</v>
      </c>
      <c r="F122" s="44" t="s">
        <v>94</v>
      </c>
      <c r="G122" s="41" t="s">
        <v>27</v>
      </c>
      <c r="H122" s="41" t="s">
        <v>27</v>
      </c>
      <c r="I122" s="41" t="s">
        <v>27</v>
      </c>
      <c r="J122" s="41" t="s">
        <v>60</v>
      </c>
      <c r="K122" s="41" t="s">
        <v>60</v>
      </c>
      <c r="L122" s="41" t="s">
        <v>60</v>
      </c>
      <c r="M122" s="41" t="s">
        <v>22</v>
      </c>
      <c r="N122" s="41" t="s">
        <v>32</v>
      </c>
      <c r="O122" s="43" t="s">
        <v>33</v>
      </c>
      <c r="P122" s="41" t="s">
        <v>19</v>
      </c>
      <c r="Q122" s="41" t="s">
        <v>0</v>
      </c>
      <c r="R122" s="41" t="s">
        <v>1</v>
      </c>
      <c r="S122" s="41">
        <v>1825</v>
      </c>
      <c r="T122" s="41" t="s">
        <v>24</v>
      </c>
    </row>
    <row r="123" spans="1:20" hidden="1">
      <c r="A123" s="45">
        <v>99082</v>
      </c>
      <c r="B123" s="44" t="s">
        <v>54</v>
      </c>
      <c r="C123" s="44" t="s">
        <v>40</v>
      </c>
      <c r="D123" s="44" t="s">
        <v>23</v>
      </c>
      <c r="E123" s="44" t="s">
        <v>93</v>
      </c>
      <c r="F123" s="44" t="s">
        <v>94</v>
      </c>
      <c r="G123" s="42" t="s">
        <v>206</v>
      </c>
      <c r="H123" s="42" t="s">
        <v>206</v>
      </c>
      <c r="I123" s="42" t="s">
        <v>206</v>
      </c>
      <c r="J123" s="41" t="s">
        <v>60</v>
      </c>
      <c r="K123" s="41" t="s">
        <v>60</v>
      </c>
      <c r="L123" s="41" t="s">
        <v>60</v>
      </c>
      <c r="M123" s="41" t="s">
        <v>22</v>
      </c>
      <c r="N123" s="41" t="s">
        <v>32</v>
      </c>
      <c r="O123" s="43" t="s">
        <v>33</v>
      </c>
      <c r="P123" s="41" t="s">
        <v>19</v>
      </c>
      <c r="Q123" s="41" t="s">
        <v>0</v>
      </c>
      <c r="R123" s="41" t="s">
        <v>1</v>
      </c>
      <c r="S123" s="41">
        <v>1825</v>
      </c>
      <c r="T123" s="41" t="s">
        <v>24</v>
      </c>
    </row>
    <row r="124" spans="1:20">
      <c r="A124" s="45" t="s">
        <v>307</v>
      </c>
      <c r="B124" s="44" t="s">
        <v>54</v>
      </c>
      <c r="C124" s="44" t="s">
        <v>40</v>
      </c>
      <c r="D124" s="44" t="s">
        <v>214</v>
      </c>
      <c r="E124" s="44" t="s">
        <v>93</v>
      </c>
      <c r="F124" s="44" t="s">
        <v>94</v>
      </c>
      <c r="G124" s="41" t="s">
        <v>28</v>
      </c>
      <c r="H124" s="41" t="s">
        <v>28</v>
      </c>
      <c r="I124" s="41" t="s">
        <v>28</v>
      </c>
      <c r="J124" s="41" t="s">
        <v>61</v>
      </c>
      <c r="K124" s="41" t="s">
        <v>61</v>
      </c>
      <c r="L124" s="41" t="s">
        <v>61</v>
      </c>
      <c r="M124" s="41" t="s">
        <v>22</v>
      </c>
      <c r="N124" s="41" t="s">
        <v>32</v>
      </c>
      <c r="O124" s="43" t="s">
        <v>33</v>
      </c>
      <c r="P124" s="41" t="s">
        <v>19</v>
      </c>
      <c r="Q124" s="41" t="s">
        <v>0</v>
      </c>
      <c r="R124" s="41" t="s">
        <v>1</v>
      </c>
      <c r="S124" s="41">
        <v>1825</v>
      </c>
      <c r="T124" s="41" t="s">
        <v>24</v>
      </c>
    </row>
    <row r="125" spans="1:20" hidden="1">
      <c r="A125" s="45">
        <v>99084</v>
      </c>
      <c r="B125" s="44" t="s">
        <v>54</v>
      </c>
      <c r="C125" s="44" t="s">
        <v>40</v>
      </c>
      <c r="D125" s="44" t="s">
        <v>215</v>
      </c>
      <c r="E125" s="44" t="s">
        <v>93</v>
      </c>
      <c r="F125" s="44" t="s">
        <v>94</v>
      </c>
      <c r="G125" s="41" t="s">
        <v>27</v>
      </c>
      <c r="H125" s="41" t="s">
        <v>27</v>
      </c>
      <c r="I125" s="41" t="s">
        <v>27</v>
      </c>
      <c r="J125" s="41" t="s">
        <v>61</v>
      </c>
      <c r="K125" s="41" t="s">
        <v>61</v>
      </c>
      <c r="L125" s="41" t="s">
        <v>61</v>
      </c>
      <c r="M125" s="41" t="s">
        <v>22</v>
      </c>
      <c r="N125" s="41" t="s">
        <v>32</v>
      </c>
      <c r="O125" s="43" t="s">
        <v>33</v>
      </c>
      <c r="P125" s="41" t="s">
        <v>19</v>
      </c>
      <c r="Q125" s="41" t="s">
        <v>0</v>
      </c>
      <c r="R125" s="41" t="s">
        <v>1</v>
      </c>
      <c r="S125" s="41">
        <v>1825</v>
      </c>
      <c r="T125" s="41" t="s">
        <v>24</v>
      </c>
    </row>
    <row r="126" spans="1:20" hidden="1">
      <c r="A126" s="45">
        <v>99085</v>
      </c>
      <c r="B126" s="44" t="s">
        <v>54</v>
      </c>
      <c r="C126" s="44" t="s">
        <v>40</v>
      </c>
      <c r="D126" s="44" t="s">
        <v>23</v>
      </c>
      <c r="E126" s="44" t="s">
        <v>93</v>
      </c>
      <c r="F126" s="44" t="s">
        <v>94</v>
      </c>
      <c r="G126" s="42" t="s">
        <v>206</v>
      </c>
      <c r="H126" s="42" t="s">
        <v>206</v>
      </c>
      <c r="I126" s="42" t="s">
        <v>206</v>
      </c>
      <c r="J126" s="41" t="s">
        <v>61</v>
      </c>
      <c r="K126" s="41" t="s">
        <v>61</v>
      </c>
      <c r="L126" s="41" t="s">
        <v>61</v>
      </c>
      <c r="M126" s="41" t="s">
        <v>22</v>
      </c>
      <c r="N126" s="41" t="s">
        <v>32</v>
      </c>
      <c r="O126" s="43" t="s">
        <v>33</v>
      </c>
      <c r="P126" s="41" t="s">
        <v>19</v>
      </c>
      <c r="Q126" s="41" t="s">
        <v>0</v>
      </c>
      <c r="R126" s="41" t="s">
        <v>1</v>
      </c>
      <c r="S126" s="41">
        <v>1825</v>
      </c>
      <c r="T126" s="41" t="s">
        <v>24</v>
      </c>
    </row>
    <row r="127" spans="1:20">
      <c r="A127" s="45" t="s">
        <v>308</v>
      </c>
      <c r="B127" s="44" t="s">
        <v>54</v>
      </c>
      <c r="C127" s="44" t="s">
        <v>40</v>
      </c>
      <c r="D127" s="44" t="s">
        <v>219</v>
      </c>
      <c r="E127" s="44" t="s">
        <v>93</v>
      </c>
      <c r="F127" s="44" t="s">
        <v>94</v>
      </c>
      <c r="G127" s="41" t="s">
        <v>28</v>
      </c>
      <c r="H127" s="41" t="s">
        <v>28</v>
      </c>
      <c r="I127" s="41" t="s">
        <v>28</v>
      </c>
      <c r="J127" s="41" t="s">
        <v>220</v>
      </c>
      <c r="K127" s="41" t="s">
        <v>220</v>
      </c>
      <c r="L127" s="41" t="s">
        <v>220</v>
      </c>
      <c r="M127" s="41" t="s">
        <v>22</v>
      </c>
      <c r="N127" s="41" t="s">
        <v>32</v>
      </c>
      <c r="O127" s="43" t="s">
        <v>33</v>
      </c>
      <c r="P127" s="41" t="s">
        <v>19</v>
      </c>
      <c r="Q127" s="41" t="s">
        <v>0</v>
      </c>
      <c r="R127" s="41" t="s">
        <v>1</v>
      </c>
      <c r="S127" s="41">
        <v>1825</v>
      </c>
      <c r="T127" s="41" t="s">
        <v>24</v>
      </c>
    </row>
    <row r="128" spans="1:20" hidden="1">
      <c r="A128" s="45">
        <v>99087</v>
      </c>
      <c r="B128" s="44" t="s">
        <v>54</v>
      </c>
      <c r="C128" s="44" t="s">
        <v>40</v>
      </c>
      <c r="D128" s="44" t="s">
        <v>219</v>
      </c>
      <c r="E128" s="44" t="s">
        <v>93</v>
      </c>
      <c r="F128" s="44" t="s">
        <v>94</v>
      </c>
      <c r="G128" s="41" t="s">
        <v>27</v>
      </c>
      <c r="H128" s="41" t="s">
        <v>27</v>
      </c>
      <c r="I128" s="41" t="s">
        <v>27</v>
      </c>
      <c r="J128" s="41" t="s">
        <v>220</v>
      </c>
      <c r="K128" s="41" t="s">
        <v>220</v>
      </c>
      <c r="L128" s="41" t="s">
        <v>220</v>
      </c>
      <c r="M128" s="41" t="s">
        <v>22</v>
      </c>
      <c r="N128" s="41" t="s">
        <v>32</v>
      </c>
      <c r="O128" s="43" t="s">
        <v>33</v>
      </c>
      <c r="P128" s="41" t="s">
        <v>19</v>
      </c>
      <c r="Q128" s="41" t="s">
        <v>0</v>
      </c>
      <c r="R128" s="41" t="s">
        <v>1</v>
      </c>
      <c r="S128" s="41">
        <v>1825</v>
      </c>
      <c r="T128" s="41" t="s">
        <v>24</v>
      </c>
    </row>
    <row r="129" spans="1:20" hidden="1">
      <c r="A129" s="45">
        <v>99088</v>
      </c>
      <c r="B129" s="44" t="s">
        <v>54</v>
      </c>
      <c r="C129" s="44" t="s">
        <v>40</v>
      </c>
      <c r="D129" s="44" t="s">
        <v>23</v>
      </c>
      <c r="E129" s="44" t="s">
        <v>93</v>
      </c>
      <c r="F129" s="44" t="s">
        <v>94</v>
      </c>
      <c r="G129" s="42" t="s">
        <v>206</v>
      </c>
      <c r="H129" s="42" t="s">
        <v>206</v>
      </c>
      <c r="I129" s="42" t="s">
        <v>206</v>
      </c>
      <c r="J129" s="41" t="s">
        <v>220</v>
      </c>
      <c r="K129" s="41" t="s">
        <v>220</v>
      </c>
      <c r="L129" s="41" t="s">
        <v>220</v>
      </c>
      <c r="M129" s="41" t="s">
        <v>22</v>
      </c>
      <c r="N129" s="41" t="s">
        <v>32</v>
      </c>
      <c r="O129" s="43" t="s">
        <v>33</v>
      </c>
      <c r="P129" s="41" t="s">
        <v>19</v>
      </c>
      <c r="Q129" s="41" t="s">
        <v>0</v>
      </c>
      <c r="R129" s="41" t="s">
        <v>1</v>
      </c>
      <c r="S129" s="41">
        <v>1825</v>
      </c>
      <c r="T129" s="41" t="s">
        <v>24</v>
      </c>
    </row>
    <row r="130" spans="1:20">
      <c r="A130" s="45" t="s">
        <v>309</v>
      </c>
      <c r="B130" s="44" t="s">
        <v>54</v>
      </c>
      <c r="C130" s="44" t="s">
        <v>40</v>
      </c>
      <c r="D130" s="44" t="s">
        <v>219</v>
      </c>
      <c r="E130" s="44" t="s">
        <v>93</v>
      </c>
      <c r="F130" s="44" t="s">
        <v>94</v>
      </c>
      <c r="G130" s="41" t="s">
        <v>28</v>
      </c>
      <c r="H130" s="41" t="s">
        <v>28</v>
      </c>
      <c r="I130" s="41" t="s">
        <v>28</v>
      </c>
      <c r="J130" s="41" t="s">
        <v>221</v>
      </c>
      <c r="K130" s="41" t="s">
        <v>221</v>
      </c>
      <c r="L130" s="41" t="s">
        <v>221</v>
      </c>
      <c r="M130" s="41" t="s">
        <v>22</v>
      </c>
      <c r="N130" s="41" t="s">
        <v>32</v>
      </c>
      <c r="O130" s="43" t="s">
        <v>33</v>
      </c>
      <c r="P130" s="41" t="s">
        <v>19</v>
      </c>
      <c r="Q130" s="41" t="s">
        <v>0</v>
      </c>
      <c r="R130" s="41" t="s">
        <v>1</v>
      </c>
      <c r="S130" s="41">
        <v>1825</v>
      </c>
      <c r="T130" s="41" t="s">
        <v>24</v>
      </c>
    </row>
    <row r="131" spans="1:20" hidden="1">
      <c r="A131" s="45">
        <v>99090</v>
      </c>
      <c r="B131" s="44" t="s">
        <v>54</v>
      </c>
      <c r="C131" s="44" t="s">
        <v>40</v>
      </c>
      <c r="D131" s="44" t="s">
        <v>219</v>
      </c>
      <c r="E131" s="44" t="s">
        <v>93</v>
      </c>
      <c r="F131" s="44" t="s">
        <v>94</v>
      </c>
      <c r="G131" s="41" t="s">
        <v>27</v>
      </c>
      <c r="H131" s="41" t="s">
        <v>27</v>
      </c>
      <c r="I131" s="41" t="s">
        <v>27</v>
      </c>
      <c r="J131" s="41" t="s">
        <v>221</v>
      </c>
      <c r="K131" s="41" t="s">
        <v>221</v>
      </c>
      <c r="L131" s="41" t="s">
        <v>221</v>
      </c>
      <c r="M131" s="41" t="s">
        <v>22</v>
      </c>
      <c r="N131" s="41" t="s">
        <v>32</v>
      </c>
      <c r="O131" s="43" t="s">
        <v>33</v>
      </c>
      <c r="P131" s="41" t="s">
        <v>19</v>
      </c>
      <c r="Q131" s="41" t="s">
        <v>0</v>
      </c>
      <c r="R131" s="41" t="s">
        <v>1</v>
      </c>
      <c r="S131" s="41">
        <v>1825</v>
      </c>
      <c r="T131" s="41" t="s">
        <v>24</v>
      </c>
    </row>
    <row r="132" spans="1:20" hidden="1">
      <c r="A132" s="45">
        <v>99091</v>
      </c>
      <c r="B132" s="44" t="s">
        <v>54</v>
      </c>
      <c r="C132" s="44" t="s">
        <v>40</v>
      </c>
      <c r="D132" s="44" t="s">
        <v>23</v>
      </c>
      <c r="E132" s="44" t="s">
        <v>93</v>
      </c>
      <c r="F132" s="44" t="s">
        <v>94</v>
      </c>
      <c r="G132" s="42" t="s">
        <v>206</v>
      </c>
      <c r="H132" s="42" t="s">
        <v>206</v>
      </c>
      <c r="I132" s="42" t="s">
        <v>206</v>
      </c>
      <c r="J132" s="41" t="s">
        <v>221</v>
      </c>
      <c r="K132" s="41" t="s">
        <v>221</v>
      </c>
      <c r="L132" s="41" t="s">
        <v>221</v>
      </c>
      <c r="M132" s="41" t="s">
        <v>22</v>
      </c>
      <c r="N132" s="41" t="s">
        <v>32</v>
      </c>
      <c r="O132" s="43" t="s">
        <v>33</v>
      </c>
      <c r="P132" s="41" t="s">
        <v>19</v>
      </c>
      <c r="Q132" s="41" t="s">
        <v>0</v>
      </c>
      <c r="R132" s="41" t="s">
        <v>1</v>
      </c>
      <c r="S132" s="41">
        <v>1825</v>
      </c>
      <c r="T132" s="41" t="s">
        <v>24</v>
      </c>
    </row>
    <row r="133" spans="1:20" hidden="1">
      <c r="A133" s="45" t="s">
        <v>240</v>
      </c>
      <c r="G133" s="42"/>
      <c r="H133" s="42"/>
      <c r="I133" s="42"/>
      <c r="J133" s="41"/>
      <c r="K133" s="41"/>
      <c r="L133" s="41"/>
      <c r="M133" s="41"/>
      <c r="N133" s="41"/>
      <c r="O133" s="43"/>
      <c r="P133" s="41"/>
      <c r="Q133" s="41"/>
      <c r="R133" s="41"/>
      <c r="S133" s="41"/>
      <c r="T133" s="41"/>
    </row>
    <row r="134" spans="1:20" hidden="1">
      <c r="A134" s="45">
        <v>99092</v>
      </c>
      <c r="B134" s="44" t="s">
        <v>54</v>
      </c>
      <c r="C134" s="44" t="s">
        <v>40</v>
      </c>
      <c r="D134" s="44" t="s">
        <v>230</v>
      </c>
      <c r="E134" s="44" t="s">
        <v>231</v>
      </c>
      <c r="F134" s="44" t="s">
        <v>232</v>
      </c>
      <c r="G134" s="41" t="s">
        <v>229</v>
      </c>
      <c r="H134" s="41" t="s">
        <v>229</v>
      </c>
      <c r="I134" s="41" t="s">
        <v>229</v>
      </c>
      <c r="J134" s="41" t="s">
        <v>205</v>
      </c>
      <c r="K134" s="44" t="s">
        <v>227</v>
      </c>
      <c r="L134" s="44" t="s">
        <v>228</v>
      </c>
      <c r="M134" s="41" t="s">
        <v>22</v>
      </c>
      <c r="N134" s="41" t="s">
        <v>32</v>
      </c>
      <c r="O134" s="43" t="s">
        <v>33</v>
      </c>
      <c r="P134" s="41" t="s">
        <v>19</v>
      </c>
      <c r="Q134" s="41" t="s">
        <v>0</v>
      </c>
      <c r="R134" s="41" t="s">
        <v>1</v>
      </c>
      <c r="S134" s="41">
        <v>1825</v>
      </c>
      <c r="T134" s="41" t="s">
        <v>24</v>
      </c>
    </row>
    <row r="135" spans="1:20" hidden="1">
      <c r="A135" s="45" t="s">
        <v>235</v>
      </c>
      <c r="G135" s="42"/>
      <c r="H135" s="42"/>
      <c r="I135" s="42"/>
      <c r="J135" s="41"/>
      <c r="K135" s="41"/>
      <c r="L135" s="41"/>
      <c r="M135" s="41"/>
      <c r="N135" s="41"/>
      <c r="O135" s="43"/>
      <c r="P135" s="41"/>
      <c r="Q135" s="41"/>
      <c r="R135" s="41"/>
      <c r="S135" s="41"/>
      <c r="T135" s="41"/>
    </row>
    <row r="136" spans="1:20">
      <c r="A136" s="45">
        <v>99093</v>
      </c>
      <c r="B136" s="44" t="s">
        <v>54</v>
      </c>
      <c r="C136" s="44" t="s">
        <v>40</v>
      </c>
      <c r="D136" s="51" t="s">
        <v>629</v>
      </c>
      <c r="E136" s="44" t="s">
        <v>236</v>
      </c>
      <c r="F136" s="44" t="s">
        <v>238</v>
      </c>
      <c r="G136" s="44" t="s">
        <v>233</v>
      </c>
      <c r="H136" s="44" t="s">
        <v>237</v>
      </c>
      <c r="I136" s="44" t="s">
        <v>233</v>
      </c>
      <c r="J136" s="44" t="s">
        <v>234</v>
      </c>
      <c r="K136" s="44" t="s">
        <v>227</v>
      </c>
      <c r="L136" s="44" t="s">
        <v>239</v>
      </c>
      <c r="M136" s="41" t="s">
        <v>22</v>
      </c>
      <c r="N136" s="41" t="s">
        <v>32</v>
      </c>
      <c r="O136" s="43" t="s">
        <v>33</v>
      </c>
      <c r="P136" s="41" t="s">
        <v>19</v>
      </c>
      <c r="Q136" s="41" t="s">
        <v>0</v>
      </c>
      <c r="R136" s="41" t="s">
        <v>1</v>
      </c>
      <c r="S136" s="41">
        <v>1825</v>
      </c>
      <c r="T136" s="41" t="s">
        <v>24</v>
      </c>
    </row>
    <row r="137" spans="1:20" hidden="1">
      <c r="A137" s="45" t="s">
        <v>241</v>
      </c>
      <c r="M137" s="41"/>
      <c r="N137" s="41"/>
      <c r="O137" s="43"/>
      <c r="P137" s="41"/>
      <c r="Q137" s="41"/>
      <c r="R137" s="41"/>
      <c r="S137" s="41"/>
      <c r="T137" s="41"/>
    </row>
    <row r="138" spans="1:20">
      <c r="A138" s="45" t="s">
        <v>310</v>
      </c>
      <c r="B138" s="44" t="s">
        <v>54</v>
      </c>
      <c r="C138" s="44" t="s">
        <v>40</v>
      </c>
      <c r="D138" s="44" t="s">
        <v>197</v>
      </c>
      <c r="E138" s="44" t="s">
        <v>93</v>
      </c>
      <c r="F138" s="44" t="s">
        <v>94</v>
      </c>
      <c r="G138" s="41" t="s">
        <v>28</v>
      </c>
      <c r="H138" s="41" t="s">
        <v>28</v>
      </c>
      <c r="I138" s="41" t="s">
        <v>28</v>
      </c>
      <c r="J138" s="41" t="s">
        <v>222</v>
      </c>
      <c r="K138" s="41" t="s">
        <v>222</v>
      </c>
      <c r="L138" s="41" t="s">
        <v>222</v>
      </c>
      <c r="M138" s="41" t="s">
        <v>22</v>
      </c>
      <c r="N138" s="41" t="s">
        <v>32</v>
      </c>
      <c r="O138" s="43" t="s">
        <v>33</v>
      </c>
      <c r="P138" s="41" t="s">
        <v>19</v>
      </c>
      <c r="Q138" s="41" t="s">
        <v>0</v>
      </c>
      <c r="R138" s="41" t="s">
        <v>1</v>
      </c>
      <c r="S138" s="41">
        <v>1825</v>
      </c>
      <c r="T138" s="41" t="s">
        <v>24</v>
      </c>
    </row>
    <row r="139" spans="1:20" hidden="1">
      <c r="A139" s="45">
        <v>99095</v>
      </c>
      <c r="B139" s="44" t="s">
        <v>54</v>
      </c>
      <c r="C139" s="44" t="s">
        <v>40</v>
      </c>
      <c r="D139" s="44" t="s">
        <v>197</v>
      </c>
      <c r="E139" s="44" t="s">
        <v>93</v>
      </c>
      <c r="F139" s="44" t="s">
        <v>94</v>
      </c>
      <c r="G139" s="41" t="s">
        <v>27</v>
      </c>
      <c r="H139" s="41" t="s">
        <v>27</v>
      </c>
      <c r="I139" s="41" t="s">
        <v>27</v>
      </c>
      <c r="J139" s="41" t="s">
        <v>222</v>
      </c>
      <c r="K139" s="41" t="s">
        <v>222</v>
      </c>
      <c r="L139" s="41" t="s">
        <v>222</v>
      </c>
      <c r="M139" s="41" t="s">
        <v>22</v>
      </c>
      <c r="N139" s="41" t="s">
        <v>32</v>
      </c>
      <c r="O139" s="43" t="s">
        <v>33</v>
      </c>
      <c r="P139" s="41" t="s">
        <v>19</v>
      </c>
      <c r="Q139" s="41" t="s">
        <v>0</v>
      </c>
      <c r="R139" s="41" t="s">
        <v>1</v>
      </c>
      <c r="S139" s="41">
        <v>1825</v>
      </c>
      <c r="T139" s="41" t="s">
        <v>24</v>
      </c>
    </row>
    <row r="140" spans="1:20" hidden="1">
      <c r="A140" s="45">
        <v>99096</v>
      </c>
      <c r="B140" s="44" t="s">
        <v>54</v>
      </c>
      <c r="C140" s="44" t="s">
        <v>40</v>
      </c>
      <c r="D140" s="44" t="s">
        <v>23</v>
      </c>
      <c r="E140" s="44" t="s">
        <v>93</v>
      </c>
      <c r="F140" s="44" t="s">
        <v>94</v>
      </c>
      <c r="G140" s="42" t="s">
        <v>206</v>
      </c>
      <c r="H140" s="42" t="s">
        <v>206</v>
      </c>
      <c r="I140" s="42" t="s">
        <v>206</v>
      </c>
      <c r="J140" s="41" t="s">
        <v>222</v>
      </c>
      <c r="K140" s="41" t="s">
        <v>222</v>
      </c>
      <c r="L140" s="41" t="s">
        <v>222</v>
      </c>
      <c r="M140" s="41" t="s">
        <v>22</v>
      </c>
      <c r="N140" s="41" t="s">
        <v>32</v>
      </c>
      <c r="O140" s="43" t="s">
        <v>33</v>
      </c>
      <c r="P140" s="41" t="s">
        <v>19</v>
      </c>
      <c r="Q140" s="41" t="s">
        <v>0</v>
      </c>
      <c r="R140" s="41" t="s">
        <v>1</v>
      </c>
      <c r="S140" s="41">
        <v>1825</v>
      </c>
      <c r="T140" s="41" t="s">
        <v>24</v>
      </c>
    </row>
    <row r="141" spans="1:20" hidden="1">
      <c r="A141" s="45" t="s">
        <v>242</v>
      </c>
    </row>
    <row r="142" spans="1:20" hidden="1">
      <c r="A142" s="45" t="s">
        <v>291</v>
      </c>
    </row>
    <row r="143" spans="1:20">
      <c r="A143" s="30" t="s">
        <v>304</v>
      </c>
      <c r="B143" s="44" t="s">
        <v>54</v>
      </c>
      <c r="C143" s="44" t="s">
        <v>40</v>
      </c>
      <c r="D143" s="44" t="s">
        <v>292</v>
      </c>
      <c r="E143" s="44" t="s">
        <v>292</v>
      </c>
      <c r="F143" s="44" t="s">
        <v>293</v>
      </c>
      <c r="G143" s="44" t="s">
        <v>233</v>
      </c>
      <c r="H143" s="44" t="s">
        <v>233</v>
      </c>
      <c r="I143" s="44" t="s">
        <v>233</v>
      </c>
      <c r="J143" s="44" t="s">
        <v>239</v>
      </c>
      <c r="K143" s="44" t="s">
        <v>239</v>
      </c>
      <c r="L143" s="44" t="s">
        <v>251</v>
      </c>
      <c r="M143" s="44" t="s">
        <v>22</v>
      </c>
      <c r="N143" s="41" t="s">
        <v>32</v>
      </c>
      <c r="O143" s="43" t="s">
        <v>33</v>
      </c>
      <c r="P143" s="41" t="s">
        <v>19</v>
      </c>
      <c r="Q143" s="41" t="s">
        <v>0</v>
      </c>
      <c r="R143" s="41" t="s">
        <v>1</v>
      </c>
      <c r="S143" s="41">
        <v>1825</v>
      </c>
      <c r="T143" s="41" t="s">
        <v>24</v>
      </c>
    </row>
    <row r="144" spans="1:20" hidden="1">
      <c r="A144" s="45" t="s">
        <v>294</v>
      </c>
    </row>
    <row r="145" spans="1:20" hidden="1">
      <c r="A145" s="30" t="s">
        <v>303</v>
      </c>
      <c r="B145" s="44" t="s">
        <v>54</v>
      </c>
      <c r="C145" s="44" t="s">
        <v>40</v>
      </c>
      <c r="D145" s="44" t="s">
        <v>289</v>
      </c>
      <c r="E145" s="44" t="s">
        <v>231</v>
      </c>
      <c r="F145" s="44" t="s">
        <v>290</v>
      </c>
      <c r="G145" s="44" t="s">
        <v>206</v>
      </c>
      <c r="H145" s="44" t="s">
        <v>206</v>
      </c>
      <c r="I145" s="44" t="s">
        <v>274</v>
      </c>
      <c r="J145" s="44" t="s">
        <v>255</v>
      </c>
      <c r="K145" s="44" t="s">
        <v>280</v>
      </c>
      <c r="L145" s="44" t="s">
        <v>280</v>
      </c>
      <c r="M145" s="44" t="s">
        <v>22</v>
      </c>
      <c r="N145" s="41" t="s">
        <v>32</v>
      </c>
      <c r="O145" s="43" t="s">
        <v>33</v>
      </c>
      <c r="P145" s="41" t="s">
        <v>19</v>
      </c>
      <c r="Q145" s="41" t="s">
        <v>0</v>
      </c>
      <c r="R145" s="41" t="s">
        <v>1</v>
      </c>
      <c r="S145" s="41">
        <v>1825</v>
      </c>
      <c r="T145" s="41" t="s">
        <v>24</v>
      </c>
    </row>
    <row r="146" spans="1:20" hidden="1">
      <c r="A146" s="10" t="s">
        <v>301</v>
      </c>
    </row>
    <row r="147" spans="1:20" hidden="1">
      <c r="A147" s="46" t="s">
        <v>295</v>
      </c>
    </row>
    <row r="148" spans="1:20" hidden="1">
      <c r="A148" s="52" t="s">
        <v>299</v>
      </c>
    </row>
    <row r="149" spans="1:20">
      <c r="A149" s="45">
        <v>99015</v>
      </c>
      <c r="B149" s="44" t="s">
        <v>314</v>
      </c>
      <c r="C149" s="44" t="s">
        <v>313</v>
      </c>
      <c r="D149" s="41" t="s">
        <v>23</v>
      </c>
      <c r="E149" s="41" t="s">
        <v>25</v>
      </c>
      <c r="F149" s="41" t="s">
        <v>25</v>
      </c>
      <c r="G149" s="41" t="s">
        <v>28</v>
      </c>
      <c r="H149" s="41" t="s">
        <v>25</v>
      </c>
      <c r="I149" s="41" t="s">
        <v>25</v>
      </c>
      <c r="J149" s="41" t="s">
        <v>60</v>
      </c>
      <c r="K149" s="41" t="s">
        <v>25</v>
      </c>
      <c r="L149" s="41" t="s">
        <v>25</v>
      </c>
      <c r="M149" s="41" t="s">
        <v>22</v>
      </c>
      <c r="N149" s="41" t="s">
        <v>32</v>
      </c>
      <c r="O149" s="43" t="s">
        <v>33</v>
      </c>
      <c r="P149" s="41" t="s">
        <v>19</v>
      </c>
      <c r="Q149" s="41" t="s">
        <v>0</v>
      </c>
      <c r="R149" s="41" t="s">
        <v>1</v>
      </c>
      <c r="S149" s="41">
        <v>1825</v>
      </c>
      <c r="T149" s="41" t="s">
        <v>24</v>
      </c>
    </row>
    <row r="150" spans="1:20">
      <c r="A150" s="45">
        <v>99019</v>
      </c>
      <c r="B150" s="44" t="s">
        <v>314</v>
      </c>
      <c r="C150" s="44" t="s">
        <v>313</v>
      </c>
      <c r="D150" s="41" t="s">
        <v>23</v>
      </c>
      <c r="E150" s="41" t="s">
        <v>25</v>
      </c>
      <c r="F150" s="41" t="s">
        <v>25</v>
      </c>
      <c r="G150" s="41" t="s">
        <v>28</v>
      </c>
      <c r="H150" s="41" t="s">
        <v>25</v>
      </c>
      <c r="I150" s="41" t="s">
        <v>25</v>
      </c>
      <c r="J150" s="41" t="s">
        <v>61</v>
      </c>
      <c r="K150" s="41" t="s">
        <v>25</v>
      </c>
      <c r="L150" s="41" t="s">
        <v>25</v>
      </c>
      <c r="M150" s="41" t="s">
        <v>22</v>
      </c>
      <c r="N150" s="41" t="s">
        <v>32</v>
      </c>
      <c r="O150" s="43" t="s">
        <v>33</v>
      </c>
      <c r="P150" s="41" t="s">
        <v>19</v>
      </c>
      <c r="Q150" s="41" t="s">
        <v>0</v>
      </c>
      <c r="R150" s="41" t="s">
        <v>1</v>
      </c>
      <c r="S150" s="41">
        <v>1825</v>
      </c>
      <c r="T150" s="41" t="s">
        <v>24</v>
      </c>
    </row>
    <row r="151" spans="1:20">
      <c r="A151" s="54">
        <v>99063</v>
      </c>
      <c r="B151" s="44" t="s">
        <v>314</v>
      </c>
      <c r="C151" s="44" t="s">
        <v>313</v>
      </c>
      <c r="D151" s="41" t="s">
        <v>23</v>
      </c>
      <c r="E151" s="44" t="s">
        <v>93</v>
      </c>
      <c r="F151" s="44" t="s">
        <v>94</v>
      </c>
      <c r="G151" s="41" t="s">
        <v>28</v>
      </c>
      <c r="H151" s="41" t="s">
        <v>28</v>
      </c>
      <c r="I151" s="41" t="s">
        <v>28</v>
      </c>
      <c r="J151" s="44" t="s">
        <v>188</v>
      </c>
      <c r="K151" s="44" t="s">
        <v>188</v>
      </c>
      <c r="L151" s="44" t="s">
        <v>188</v>
      </c>
      <c r="M151" s="41" t="s">
        <v>22</v>
      </c>
      <c r="N151" s="41" t="s">
        <v>32</v>
      </c>
      <c r="O151" s="43" t="s">
        <v>33</v>
      </c>
      <c r="P151" s="41" t="s">
        <v>19</v>
      </c>
      <c r="Q151" s="41" t="s">
        <v>0</v>
      </c>
      <c r="R151" s="41" t="s">
        <v>1</v>
      </c>
      <c r="S151" s="41">
        <v>1825</v>
      </c>
      <c r="T151" s="41" t="s">
        <v>24</v>
      </c>
    </row>
    <row r="152" spans="1:20">
      <c r="A152" s="53">
        <v>99086</v>
      </c>
      <c r="B152" s="44" t="s">
        <v>314</v>
      </c>
      <c r="C152" s="44" t="s">
        <v>313</v>
      </c>
      <c r="D152" s="44" t="s">
        <v>23</v>
      </c>
      <c r="E152" s="44" t="s">
        <v>93</v>
      </c>
      <c r="F152" s="44" t="s">
        <v>94</v>
      </c>
      <c r="G152" s="41" t="s">
        <v>28</v>
      </c>
      <c r="H152" s="41" t="s">
        <v>28</v>
      </c>
      <c r="I152" s="41" t="s">
        <v>28</v>
      </c>
      <c r="J152" s="41" t="s">
        <v>220</v>
      </c>
      <c r="K152" s="41" t="s">
        <v>220</v>
      </c>
      <c r="L152" s="41" t="s">
        <v>220</v>
      </c>
      <c r="M152" s="41" t="s">
        <v>22</v>
      </c>
      <c r="N152" s="41" t="s">
        <v>32</v>
      </c>
      <c r="O152" s="43" t="s">
        <v>33</v>
      </c>
      <c r="P152" s="41" t="s">
        <v>19</v>
      </c>
      <c r="Q152" s="41" t="s">
        <v>0</v>
      </c>
      <c r="R152" s="41" t="s">
        <v>1</v>
      </c>
      <c r="S152" s="41">
        <v>1825</v>
      </c>
      <c r="T152" s="41" t="s">
        <v>24</v>
      </c>
    </row>
    <row r="153" spans="1:20">
      <c r="A153" s="53">
        <v>99089</v>
      </c>
      <c r="B153" s="44" t="s">
        <v>314</v>
      </c>
      <c r="C153" s="44" t="s">
        <v>313</v>
      </c>
      <c r="D153" s="44" t="s">
        <v>23</v>
      </c>
      <c r="E153" s="44" t="s">
        <v>93</v>
      </c>
      <c r="F153" s="44" t="s">
        <v>94</v>
      </c>
      <c r="G153" s="41" t="s">
        <v>28</v>
      </c>
      <c r="H153" s="41" t="s">
        <v>28</v>
      </c>
      <c r="I153" s="41" t="s">
        <v>28</v>
      </c>
      <c r="J153" s="41" t="s">
        <v>221</v>
      </c>
      <c r="K153" s="41" t="s">
        <v>221</v>
      </c>
      <c r="L153" s="41" t="s">
        <v>221</v>
      </c>
      <c r="M153" s="41" t="s">
        <v>22</v>
      </c>
      <c r="N153" s="41" t="s">
        <v>32</v>
      </c>
      <c r="O153" s="43" t="s">
        <v>33</v>
      </c>
      <c r="P153" s="41" t="s">
        <v>19</v>
      </c>
      <c r="Q153" s="41" t="s">
        <v>0</v>
      </c>
      <c r="R153" s="41" t="s">
        <v>1</v>
      </c>
      <c r="S153" s="41">
        <v>1825</v>
      </c>
      <c r="T153" s="41" t="s">
        <v>24</v>
      </c>
    </row>
    <row r="154" spans="1:20">
      <c r="A154" s="53">
        <v>99094</v>
      </c>
      <c r="B154" s="44" t="s">
        <v>314</v>
      </c>
      <c r="C154" s="44" t="s">
        <v>313</v>
      </c>
      <c r="D154" s="44" t="s">
        <v>23</v>
      </c>
      <c r="E154" s="44" t="s">
        <v>93</v>
      </c>
      <c r="F154" s="44" t="s">
        <v>94</v>
      </c>
      <c r="G154" s="41" t="s">
        <v>28</v>
      </c>
      <c r="H154" s="41" t="s">
        <v>28</v>
      </c>
      <c r="I154" s="41" t="s">
        <v>28</v>
      </c>
      <c r="J154" s="41" t="s">
        <v>222</v>
      </c>
      <c r="K154" s="41" t="s">
        <v>222</v>
      </c>
      <c r="L154" s="41" t="s">
        <v>222</v>
      </c>
      <c r="M154" s="41" t="s">
        <v>22</v>
      </c>
      <c r="N154" s="41" t="s">
        <v>32</v>
      </c>
      <c r="O154" s="43" t="s">
        <v>33</v>
      </c>
      <c r="P154" s="41" t="s">
        <v>19</v>
      </c>
      <c r="Q154" s="41" t="s">
        <v>0</v>
      </c>
      <c r="R154" s="41" t="s">
        <v>1</v>
      </c>
      <c r="S154" s="41">
        <v>1825</v>
      </c>
      <c r="T154" s="41" t="s">
        <v>24</v>
      </c>
    </row>
    <row r="155" spans="1:20" hidden="1">
      <c r="A155" s="45" t="s">
        <v>242</v>
      </c>
    </row>
    <row r="156" spans="1:20" hidden="1">
      <c r="A156" s="45" t="s">
        <v>291</v>
      </c>
    </row>
    <row r="157" spans="1:20">
      <c r="A157" s="30">
        <v>99097</v>
      </c>
      <c r="B157" s="44" t="s">
        <v>54</v>
      </c>
      <c r="C157" s="44" t="s">
        <v>326</v>
      </c>
      <c r="D157" s="44" t="s">
        <v>292</v>
      </c>
      <c r="E157" s="44" t="s">
        <v>292</v>
      </c>
      <c r="F157" s="44" t="s">
        <v>293</v>
      </c>
      <c r="G157" s="44" t="s">
        <v>233</v>
      </c>
      <c r="H157" s="44" t="s">
        <v>233</v>
      </c>
      <c r="I157" s="44" t="s">
        <v>233</v>
      </c>
      <c r="J157" s="44" t="s">
        <v>239</v>
      </c>
      <c r="K157" s="44" t="s">
        <v>239</v>
      </c>
      <c r="L157" s="44" t="s">
        <v>251</v>
      </c>
      <c r="M157" s="44" t="s">
        <v>22</v>
      </c>
      <c r="N157" s="41" t="s">
        <v>32</v>
      </c>
      <c r="O157" s="43" t="s">
        <v>33</v>
      </c>
      <c r="P157" s="41" t="s">
        <v>19</v>
      </c>
      <c r="Q157" s="41" t="s">
        <v>0</v>
      </c>
      <c r="R157" s="41" t="s">
        <v>1</v>
      </c>
      <c r="S157" s="41">
        <v>1825</v>
      </c>
      <c r="T157" s="41" t="s">
        <v>24</v>
      </c>
    </row>
    <row r="158" spans="1:20" hidden="1">
      <c r="A158" s="45" t="s">
        <v>294</v>
      </c>
    </row>
    <row r="159" spans="1:20">
      <c r="A159" s="30">
        <v>99098</v>
      </c>
      <c r="B159" s="44" t="s">
        <v>54</v>
      </c>
      <c r="C159" s="44" t="s">
        <v>326</v>
      </c>
      <c r="D159" s="44" t="s">
        <v>296</v>
      </c>
      <c r="E159" s="44" t="s">
        <v>297</v>
      </c>
      <c r="F159" s="44" t="s">
        <v>298</v>
      </c>
      <c r="G159" s="44" t="s">
        <v>233</v>
      </c>
      <c r="H159" s="44" t="s">
        <v>233</v>
      </c>
      <c r="I159" s="44" t="s">
        <v>233</v>
      </c>
      <c r="J159" s="44" t="s">
        <v>188</v>
      </c>
      <c r="K159" s="41" t="s">
        <v>60</v>
      </c>
      <c r="L159" s="41" t="s">
        <v>222</v>
      </c>
      <c r="M159" s="44" t="s">
        <v>22</v>
      </c>
      <c r="N159" s="41" t="s">
        <v>32</v>
      </c>
      <c r="O159" s="43" t="s">
        <v>33</v>
      </c>
      <c r="P159" s="41" t="s">
        <v>19</v>
      </c>
      <c r="Q159" s="41" t="s">
        <v>0</v>
      </c>
      <c r="R159" s="41" t="s">
        <v>1</v>
      </c>
      <c r="S159" s="41">
        <v>1825</v>
      </c>
      <c r="T159" s="41" t="s">
        <v>24</v>
      </c>
    </row>
    <row r="160" spans="1:20" hidden="1">
      <c r="A160" s="45" t="s">
        <v>302</v>
      </c>
    </row>
    <row r="161" spans="1:20" hidden="1">
      <c r="A161" s="45" t="s">
        <v>315</v>
      </c>
    </row>
    <row r="162" spans="1:20" hidden="1">
      <c r="A162" s="45">
        <v>99099</v>
      </c>
      <c r="B162" s="44" t="s">
        <v>323</v>
      </c>
      <c r="C162" s="44" t="s">
        <v>323</v>
      </c>
      <c r="D162" s="21" t="s">
        <v>316</v>
      </c>
      <c r="E162" s="44" t="s">
        <v>317</v>
      </c>
      <c r="F162" s="44" t="s">
        <v>317</v>
      </c>
      <c r="G162" s="44" t="s">
        <v>318</v>
      </c>
      <c r="H162" s="44" t="s">
        <v>317</v>
      </c>
      <c r="I162" s="44" t="s">
        <v>317</v>
      </c>
      <c r="J162" s="44" t="s">
        <v>319</v>
      </c>
      <c r="K162" s="44" t="s">
        <v>317</v>
      </c>
      <c r="L162" s="44" t="s">
        <v>320</v>
      </c>
      <c r="M162" s="44" t="s">
        <v>321</v>
      </c>
      <c r="N162" s="44" t="s">
        <v>322</v>
      </c>
      <c r="O162" s="43" t="s">
        <v>33</v>
      </c>
      <c r="P162" s="41" t="s">
        <v>19</v>
      </c>
      <c r="Q162" s="41" t="s">
        <v>0</v>
      </c>
      <c r="R162" s="41" t="s">
        <v>1</v>
      </c>
      <c r="S162" s="41" t="s">
        <v>324</v>
      </c>
      <c r="T162" s="41" t="s">
        <v>325</v>
      </c>
    </row>
    <row r="163" spans="1:20">
      <c r="A163" s="53">
        <v>99101</v>
      </c>
      <c r="B163" s="44" t="s">
        <v>333</v>
      </c>
      <c r="C163" s="44" t="s">
        <v>334</v>
      </c>
      <c r="D163" s="44" t="s">
        <v>330</v>
      </c>
      <c r="E163" s="41" t="s">
        <v>25</v>
      </c>
      <c r="F163" s="41" t="s">
        <v>25</v>
      </c>
      <c r="G163" s="41" t="s">
        <v>28</v>
      </c>
      <c r="H163" s="41" t="s">
        <v>25</v>
      </c>
      <c r="I163" s="41" t="s">
        <v>25</v>
      </c>
      <c r="J163" s="44" t="s">
        <v>204</v>
      </c>
      <c r="K163" s="41" t="s">
        <v>25</v>
      </c>
      <c r="L163" s="41" t="s">
        <v>25</v>
      </c>
      <c r="M163" s="41" t="s">
        <v>22</v>
      </c>
      <c r="N163" s="41" t="s">
        <v>32</v>
      </c>
      <c r="O163" s="43" t="s">
        <v>33</v>
      </c>
      <c r="P163" s="41" t="s">
        <v>19</v>
      </c>
      <c r="Q163" s="41" t="s">
        <v>0</v>
      </c>
      <c r="R163" s="41" t="s">
        <v>1</v>
      </c>
      <c r="S163" s="41">
        <v>1825</v>
      </c>
      <c r="T163" s="41" t="s">
        <v>24</v>
      </c>
    </row>
    <row r="164" spans="1:20" hidden="1">
      <c r="A164" s="10" t="s">
        <v>328</v>
      </c>
    </row>
    <row r="165" spans="1:20">
      <c r="A165" s="58">
        <v>99080</v>
      </c>
      <c r="B165" s="44" t="s">
        <v>360</v>
      </c>
      <c r="C165" s="44" t="s">
        <v>361</v>
      </c>
      <c r="D165" s="41" t="s">
        <v>23</v>
      </c>
      <c r="E165" s="44" t="s">
        <v>93</v>
      </c>
      <c r="F165" s="44" t="s">
        <v>94</v>
      </c>
      <c r="G165" s="41" t="s">
        <v>28</v>
      </c>
      <c r="H165" s="41" t="s">
        <v>28</v>
      </c>
      <c r="I165" s="41" t="s">
        <v>28</v>
      </c>
      <c r="J165" s="41" t="s">
        <v>60</v>
      </c>
      <c r="K165" s="41" t="s">
        <v>60</v>
      </c>
      <c r="L165" s="41" t="s">
        <v>60</v>
      </c>
      <c r="M165" s="41" t="s">
        <v>22</v>
      </c>
      <c r="N165" s="41" t="s">
        <v>32</v>
      </c>
      <c r="O165" s="43" t="s">
        <v>33</v>
      </c>
      <c r="P165" s="41" t="s">
        <v>19</v>
      </c>
      <c r="Q165" s="41" t="s">
        <v>0</v>
      </c>
      <c r="R165" s="41" t="s">
        <v>1</v>
      </c>
      <c r="S165" s="41">
        <v>1825</v>
      </c>
      <c r="T165" s="41" t="s">
        <v>24</v>
      </c>
    </row>
    <row r="166" spans="1:20">
      <c r="A166" s="58">
        <v>99083</v>
      </c>
      <c r="B166" s="44" t="s">
        <v>360</v>
      </c>
      <c r="C166" s="44" t="s">
        <v>361</v>
      </c>
      <c r="D166" s="41" t="s">
        <v>23</v>
      </c>
      <c r="E166" s="44" t="s">
        <v>93</v>
      </c>
      <c r="F166" s="44" t="s">
        <v>94</v>
      </c>
      <c r="G166" s="41" t="s">
        <v>28</v>
      </c>
      <c r="H166" s="41" t="s">
        <v>28</v>
      </c>
      <c r="I166" s="41" t="s">
        <v>28</v>
      </c>
      <c r="J166" s="41" t="s">
        <v>61</v>
      </c>
      <c r="K166" s="41" t="s">
        <v>61</v>
      </c>
      <c r="L166" s="41" t="s">
        <v>61</v>
      </c>
      <c r="M166" s="41" t="s">
        <v>22</v>
      </c>
      <c r="N166" s="41" t="s">
        <v>32</v>
      </c>
      <c r="O166" s="43" t="s">
        <v>33</v>
      </c>
      <c r="P166" s="41" t="s">
        <v>19</v>
      </c>
      <c r="Q166" s="41" t="s">
        <v>0</v>
      </c>
      <c r="R166" s="41" t="s">
        <v>1</v>
      </c>
      <c r="S166" s="41">
        <v>1825</v>
      </c>
      <c r="T166" s="41" t="s">
        <v>24</v>
      </c>
    </row>
    <row r="167" spans="1:20">
      <c r="A167" s="58">
        <v>99102</v>
      </c>
      <c r="B167" s="44" t="s">
        <v>360</v>
      </c>
      <c r="C167" s="44" t="s">
        <v>361</v>
      </c>
      <c r="D167" s="21" t="s">
        <v>102</v>
      </c>
      <c r="E167" s="41" t="s">
        <v>25</v>
      </c>
      <c r="F167" s="41" t="s">
        <v>25</v>
      </c>
      <c r="G167" s="41" t="s">
        <v>28</v>
      </c>
      <c r="H167" s="41" t="s">
        <v>25</v>
      </c>
      <c r="I167" s="41" t="s">
        <v>25</v>
      </c>
      <c r="J167" s="44" t="s">
        <v>204</v>
      </c>
      <c r="K167" s="41" t="s">
        <v>25</v>
      </c>
      <c r="L167" s="41" t="s">
        <v>25</v>
      </c>
      <c r="M167" s="41" t="s">
        <v>22</v>
      </c>
      <c r="N167" s="41" t="s">
        <v>32</v>
      </c>
      <c r="O167" s="43" t="s">
        <v>33</v>
      </c>
      <c r="P167" s="41" t="s">
        <v>19</v>
      </c>
      <c r="Q167" s="41" t="s">
        <v>0</v>
      </c>
      <c r="R167" s="41" t="s">
        <v>1</v>
      </c>
      <c r="S167" s="41">
        <v>1825</v>
      </c>
      <c r="T167" s="41" t="s">
        <v>24</v>
      </c>
    </row>
    <row r="168" spans="1:20">
      <c r="A168" s="58">
        <v>99103</v>
      </c>
      <c r="B168" s="44" t="s">
        <v>360</v>
      </c>
      <c r="C168" s="44" t="s">
        <v>361</v>
      </c>
      <c r="D168" s="21" t="s">
        <v>108</v>
      </c>
      <c r="E168" s="41" t="s">
        <v>25</v>
      </c>
      <c r="F168" s="41" t="s">
        <v>25</v>
      </c>
      <c r="G168" s="41" t="s">
        <v>28</v>
      </c>
      <c r="H168" s="41" t="s">
        <v>25</v>
      </c>
      <c r="I168" s="41" t="s">
        <v>25</v>
      </c>
      <c r="J168" s="44" t="s">
        <v>204</v>
      </c>
      <c r="K168" s="41" t="s">
        <v>25</v>
      </c>
      <c r="L168" s="41" t="s">
        <v>25</v>
      </c>
      <c r="M168" s="41" t="s">
        <v>22</v>
      </c>
      <c r="N168" s="41" t="s">
        <v>32</v>
      </c>
      <c r="O168" s="43" t="s">
        <v>33</v>
      </c>
      <c r="P168" s="41" t="s">
        <v>19</v>
      </c>
      <c r="Q168" s="41" t="s">
        <v>0</v>
      </c>
      <c r="R168" s="41" t="s">
        <v>1</v>
      </c>
      <c r="S168" s="41">
        <v>1825</v>
      </c>
      <c r="T168" s="41" t="s">
        <v>24</v>
      </c>
    </row>
    <row r="169" spans="1:20" hidden="1">
      <c r="A169" s="45" t="s">
        <v>341</v>
      </c>
      <c r="D169" s="21"/>
      <c r="E169" s="41"/>
      <c r="F169" s="41"/>
      <c r="G169" s="41"/>
      <c r="H169" s="41"/>
      <c r="I169" s="41"/>
      <c r="K169" s="41"/>
      <c r="L169" s="41"/>
      <c r="M169" s="41"/>
      <c r="N169" s="41"/>
      <c r="O169" s="43"/>
      <c r="P169" s="41"/>
      <c r="Q169" s="41"/>
      <c r="R169" s="41"/>
      <c r="S169" s="41"/>
      <c r="T169" s="41"/>
    </row>
    <row r="170" spans="1:20">
      <c r="A170" s="45" t="s">
        <v>353</v>
      </c>
      <c r="B170" s="44" t="s">
        <v>339</v>
      </c>
      <c r="C170" s="44" t="s">
        <v>340</v>
      </c>
      <c r="D170" s="44" t="s">
        <v>335</v>
      </c>
      <c r="E170" s="41" t="s">
        <v>25</v>
      </c>
      <c r="F170" s="41" t="s">
        <v>25</v>
      </c>
      <c r="G170" s="41" t="s">
        <v>28</v>
      </c>
      <c r="H170" s="41" t="s">
        <v>25</v>
      </c>
      <c r="I170" s="41" t="s">
        <v>25</v>
      </c>
      <c r="J170" s="44" t="s">
        <v>336</v>
      </c>
      <c r="K170" s="41" t="s">
        <v>25</v>
      </c>
      <c r="L170" s="41" t="s">
        <v>25</v>
      </c>
      <c r="M170" s="44" t="s">
        <v>337</v>
      </c>
      <c r="N170" s="44" t="s">
        <v>338</v>
      </c>
      <c r="O170" s="43" t="s">
        <v>33</v>
      </c>
      <c r="P170" s="41" t="s">
        <v>19</v>
      </c>
      <c r="Q170" s="41" t="s">
        <v>0</v>
      </c>
      <c r="R170" s="41" t="s">
        <v>348</v>
      </c>
      <c r="S170" s="41" t="s">
        <v>347</v>
      </c>
      <c r="T170" s="41" t="s">
        <v>24</v>
      </c>
    </row>
    <row r="171" spans="1:20">
      <c r="A171" s="45" t="s">
        <v>354</v>
      </c>
      <c r="B171" s="44" t="s">
        <v>342</v>
      </c>
      <c r="C171" s="44" t="s">
        <v>349</v>
      </c>
      <c r="D171" s="44" t="s">
        <v>343</v>
      </c>
      <c r="E171" s="41" t="s">
        <v>25</v>
      </c>
      <c r="F171" s="41" t="s">
        <v>25</v>
      </c>
      <c r="G171" s="41" t="s">
        <v>28</v>
      </c>
      <c r="H171" s="41" t="s">
        <v>25</v>
      </c>
      <c r="I171" s="41" t="s">
        <v>25</v>
      </c>
      <c r="J171" s="44" t="s">
        <v>344</v>
      </c>
      <c r="K171" s="41" t="s">
        <v>25</v>
      </c>
      <c r="L171" s="41" t="s">
        <v>25</v>
      </c>
      <c r="M171" s="41" t="s">
        <v>345</v>
      </c>
      <c r="N171" s="44" t="s">
        <v>346</v>
      </c>
      <c r="O171" s="43" t="s">
        <v>33</v>
      </c>
      <c r="P171" s="41" t="s">
        <v>19</v>
      </c>
      <c r="Q171" s="41" t="s">
        <v>0</v>
      </c>
      <c r="R171" s="41" t="s">
        <v>1</v>
      </c>
      <c r="S171" s="41" t="s">
        <v>347</v>
      </c>
      <c r="T171" s="41" t="s">
        <v>24</v>
      </c>
    </row>
    <row r="172" spans="1:20">
      <c r="A172" s="45" t="s">
        <v>351</v>
      </c>
      <c r="E172" s="41"/>
      <c r="F172" s="41"/>
      <c r="G172" s="41"/>
      <c r="H172" s="41"/>
      <c r="I172" s="41"/>
      <c r="K172" s="41"/>
      <c r="L172" s="41"/>
      <c r="M172" s="41"/>
      <c r="O172" s="43"/>
      <c r="P172" s="41"/>
      <c r="Q172" s="41"/>
      <c r="R172" s="41"/>
      <c r="S172" s="41"/>
      <c r="T172" s="41"/>
    </row>
    <row r="173" spans="1:20">
      <c r="A173" s="58">
        <v>98100</v>
      </c>
      <c r="B173" s="44" t="s">
        <v>352</v>
      </c>
      <c r="C173" s="44" t="s">
        <v>355</v>
      </c>
      <c r="D173" s="41" t="s">
        <v>23</v>
      </c>
      <c r="E173" s="44" t="s">
        <v>93</v>
      </c>
      <c r="F173" s="44" t="s">
        <v>94</v>
      </c>
      <c r="G173" s="41" t="s">
        <v>350</v>
      </c>
      <c r="H173" s="41" t="s">
        <v>350</v>
      </c>
      <c r="I173" s="41" t="s">
        <v>350</v>
      </c>
      <c r="J173" s="44" t="s">
        <v>329</v>
      </c>
      <c r="K173" s="44" t="s">
        <v>329</v>
      </c>
      <c r="L173" s="44" t="s">
        <v>329</v>
      </c>
      <c r="M173" s="41" t="s">
        <v>22</v>
      </c>
      <c r="N173" s="41" t="s">
        <v>32</v>
      </c>
      <c r="O173" s="43" t="s">
        <v>33</v>
      </c>
      <c r="P173" s="41" t="s">
        <v>19</v>
      </c>
      <c r="Q173" s="41" t="s">
        <v>0</v>
      </c>
      <c r="R173" s="41" t="s">
        <v>1</v>
      </c>
      <c r="S173" s="41">
        <v>1825</v>
      </c>
      <c r="T173" s="41" t="s">
        <v>24</v>
      </c>
    </row>
    <row r="174" spans="1:20">
      <c r="A174" s="58">
        <v>98080</v>
      </c>
      <c r="B174" s="44" t="s">
        <v>352</v>
      </c>
      <c r="C174" s="44" t="s">
        <v>355</v>
      </c>
      <c r="D174" s="41" t="s">
        <v>23</v>
      </c>
      <c r="E174" s="44" t="s">
        <v>93</v>
      </c>
      <c r="F174" s="44" t="s">
        <v>94</v>
      </c>
      <c r="G174" s="41" t="s">
        <v>350</v>
      </c>
      <c r="H174" s="41" t="s">
        <v>350</v>
      </c>
      <c r="I174" s="41" t="s">
        <v>350</v>
      </c>
      <c r="J174" s="41" t="s">
        <v>60</v>
      </c>
      <c r="K174" s="41" t="s">
        <v>60</v>
      </c>
      <c r="L174" s="41" t="s">
        <v>60</v>
      </c>
      <c r="M174" s="41" t="s">
        <v>22</v>
      </c>
      <c r="N174" s="41" t="s">
        <v>32</v>
      </c>
      <c r="O174" s="43" t="s">
        <v>33</v>
      </c>
      <c r="P174" s="41" t="s">
        <v>19</v>
      </c>
      <c r="Q174" s="41" t="s">
        <v>0</v>
      </c>
      <c r="R174" s="41" t="s">
        <v>1</v>
      </c>
      <c r="S174" s="41">
        <v>1825</v>
      </c>
      <c r="T174" s="41" t="s">
        <v>24</v>
      </c>
    </row>
    <row r="175" spans="1:20">
      <c r="A175" s="58">
        <v>98083</v>
      </c>
      <c r="B175" s="44" t="s">
        <v>352</v>
      </c>
      <c r="C175" s="44" t="s">
        <v>355</v>
      </c>
      <c r="D175" s="41" t="s">
        <v>23</v>
      </c>
      <c r="E175" s="44" t="s">
        <v>93</v>
      </c>
      <c r="F175" s="44" t="s">
        <v>94</v>
      </c>
      <c r="G175" s="41" t="s">
        <v>350</v>
      </c>
      <c r="H175" s="41" t="s">
        <v>350</v>
      </c>
      <c r="I175" s="41" t="s">
        <v>350</v>
      </c>
      <c r="J175" s="41" t="s">
        <v>61</v>
      </c>
      <c r="K175" s="41" t="s">
        <v>61</v>
      </c>
      <c r="L175" s="41" t="s">
        <v>61</v>
      </c>
      <c r="M175" s="41" t="s">
        <v>22</v>
      </c>
      <c r="N175" s="41" t="s">
        <v>32</v>
      </c>
      <c r="O175" s="43" t="s">
        <v>33</v>
      </c>
      <c r="P175" s="41" t="s">
        <v>19</v>
      </c>
      <c r="Q175" s="41" t="s">
        <v>0</v>
      </c>
      <c r="R175" s="41" t="s">
        <v>1</v>
      </c>
      <c r="S175" s="41">
        <v>1825</v>
      </c>
      <c r="T175" s="41" t="s">
        <v>24</v>
      </c>
    </row>
    <row r="176" spans="1:20">
      <c r="A176" s="58">
        <v>98102</v>
      </c>
      <c r="B176" s="44" t="s">
        <v>352</v>
      </c>
      <c r="C176" s="44" t="s">
        <v>355</v>
      </c>
      <c r="D176" s="21" t="s">
        <v>102</v>
      </c>
      <c r="E176" s="41" t="s">
        <v>25</v>
      </c>
      <c r="F176" s="41" t="s">
        <v>25</v>
      </c>
      <c r="G176" s="41" t="s">
        <v>350</v>
      </c>
      <c r="H176" s="41" t="s">
        <v>25</v>
      </c>
      <c r="I176" s="41" t="s">
        <v>25</v>
      </c>
      <c r="J176" s="44" t="s">
        <v>204</v>
      </c>
      <c r="K176" s="41" t="s">
        <v>25</v>
      </c>
      <c r="L176" s="41" t="s">
        <v>25</v>
      </c>
      <c r="M176" s="41" t="s">
        <v>22</v>
      </c>
      <c r="N176" s="41" t="s">
        <v>32</v>
      </c>
      <c r="O176" s="43" t="s">
        <v>33</v>
      </c>
      <c r="P176" s="41" t="s">
        <v>19</v>
      </c>
      <c r="Q176" s="41" t="s">
        <v>0</v>
      </c>
      <c r="R176" s="41" t="s">
        <v>1</v>
      </c>
      <c r="S176" s="41">
        <v>1825</v>
      </c>
      <c r="T176" s="41" t="s">
        <v>24</v>
      </c>
    </row>
    <row r="177" spans="1:20">
      <c r="A177" s="58">
        <v>98103</v>
      </c>
      <c r="B177" s="44" t="s">
        <v>352</v>
      </c>
      <c r="C177" s="44" t="s">
        <v>355</v>
      </c>
      <c r="D177" s="21" t="s">
        <v>108</v>
      </c>
      <c r="E177" s="41" t="s">
        <v>25</v>
      </c>
      <c r="F177" s="41" t="s">
        <v>25</v>
      </c>
      <c r="G177" s="41" t="s">
        <v>350</v>
      </c>
      <c r="H177" s="41" t="s">
        <v>25</v>
      </c>
      <c r="I177" s="41" t="s">
        <v>25</v>
      </c>
      <c r="J177" s="44" t="s">
        <v>204</v>
      </c>
      <c r="K177" s="41" t="s">
        <v>25</v>
      </c>
      <c r="L177" s="41" t="s">
        <v>25</v>
      </c>
      <c r="M177" s="41" t="s">
        <v>22</v>
      </c>
      <c r="N177" s="41" t="s">
        <v>32</v>
      </c>
      <c r="O177" s="43" t="s">
        <v>33</v>
      </c>
      <c r="P177" s="41" t="s">
        <v>19</v>
      </c>
      <c r="Q177" s="41" t="s">
        <v>0</v>
      </c>
      <c r="R177" s="41" t="s">
        <v>1</v>
      </c>
      <c r="S177" s="41">
        <v>1825</v>
      </c>
      <c r="T177" s="41" t="s">
        <v>24</v>
      </c>
    </row>
    <row r="178" spans="1:20">
      <c r="A178" s="45" t="s">
        <v>356</v>
      </c>
    </row>
    <row r="179" spans="1:20">
      <c r="A179" s="58">
        <v>97100</v>
      </c>
      <c r="B179" s="44" t="s">
        <v>54</v>
      </c>
      <c r="C179" s="44" t="s">
        <v>355</v>
      </c>
      <c r="D179" s="41" t="s">
        <v>23</v>
      </c>
      <c r="E179" s="44" t="s">
        <v>93</v>
      </c>
      <c r="F179" s="44" t="s">
        <v>94</v>
      </c>
      <c r="G179" s="41" t="s">
        <v>28</v>
      </c>
      <c r="H179" s="41" t="s">
        <v>28</v>
      </c>
      <c r="I179" s="41" t="s">
        <v>28</v>
      </c>
      <c r="J179" s="44" t="s">
        <v>204</v>
      </c>
      <c r="K179" s="44" t="s">
        <v>204</v>
      </c>
      <c r="L179" s="44" t="s">
        <v>204</v>
      </c>
      <c r="M179" s="41" t="s">
        <v>22</v>
      </c>
      <c r="N179" s="41" t="s">
        <v>32</v>
      </c>
      <c r="O179" s="43" t="s">
        <v>33</v>
      </c>
      <c r="P179" s="41" t="s">
        <v>357</v>
      </c>
      <c r="Q179" s="41" t="s">
        <v>0</v>
      </c>
      <c r="R179" s="41" t="s">
        <v>1</v>
      </c>
      <c r="S179" s="41" t="s">
        <v>358</v>
      </c>
      <c r="T179" s="41" t="s">
        <v>359</v>
      </c>
    </row>
    <row r="180" spans="1:20">
      <c r="A180" s="58">
        <v>97080</v>
      </c>
      <c r="B180" s="44" t="s">
        <v>54</v>
      </c>
      <c r="C180" s="44" t="s">
        <v>355</v>
      </c>
      <c r="D180" s="41" t="s">
        <v>23</v>
      </c>
      <c r="E180" s="44" t="s">
        <v>93</v>
      </c>
      <c r="F180" s="44" t="s">
        <v>94</v>
      </c>
      <c r="G180" s="41" t="s">
        <v>28</v>
      </c>
      <c r="H180" s="41" t="s">
        <v>28</v>
      </c>
      <c r="I180" s="41" t="s">
        <v>28</v>
      </c>
      <c r="J180" s="41" t="s">
        <v>60</v>
      </c>
      <c r="K180" s="41" t="s">
        <v>60</v>
      </c>
      <c r="L180" s="41" t="s">
        <v>60</v>
      </c>
      <c r="M180" s="41" t="s">
        <v>22</v>
      </c>
      <c r="N180" s="41" t="s">
        <v>32</v>
      </c>
      <c r="O180" s="43" t="s">
        <v>33</v>
      </c>
      <c r="P180" s="41" t="s">
        <v>357</v>
      </c>
      <c r="Q180" s="41" t="s">
        <v>0</v>
      </c>
      <c r="R180" s="41" t="s">
        <v>1</v>
      </c>
      <c r="S180" s="41" t="s">
        <v>358</v>
      </c>
      <c r="T180" s="41" t="s">
        <v>359</v>
      </c>
    </row>
    <row r="181" spans="1:20">
      <c r="A181" s="58">
        <v>97083</v>
      </c>
      <c r="B181" s="44" t="s">
        <v>54</v>
      </c>
      <c r="C181" s="44" t="s">
        <v>355</v>
      </c>
      <c r="D181" s="41" t="s">
        <v>23</v>
      </c>
      <c r="E181" s="44" t="s">
        <v>93</v>
      </c>
      <c r="F181" s="44" t="s">
        <v>94</v>
      </c>
      <c r="G181" s="41" t="s">
        <v>28</v>
      </c>
      <c r="H181" s="41" t="s">
        <v>28</v>
      </c>
      <c r="I181" s="41" t="s">
        <v>28</v>
      </c>
      <c r="J181" s="41" t="s">
        <v>61</v>
      </c>
      <c r="K181" s="41" t="s">
        <v>61</v>
      </c>
      <c r="L181" s="41" t="s">
        <v>61</v>
      </c>
      <c r="M181" s="41" t="s">
        <v>22</v>
      </c>
      <c r="N181" s="41" t="s">
        <v>32</v>
      </c>
      <c r="O181" s="43" t="s">
        <v>33</v>
      </c>
      <c r="P181" s="41" t="s">
        <v>357</v>
      </c>
      <c r="Q181" s="41" t="s">
        <v>0</v>
      </c>
      <c r="R181" s="41" t="s">
        <v>1</v>
      </c>
      <c r="S181" s="41" t="s">
        <v>358</v>
      </c>
      <c r="T181" s="41" t="s">
        <v>359</v>
      </c>
    </row>
    <row r="182" spans="1:20">
      <c r="A182" s="58">
        <v>97102</v>
      </c>
      <c r="B182" s="44" t="s">
        <v>54</v>
      </c>
      <c r="C182" s="44" t="s">
        <v>355</v>
      </c>
      <c r="D182" s="21" t="s">
        <v>102</v>
      </c>
      <c r="E182" s="41" t="s">
        <v>25</v>
      </c>
      <c r="F182" s="41" t="s">
        <v>25</v>
      </c>
      <c r="G182" s="41" t="s">
        <v>28</v>
      </c>
      <c r="H182" s="41" t="s">
        <v>25</v>
      </c>
      <c r="I182" s="41" t="s">
        <v>25</v>
      </c>
      <c r="J182" s="44" t="s">
        <v>204</v>
      </c>
      <c r="K182" s="41" t="s">
        <v>25</v>
      </c>
      <c r="L182" s="41" t="s">
        <v>25</v>
      </c>
      <c r="M182" s="41" t="s">
        <v>22</v>
      </c>
      <c r="N182" s="41" t="s">
        <v>32</v>
      </c>
      <c r="O182" s="43" t="s">
        <v>33</v>
      </c>
      <c r="P182" s="41" t="s">
        <v>357</v>
      </c>
      <c r="Q182" s="41" t="s">
        <v>0</v>
      </c>
      <c r="R182" s="41" t="s">
        <v>1</v>
      </c>
      <c r="S182" s="41" t="s">
        <v>358</v>
      </c>
      <c r="T182" s="41" t="s">
        <v>359</v>
      </c>
    </row>
    <row r="183" spans="1:20">
      <c r="A183" s="58">
        <v>97103</v>
      </c>
      <c r="B183" s="44" t="s">
        <v>54</v>
      </c>
      <c r="C183" s="44" t="s">
        <v>355</v>
      </c>
      <c r="D183" s="21" t="s">
        <v>108</v>
      </c>
      <c r="E183" s="41" t="s">
        <v>25</v>
      </c>
      <c r="F183" s="41" t="s">
        <v>25</v>
      </c>
      <c r="G183" s="41" t="s">
        <v>28</v>
      </c>
      <c r="H183" s="41" t="s">
        <v>25</v>
      </c>
      <c r="I183" s="41" t="s">
        <v>25</v>
      </c>
      <c r="J183" s="44" t="s">
        <v>204</v>
      </c>
      <c r="K183" s="41" t="s">
        <v>25</v>
      </c>
      <c r="L183" s="41" t="s">
        <v>25</v>
      </c>
      <c r="M183" s="41" t="s">
        <v>22</v>
      </c>
      <c r="N183" s="41" t="s">
        <v>32</v>
      </c>
      <c r="O183" s="43" t="s">
        <v>33</v>
      </c>
      <c r="P183" s="41" t="s">
        <v>357</v>
      </c>
      <c r="Q183" s="41" t="s">
        <v>0</v>
      </c>
      <c r="R183" s="41" t="s">
        <v>1</v>
      </c>
      <c r="S183" s="41" t="s">
        <v>358</v>
      </c>
      <c r="T183" s="41" t="s">
        <v>359</v>
      </c>
    </row>
    <row r="184" spans="1:20">
      <c r="A184" s="44" t="s">
        <v>365</v>
      </c>
      <c r="D184" s="21"/>
      <c r="E184" s="41"/>
      <c r="F184" s="41"/>
      <c r="G184" s="41"/>
      <c r="H184" s="41"/>
      <c r="I184" s="41"/>
      <c r="K184" s="41"/>
      <c r="L184" s="41"/>
      <c r="M184" s="41"/>
      <c r="N184" s="41"/>
      <c r="O184" s="43"/>
      <c r="P184" s="41"/>
      <c r="Q184" s="41"/>
      <c r="R184" s="41"/>
      <c r="S184" s="41"/>
      <c r="T184" s="41"/>
    </row>
    <row r="185" spans="1:20">
      <c r="A185" s="57">
        <v>96100</v>
      </c>
      <c r="B185" s="44" t="s">
        <v>54</v>
      </c>
      <c r="C185" s="44" t="s">
        <v>355</v>
      </c>
      <c r="D185" s="41" t="s">
        <v>23</v>
      </c>
      <c r="E185" s="44" t="s">
        <v>93</v>
      </c>
      <c r="F185" s="44" t="s">
        <v>94</v>
      </c>
      <c r="G185" s="41" t="s">
        <v>28</v>
      </c>
      <c r="H185" s="41" t="s">
        <v>28</v>
      </c>
      <c r="I185" s="41" t="s">
        <v>28</v>
      </c>
      <c r="J185" s="44" t="s">
        <v>204</v>
      </c>
      <c r="K185" s="44" t="s">
        <v>204</v>
      </c>
      <c r="L185" s="44" t="s">
        <v>204</v>
      </c>
      <c r="M185" s="41" t="s">
        <v>362</v>
      </c>
      <c r="N185" s="41" t="s">
        <v>363</v>
      </c>
      <c r="O185" s="43" t="s">
        <v>364</v>
      </c>
      <c r="P185" s="41" t="s">
        <v>19</v>
      </c>
      <c r="Q185" s="41" t="s">
        <v>0</v>
      </c>
      <c r="R185" s="41" t="s">
        <v>1</v>
      </c>
      <c r="S185" s="41">
        <v>1825</v>
      </c>
      <c r="T185" s="41" t="s">
        <v>24</v>
      </c>
    </row>
    <row r="186" spans="1:20">
      <c r="A186" s="44" t="s">
        <v>366</v>
      </c>
      <c r="D186" s="21"/>
      <c r="E186" s="41"/>
      <c r="F186" s="41"/>
      <c r="G186" s="41"/>
      <c r="H186" s="41"/>
      <c r="I186" s="41"/>
      <c r="K186" s="41"/>
      <c r="L186" s="41"/>
      <c r="M186" s="41"/>
      <c r="N186" s="41"/>
      <c r="O186" s="43"/>
      <c r="P186" s="41"/>
      <c r="Q186" s="41"/>
      <c r="R186" s="41"/>
      <c r="S186" s="41"/>
      <c r="T186" s="41"/>
    </row>
    <row r="187" spans="1:20">
      <c r="A187" s="44" t="s">
        <v>466</v>
      </c>
      <c r="D187" s="21"/>
      <c r="E187" s="41"/>
      <c r="F187" s="41"/>
      <c r="G187" s="41"/>
      <c r="H187" s="41"/>
      <c r="I187" s="41"/>
      <c r="K187" s="41"/>
      <c r="L187" s="41"/>
      <c r="M187" s="41"/>
      <c r="N187" s="41"/>
      <c r="O187" s="43"/>
      <c r="P187" s="41"/>
      <c r="Q187" s="41"/>
      <c r="R187" s="41"/>
      <c r="S187" s="41"/>
      <c r="T187" s="41"/>
    </row>
    <row r="188" spans="1:20">
      <c r="A188" s="58">
        <v>89100</v>
      </c>
      <c r="B188" s="44" t="s">
        <v>367</v>
      </c>
      <c r="C188" s="44" t="s">
        <v>368</v>
      </c>
      <c r="D188" s="41" t="s">
        <v>23</v>
      </c>
      <c r="E188" s="44" t="s">
        <v>93</v>
      </c>
      <c r="F188" s="44" t="s">
        <v>94</v>
      </c>
      <c r="G188" s="41" t="s">
        <v>28</v>
      </c>
      <c r="H188" s="41" t="s">
        <v>28</v>
      </c>
      <c r="I188" s="41" t="s">
        <v>28</v>
      </c>
      <c r="J188" s="44" t="s">
        <v>369</v>
      </c>
      <c r="K188" s="44" t="s">
        <v>370</v>
      </c>
      <c r="L188" s="44" t="s">
        <v>371</v>
      </c>
      <c r="M188" s="41" t="s">
        <v>372</v>
      </c>
      <c r="N188" s="41" t="s">
        <v>467</v>
      </c>
      <c r="O188" s="43" t="s">
        <v>33</v>
      </c>
      <c r="P188" s="41" t="s">
        <v>19</v>
      </c>
      <c r="Q188" s="41" t="s">
        <v>0</v>
      </c>
      <c r="R188" s="41" t="s">
        <v>1</v>
      </c>
      <c r="S188" s="41" t="s">
        <v>373</v>
      </c>
      <c r="T188" s="41" t="s">
        <v>24</v>
      </c>
    </row>
    <row r="189" spans="1:20">
      <c r="A189" s="58">
        <v>69100</v>
      </c>
      <c r="B189" s="44" t="s">
        <v>367</v>
      </c>
      <c r="C189" s="44" t="s">
        <v>367</v>
      </c>
      <c r="D189" s="41" t="s">
        <v>23</v>
      </c>
      <c r="E189" s="44" t="s">
        <v>93</v>
      </c>
      <c r="F189" s="44" t="s">
        <v>94</v>
      </c>
      <c r="G189" s="41" t="s">
        <v>28</v>
      </c>
      <c r="H189" s="41" t="s">
        <v>28</v>
      </c>
      <c r="I189" s="41" t="s">
        <v>28</v>
      </c>
      <c r="J189" s="44" t="s">
        <v>369</v>
      </c>
      <c r="K189" s="44" t="s">
        <v>370</v>
      </c>
      <c r="L189" s="44" t="s">
        <v>371</v>
      </c>
      <c r="M189" s="41" t="s">
        <v>372</v>
      </c>
      <c r="N189" s="41" t="s">
        <v>467</v>
      </c>
      <c r="O189" s="43" t="s">
        <v>33</v>
      </c>
      <c r="P189" s="41" t="s">
        <v>19</v>
      </c>
      <c r="Q189" s="41" t="s">
        <v>0</v>
      </c>
      <c r="R189" s="41" t="s">
        <v>1</v>
      </c>
      <c r="S189" s="41" t="s">
        <v>373</v>
      </c>
      <c r="T189" s="41" t="s">
        <v>24</v>
      </c>
    </row>
    <row r="190" spans="1:20">
      <c r="A190" s="55">
        <v>99100</v>
      </c>
      <c r="B190" s="44" t="s">
        <v>469</v>
      </c>
      <c r="C190" s="44" t="s">
        <v>470</v>
      </c>
      <c r="D190" s="41" t="s">
        <v>23</v>
      </c>
      <c r="E190" s="44" t="s">
        <v>93</v>
      </c>
      <c r="F190" s="44" t="s">
        <v>94</v>
      </c>
      <c r="G190" s="41" t="s">
        <v>28</v>
      </c>
      <c r="H190" s="41" t="s">
        <v>28</v>
      </c>
      <c r="I190" s="41" t="s">
        <v>28</v>
      </c>
      <c r="J190" s="44" t="s">
        <v>329</v>
      </c>
      <c r="K190" s="44" t="s">
        <v>475</v>
      </c>
      <c r="L190" s="44" t="s">
        <v>329</v>
      </c>
      <c r="M190" s="41" t="s">
        <v>22</v>
      </c>
      <c r="N190" s="41" t="s">
        <v>32</v>
      </c>
      <c r="O190" s="43" t="s">
        <v>33</v>
      </c>
      <c r="P190" s="41" t="s">
        <v>19</v>
      </c>
      <c r="Q190" s="41" t="s">
        <v>0</v>
      </c>
      <c r="R190" s="41" t="s">
        <v>1</v>
      </c>
      <c r="S190" s="41">
        <v>1825</v>
      </c>
      <c r="T190" s="41" t="s">
        <v>24</v>
      </c>
    </row>
    <row r="191" spans="1:20">
      <c r="A191" s="40" t="s">
        <v>471</v>
      </c>
      <c r="D191" s="41"/>
      <c r="G191" s="41"/>
      <c r="H191" s="41"/>
      <c r="I191" s="41"/>
      <c r="M191" s="41"/>
      <c r="N191" s="41"/>
      <c r="O191" s="43"/>
      <c r="P191" s="41"/>
      <c r="Q191" s="41"/>
      <c r="R191" s="41"/>
      <c r="S191" s="41"/>
      <c r="T191" s="41"/>
    </row>
    <row r="192" spans="1:20">
      <c r="A192" s="40" t="s">
        <v>472</v>
      </c>
      <c r="D192" s="41"/>
      <c r="G192" s="41"/>
      <c r="H192" s="41"/>
      <c r="I192" s="41"/>
      <c r="M192" s="41"/>
      <c r="N192" s="41"/>
      <c r="O192" s="43"/>
      <c r="P192" s="41"/>
      <c r="Q192" s="41"/>
      <c r="R192" s="41"/>
      <c r="S192" s="41"/>
      <c r="T192" s="41"/>
    </row>
    <row r="193" spans="1:20">
      <c r="A193" s="55">
        <v>79100</v>
      </c>
      <c r="B193" s="44" t="s">
        <v>468</v>
      </c>
      <c r="C193" s="44" t="s">
        <v>470</v>
      </c>
      <c r="D193" s="41" t="s">
        <v>23</v>
      </c>
      <c r="E193" s="44" t="s">
        <v>93</v>
      </c>
      <c r="F193" s="44" t="s">
        <v>94</v>
      </c>
      <c r="G193" s="41" t="s">
        <v>28</v>
      </c>
      <c r="H193" s="41" t="s">
        <v>28</v>
      </c>
      <c r="I193" s="41" t="s">
        <v>28</v>
      </c>
      <c r="J193" s="44" t="s">
        <v>369</v>
      </c>
      <c r="K193" s="44" t="s">
        <v>370</v>
      </c>
      <c r="L193" s="44" t="s">
        <v>371</v>
      </c>
      <c r="M193" s="41" t="s">
        <v>372</v>
      </c>
      <c r="N193" s="41" t="s">
        <v>467</v>
      </c>
      <c r="O193" s="43" t="s">
        <v>33</v>
      </c>
      <c r="P193" s="14" t="s">
        <v>465</v>
      </c>
      <c r="Q193" s="41" t="s">
        <v>0</v>
      </c>
      <c r="R193" s="41" t="s">
        <v>1</v>
      </c>
      <c r="S193" s="41" t="s">
        <v>373</v>
      </c>
      <c r="T193" s="41" t="s">
        <v>24</v>
      </c>
    </row>
    <row r="194" spans="1:20">
      <c r="A194" s="55">
        <v>79101</v>
      </c>
      <c r="B194" s="44" t="s">
        <v>474</v>
      </c>
      <c r="C194" s="44" t="s">
        <v>470</v>
      </c>
      <c r="D194" s="41" t="s">
        <v>23</v>
      </c>
      <c r="E194" s="44" t="s">
        <v>93</v>
      </c>
      <c r="F194" s="44" t="s">
        <v>94</v>
      </c>
      <c r="G194" s="41" t="s">
        <v>28</v>
      </c>
      <c r="H194" s="41" t="s">
        <v>28</v>
      </c>
      <c r="I194" s="41" t="s">
        <v>28</v>
      </c>
      <c r="J194" s="44" t="s">
        <v>476</v>
      </c>
      <c r="K194" s="44" t="s">
        <v>473</v>
      </c>
      <c r="L194" s="44" t="s">
        <v>473</v>
      </c>
      <c r="M194" s="41" t="s">
        <v>372</v>
      </c>
      <c r="N194" s="41" t="s">
        <v>467</v>
      </c>
      <c r="O194" s="43" t="s">
        <v>33</v>
      </c>
      <c r="P194" s="14" t="s">
        <v>465</v>
      </c>
      <c r="Q194" s="41" t="s">
        <v>0</v>
      </c>
      <c r="R194" s="41" t="s">
        <v>1</v>
      </c>
      <c r="S194" s="41" t="s">
        <v>373</v>
      </c>
      <c r="T194" s="41" t="s">
        <v>24</v>
      </c>
    </row>
    <row r="195" spans="1:20">
      <c r="A195" s="55">
        <v>79200</v>
      </c>
      <c r="B195" s="44" t="s">
        <v>477</v>
      </c>
      <c r="C195" s="44" t="s">
        <v>478</v>
      </c>
      <c r="D195" s="41" t="s">
        <v>23</v>
      </c>
      <c r="E195" s="44" t="s">
        <v>93</v>
      </c>
      <c r="F195" s="44" t="s">
        <v>94</v>
      </c>
      <c r="G195" s="41" t="s">
        <v>28</v>
      </c>
      <c r="H195" s="41" t="s">
        <v>28</v>
      </c>
      <c r="I195" s="41" t="s">
        <v>28</v>
      </c>
      <c r="J195" s="44" t="s">
        <v>479</v>
      </c>
      <c r="K195" s="44" t="s">
        <v>479</v>
      </c>
      <c r="L195" s="44" t="s">
        <v>479</v>
      </c>
      <c r="M195" s="41" t="s">
        <v>480</v>
      </c>
      <c r="N195" s="41" t="s">
        <v>481</v>
      </c>
      <c r="O195" s="43" t="s">
        <v>33</v>
      </c>
      <c r="P195" s="14" t="s">
        <v>465</v>
      </c>
      <c r="Q195" s="41" t="s">
        <v>0</v>
      </c>
      <c r="R195" s="41" t="s">
        <v>1</v>
      </c>
      <c r="S195" s="41" t="s">
        <v>482</v>
      </c>
      <c r="T195" s="41" t="s">
        <v>24</v>
      </c>
    </row>
    <row r="196" spans="1:20">
      <c r="A196" s="44"/>
      <c r="D196" s="21"/>
      <c r="E196" s="41"/>
      <c r="F196" s="41"/>
      <c r="G196" s="41"/>
      <c r="H196" s="41"/>
      <c r="I196" s="41"/>
      <c r="K196" s="41"/>
      <c r="L196" s="41"/>
      <c r="M196" s="41"/>
      <c r="N196" s="41"/>
      <c r="O196" s="43"/>
      <c r="P196" s="41"/>
      <c r="Q196" s="41"/>
      <c r="R196" s="41"/>
      <c r="S196" s="41"/>
      <c r="T196" s="41"/>
    </row>
    <row r="204" spans="1:20">
      <c r="A204" s="44"/>
      <c r="D204" s="21"/>
      <c r="E204" s="41"/>
      <c r="F204" s="41"/>
      <c r="G204" s="41"/>
      <c r="H204" s="41"/>
      <c r="I204" s="41"/>
      <c r="K204" s="41"/>
      <c r="L204" s="41"/>
      <c r="M204" s="41"/>
      <c r="N204" s="41"/>
      <c r="O204" s="43"/>
      <c r="P204" s="41"/>
      <c r="Q204" s="41"/>
      <c r="R204" s="41"/>
      <c r="S204" s="41"/>
      <c r="T204" s="41"/>
    </row>
    <row r="205" spans="1:20">
      <c r="A205" s="56" t="s">
        <v>332</v>
      </c>
    </row>
    <row r="206" spans="1:20">
      <c r="A206" s="45" t="s">
        <v>331</v>
      </c>
      <c r="B206" s="44" t="s">
        <v>54</v>
      </c>
      <c r="C206" s="44" t="s">
        <v>326</v>
      </c>
    </row>
    <row r="211" spans="1:20">
      <c r="A211" s="52" t="s">
        <v>300</v>
      </c>
    </row>
    <row r="212" spans="1:20">
      <c r="A212" s="5">
        <v>99069</v>
      </c>
      <c r="B212" s="44" t="s">
        <v>54</v>
      </c>
      <c r="C212" s="44" t="s">
        <v>40</v>
      </c>
      <c r="D212" s="44" t="s">
        <v>23</v>
      </c>
      <c r="E212" s="44" t="s">
        <v>93</v>
      </c>
      <c r="F212" s="44" t="s">
        <v>94</v>
      </c>
      <c r="G212" s="41" t="s">
        <v>27</v>
      </c>
      <c r="H212" s="41" t="s">
        <v>27</v>
      </c>
      <c r="I212" s="41" t="s">
        <v>27</v>
      </c>
      <c r="J212" s="44" t="s">
        <v>204</v>
      </c>
      <c r="K212" s="44" t="s">
        <v>204</v>
      </c>
      <c r="L212" s="44" t="s">
        <v>204</v>
      </c>
      <c r="M212" s="41" t="s">
        <v>22</v>
      </c>
      <c r="N212" s="41" t="s">
        <v>32</v>
      </c>
      <c r="O212" s="43" t="s">
        <v>33</v>
      </c>
      <c r="P212" s="41" t="s">
        <v>19</v>
      </c>
      <c r="Q212" s="41" t="s">
        <v>0</v>
      </c>
      <c r="R212" s="41" t="s">
        <v>1</v>
      </c>
      <c r="S212" s="41">
        <v>1825</v>
      </c>
      <c r="T212" s="41" t="s">
        <v>24</v>
      </c>
    </row>
    <row r="213" spans="1:20">
      <c r="A213" s="5">
        <v>99072</v>
      </c>
      <c r="B213" s="44" t="s">
        <v>54</v>
      </c>
      <c r="C213" s="44" t="s">
        <v>40</v>
      </c>
      <c r="D213" s="44" t="s">
        <v>23</v>
      </c>
      <c r="E213" s="44" t="s">
        <v>93</v>
      </c>
      <c r="F213" s="44" t="s">
        <v>94</v>
      </c>
      <c r="G213" s="41" t="s">
        <v>206</v>
      </c>
      <c r="H213" s="41" t="s">
        <v>206</v>
      </c>
      <c r="I213" s="41" t="s">
        <v>206</v>
      </c>
      <c r="J213" s="44" t="s">
        <v>204</v>
      </c>
      <c r="K213" s="44" t="s">
        <v>204</v>
      </c>
      <c r="L213" s="44" t="s">
        <v>204</v>
      </c>
      <c r="M213" s="41" t="s">
        <v>22</v>
      </c>
      <c r="N213" s="41" t="s">
        <v>32</v>
      </c>
      <c r="O213" s="43" t="s">
        <v>33</v>
      </c>
      <c r="P213" s="41" t="s">
        <v>19</v>
      </c>
      <c r="Q213" s="41" t="s">
        <v>0</v>
      </c>
      <c r="R213" s="41" t="s">
        <v>1</v>
      </c>
      <c r="S213" s="41">
        <v>1825</v>
      </c>
      <c r="T213" s="41" t="s">
        <v>24</v>
      </c>
    </row>
    <row r="214" spans="1:20">
      <c r="A214" s="45">
        <v>99081</v>
      </c>
      <c r="B214" s="44" t="s">
        <v>54</v>
      </c>
      <c r="C214" s="44" t="s">
        <v>40</v>
      </c>
      <c r="D214" s="44" t="s">
        <v>213</v>
      </c>
      <c r="E214" s="44" t="s">
        <v>93</v>
      </c>
      <c r="F214" s="44" t="s">
        <v>94</v>
      </c>
      <c r="G214" s="41" t="s">
        <v>27</v>
      </c>
      <c r="H214" s="41" t="s">
        <v>27</v>
      </c>
      <c r="I214" s="41" t="s">
        <v>27</v>
      </c>
      <c r="J214" s="41" t="s">
        <v>60</v>
      </c>
      <c r="K214" s="41" t="s">
        <v>60</v>
      </c>
      <c r="L214" s="41" t="s">
        <v>60</v>
      </c>
      <c r="M214" s="41" t="s">
        <v>22</v>
      </c>
      <c r="N214" s="41" t="s">
        <v>32</v>
      </c>
      <c r="O214" s="43" t="s">
        <v>33</v>
      </c>
      <c r="P214" s="41" t="s">
        <v>19</v>
      </c>
      <c r="Q214" s="41" t="s">
        <v>0</v>
      </c>
      <c r="R214" s="41" t="s">
        <v>1</v>
      </c>
      <c r="S214" s="41">
        <v>1825</v>
      </c>
      <c r="T214" s="41" t="s">
        <v>24</v>
      </c>
    </row>
    <row r="215" spans="1:20">
      <c r="A215" s="45">
        <v>99082</v>
      </c>
      <c r="B215" s="44" t="s">
        <v>54</v>
      </c>
      <c r="C215" s="44" t="s">
        <v>40</v>
      </c>
      <c r="D215" s="44" t="s">
        <v>23</v>
      </c>
      <c r="E215" s="44" t="s">
        <v>93</v>
      </c>
      <c r="F215" s="44" t="s">
        <v>94</v>
      </c>
      <c r="G215" s="42" t="s">
        <v>206</v>
      </c>
      <c r="H215" s="42" t="s">
        <v>206</v>
      </c>
      <c r="I215" s="42" t="s">
        <v>206</v>
      </c>
      <c r="J215" s="41" t="s">
        <v>60</v>
      </c>
      <c r="K215" s="41" t="s">
        <v>60</v>
      </c>
      <c r="L215" s="41" t="s">
        <v>60</v>
      </c>
      <c r="M215" s="41" t="s">
        <v>22</v>
      </c>
      <c r="N215" s="41" t="s">
        <v>32</v>
      </c>
      <c r="O215" s="43" t="s">
        <v>33</v>
      </c>
      <c r="P215" s="41" t="s">
        <v>19</v>
      </c>
      <c r="Q215" s="41" t="s">
        <v>0</v>
      </c>
      <c r="R215" s="41" t="s">
        <v>1</v>
      </c>
      <c r="S215" s="41">
        <v>1825</v>
      </c>
      <c r="T215" s="41" t="s">
        <v>24</v>
      </c>
    </row>
    <row r="216" spans="1:20">
      <c r="A216" s="45">
        <v>99084</v>
      </c>
      <c r="B216" s="44" t="s">
        <v>54</v>
      </c>
      <c r="C216" s="44" t="s">
        <v>40</v>
      </c>
      <c r="D216" s="44" t="s">
        <v>215</v>
      </c>
      <c r="E216" s="44" t="s">
        <v>93</v>
      </c>
      <c r="F216" s="44" t="s">
        <v>94</v>
      </c>
      <c r="G216" s="41" t="s">
        <v>27</v>
      </c>
      <c r="H216" s="41" t="s">
        <v>27</v>
      </c>
      <c r="I216" s="41" t="s">
        <v>27</v>
      </c>
      <c r="J216" s="41" t="s">
        <v>61</v>
      </c>
      <c r="K216" s="41" t="s">
        <v>61</v>
      </c>
      <c r="L216" s="41" t="s">
        <v>61</v>
      </c>
      <c r="M216" s="41" t="s">
        <v>22</v>
      </c>
      <c r="N216" s="41" t="s">
        <v>32</v>
      </c>
      <c r="O216" s="43" t="s">
        <v>33</v>
      </c>
      <c r="P216" s="41" t="s">
        <v>19</v>
      </c>
      <c r="Q216" s="41" t="s">
        <v>0</v>
      </c>
      <c r="R216" s="41" t="s">
        <v>1</v>
      </c>
      <c r="S216" s="41">
        <v>1825</v>
      </c>
      <c r="T216" s="41" t="s">
        <v>24</v>
      </c>
    </row>
    <row r="217" spans="1:20">
      <c r="A217" s="45">
        <v>99085</v>
      </c>
      <c r="B217" s="44" t="s">
        <v>54</v>
      </c>
      <c r="C217" s="44" t="s">
        <v>40</v>
      </c>
      <c r="D217" s="44" t="s">
        <v>23</v>
      </c>
      <c r="E217" s="44" t="s">
        <v>93</v>
      </c>
      <c r="F217" s="44" t="s">
        <v>94</v>
      </c>
      <c r="G217" s="42" t="s">
        <v>206</v>
      </c>
      <c r="H217" s="42" t="s">
        <v>206</v>
      </c>
      <c r="I217" s="42" t="s">
        <v>206</v>
      </c>
      <c r="J217" s="41" t="s">
        <v>61</v>
      </c>
      <c r="K217" s="41" t="s">
        <v>61</v>
      </c>
      <c r="L217" s="41" t="s">
        <v>61</v>
      </c>
      <c r="M217" s="41" t="s">
        <v>22</v>
      </c>
      <c r="N217" s="41" t="s">
        <v>32</v>
      </c>
      <c r="O217" s="43" t="s">
        <v>33</v>
      </c>
      <c r="P217" s="41" t="s">
        <v>19</v>
      </c>
      <c r="Q217" s="41" t="s">
        <v>0</v>
      </c>
      <c r="R217" s="41" t="s">
        <v>1</v>
      </c>
      <c r="S217" s="41">
        <v>1825</v>
      </c>
      <c r="T217" s="41" t="s">
        <v>24</v>
      </c>
    </row>
    <row r="218" spans="1:20">
      <c r="A218" s="45">
        <v>99087</v>
      </c>
      <c r="B218" s="44" t="s">
        <v>54</v>
      </c>
      <c r="C218" s="44" t="s">
        <v>40</v>
      </c>
      <c r="D218" s="44" t="s">
        <v>23</v>
      </c>
      <c r="E218" s="44" t="s">
        <v>93</v>
      </c>
      <c r="F218" s="44" t="s">
        <v>94</v>
      </c>
      <c r="G218" s="41" t="s">
        <v>27</v>
      </c>
      <c r="H218" s="41" t="s">
        <v>27</v>
      </c>
      <c r="I218" s="41" t="s">
        <v>27</v>
      </c>
      <c r="J218" s="41" t="s">
        <v>220</v>
      </c>
      <c r="K218" s="41" t="s">
        <v>220</v>
      </c>
      <c r="L218" s="41" t="s">
        <v>220</v>
      </c>
      <c r="M218" s="41" t="s">
        <v>22</v>
      </c>
      <c r="N218" s="41" t="s">
        <v>32</v>
      </c>
      <c r="O218" s="43" t="s">
        <v>33</v>
      </c>
      <c r="P218" s="41" t="s">
        <v>19</v>
      </c>
      <c r="Q218" s="41" t="s">
        <v>0</v>
      </c>
      <c r="R218" s="41" t="s">
        <v>1</v>
      </c>
      <c r="S218" s="41">
        <v>1825</v>
      </c>
      <c r="T218" s="41" t="s">
        <v>24</v>
      </c>
    </row>
    <row r="219" spans="1:20">
      <c r="A219" s="45">
        <v>99088</v>
      </c>
      <c r="B219" s="44" t="s">
        <v>54</v>
      </c>
      <c r="C219" s="44" t="s">
        <v>40</v>
      </c>
      <c r="D219" s="44" t="s">
        <v>23</v>
      </c>
      <c r="E219" s="44" t="s">
        <v>93</v>
      </c>
      <c r="F219" s="44" t="s">
        <v>94</v>
      </c>
      <c r="G219" s="42" t="s">
        <v>206</v>
      </c>
      <c r="H219" s="42" t="s">
        <v>206</v>
      </c>
      <c r="I219" s="42" t="s">
        <v>206</v>
      </c>
      <c r="J219" s="41" t="s">
        <v>220</v>
      </c>
      <c r="K219" s="41" t="s">
        <v>220</v>
      </c>
      <c r="L219" s="41" t="s">
        <v>220</v>
      </c>
      <c r="M219" s="41" t="s">
        <v>22</v>
      </c>
      <c r="N219" s="41" t="s">
        <v>32</v>
      </c>
      <c r="O219" s="43" t="s">
        <v>33</v>
      </c>
      <c r="P219" s="41" t="s">
        <v>19</v>
      </c>
      <c r="Q219" s="41" t="s">
        <v>0</v>
      </c>
      <c r="R219" s="41" t="s">
        <v>1</v>
      </c>
      <c r="S219" s="41">
        <v>1825</v>
      </c>
      <c r="T219" s="41" t="s">
        <v>24</v>
      </c>
    </row>
    <row r="220" spans="1:20">
      <c r="A220" s="45">
        <v>99090</v>
      </c>
      <c r="B220" s="44" t="s">
        <v>54</v>
      </c>
      <c r="C220" s="44" t="s">
        <v>40</v>
      </c>
      <c r="D220" s="44" t="s">
        <v>23</v>
      </c>
      <c r="E220" s="44" t="s">
        <v>93</v>
      </c>
      <c r="F220" s="44" t="s">
        <v>94</v>
      </c>
      <c r="G220" s="41" t="s">
        <v>27</v>
      </c>
      <c r="H220" s="41" t="s">
        <v>27</v>
      </c>
      <c r="I220" s="41" t="s">
        <v>27</v>
      </c>
      <c r="J220" s="41" t="s">
        <v>221</v>
      </c>
      <c r="K220" s="41" t="s">
        <v>221</v>
      </c>
      <c r="L220" s="41" t="s">
        <v>221</v>
      </c>
      <c r="M220" s="41" t="s">
        <v>22</v>
      </c>
      <c r="N220" s="41" t="s">
        <v>32</v>
      </c>
      <c r="O220" s="43" t="s">
        <v>33</v>
      </c>
      <c r="P220" s="41" t="s">
        <v>19</v>
      </c>
      <c r="Q220" s="41" t="s">
        <v>0</v>
      </c>
      <c r="R220" s="41" t="s">
        <v>1</v>
      </c>
      <c r="S220" s="41">
        <v>1825</v>
      </c>
      <c r="T220" s="41" t="s">
        <v>24</v>
      </c>
    </row>
    <row r="221" spans="1:20">
      <c r="A221" s="45">
        <v>99091</v>
      </c>
      <c r="B221" s="44" t="s">
        <v>54</v>
      </c>
      <c r="C221" s="44" t="s">
        <v>40</v>
      </c>
      <c r="D221" s="44" t="s">
        <v>23</v>
      </c>
      <c r="E221" s="44" t="s">
        <v>93</v>
      </c>
      <c r="F221" s="44" t="s">
        <v>94</v>
      </c>
      <c r="G221" s="42" t="s">
        <v>206</v>
      </c>
      <c r="H221" s="42" t="s">
        <v>206</v>
      </c>
      <c r="I221" s="42" t="s">
        <v>206</v>
      </c>
      <c r="J221" s="41" t="s">
        <v>221</v>
      </c>
      <c r="K221" s="41" t="s">
        <v>221</v>
      </c>
      <c r="L221" s="41" t="s">
        <v>221</v>
      </c>
      <c r="M221" s="41" t="s">
        <v>22</v>
      </c>
      <c r="N221" s="41" t="s">
        <v>32</v>
      </c>
      <c r="O221" s="43" t="s">
        <v>33</v>
      </c>
      <c r="P221" s="41" t="s">
        <v>19</v>
      </c>
      <c r="Q221" s="41" t="s">
        <v>0</v>
      </c>
      <c r="R221" s="41" t="s">
        <v>1</v>
      </c>
      <c r="S221" s="41">
        <v>1825</v>
      </c>
      <c r="T221" s="41" t="s">
        <v>24</v>
      </c>
    </row>
    <row r="222" spans="1:20">
      <c r="A222" s="45">
        <v>99095</v>
      </c>
      <c r="B222" s="44" t="s">
        <v>54</v>
      </c>
      <c r="C222" s="44" t="s">
        <v>40</v>
      </c>
      <c r="D222" s="44" t="s">
        <v>23</v>
      </c>
      <c r="E222" s="44" t="s">
        <v>93</v>
      </c>
      <c r="F222" s="44" t="s">
        <v>94</v>
      </c>
      <c r="G222" s="41" t="s">
        <v>27</v>
      </c>
      <c r="H222" s="41" t="s">
        <v>27</v>
      </c>
      <c r="I222" s="41" t="s">
        <v>27</v>
      </c>
      <c r="J222" s="41" t="s">
        <v>222</v>
      </c>
      <c r="K222" s="41" t="s">
        <v>222</v>
      </c>
      <c r="L222" s="41" t="s">
        <v>222</v>
      </c>
      <c r="M222" s="41" t="s">
        <v>22</v>
      </c>
      <c r="N222" s="41" t="s">
        <v>32</v>
      </c>
      <c r="O222" s="43" t="s">
        <v>33</v>
      </c>
      <c r="P222" s="41" t="s">
        <v>19</v>
      </c>
      <c r="Q222" s="41" t="s">
        <v>0</v>
      </c>
      <c r="R222" s="41" t="s">
        <v>1</v>
      </c>
      <c r="S222" s="41">
        <v>1825</v>
      </c>
      <c r="T222" s="41" t="s">
        <v>24</v>
      </c>
    </row>
    <row r="223" spans="1:20">
      <c r="A223" s="45">
        <v>99096</v>
      </c>
      <c r="B223" s="44" t="s">
        <v>54</v>
      </c>
      <c r="C223" s="44" t="s">
        <v>40</v>
      </c>
      <c r="D223" s="44" t="s">
        <v>23</v>
      </c>
      <c r="E223" s="44" t="s">
        <v>93</v>
      </c>
      <c r="F223" s="44" t="s">
        <v>94</v>
      </c>
      <c r="G223" s="42" t="s">
        <v>206</v>
      </c>
      <c r="H223" s="42" t="s">
        <v>206</v>
      </c>
      <c r="I223" s="42" t="s">
        <v>206</v>
      </c>
      <c r="J223" s="41" t="s">
        <v>222</v>
      </c>
      <c r="K223" s="41" t="s">
        <v>222</v>
      </c>
      <c r="L223" s="41" t="s">
        <v>222</v>
      </c>
      <c r="M223" s="41" t="s">
        <v>22</v>
      </c>
      <c r="N223" s="41" t="s">
        <v>32</v>
      </c>
      <c r="O223" s="43" t="s">
        <v>33</v>
      </c>
      <c r="P223" s="41" t="s">
        <v>19</v>
      </c>
      <c r="Q223" s="41" t="s">
        <v>0</v>
      </c>
      <c r="R223" s="41" t="s">
        <v>1</v>
      </c>
      <c r="S223" s="41">
        <v>1825</v>
      </c>
      <c r="T223" s="41" t="s">
        <v>24</v>
      </c>
    </row>
    <row r="253" spans="1:20">
      <c r="A253" s="45" t="s">
        <v>223</v>
      </c>
      <c r="G253" s="42"/>
      <c r="H253" s="42"/>
      <c r="I253" s="42"/>
      <c r="J253" s="41"/>
      <c r="K253" s="41"/>
      <c r="L253" s="41"/>
      <c r="M253" s="41"/>
      <c r="N253" s="41"/>
      <c r="O253" s="43"/>
      <c r="P253" s="41"/>
      <c r="Q253" s="41"/>
      <c r="R253" s="41"/>
      <c r="S253" s="41"/>
      <c r="T253" s="41"/>
    </row>
    <row r="254" spans="1:20">
      <c r="A254" s="45" t="s">
        <v>224</v>
      </c>
      <c r="B254" s="44" t="s">
        <v>54</v>
      </c>
      <c r="C254" s="44" t="s">
        <v>40</v>
      </c>
      <c r="D254" s="44" t="s">
        <v>216</v>
      </c>
      <c r="E254" s="44" t="s">
        <v>93</v>
      </c>
      <c r="F254" s="44" t="s">
        <v>94</v>
      </c>
      <c r="G254" s="41" t="s">
        <v>28</v>
      </c>
      <c r="H254" s="41" t="s">
        <v>28</v>
      </c>
      <c r="I254" s="41" t="s">
        <v>28</v>
      </c>
      <c r="J254" s="41" t="s">
        <v>218</v>
      </c>
      <c r="K254" s="41" t="s">
        <v>218</v>
      </c>
      <c r="L254" s="41" t="s">
        <v>218</v>
      </c>
      <c r="M254" s="41" t="s">
        <v>22</v>
      </c>
      <c r="N254" s="41" t="s">
        <v>32</v>
      </c>
      <c r="O254" s="43" t="s">
        <v>33</v>
      </c>
      <c r="P254" s="41" t="s">
        <v>19</v>
      </c>
      <c r="Q254" s="41" t="s">
        <v>0</v>
      </c>
      <c r="R254" s="41" t="s">
        <v>1</v>
      </c>
      <c r="S254" s="41">
        <v>1825</v>
      </c>
      <c r="T254" s="41" t="s">
        <v>24</v>
      </c>
    </row>
    <row r="255" spans="1:20">
      <c r="A255" s="45" t="s">
        <v>225</v>
      </c>
      <c r="B255" s="44" t="s">
        <v>54</v>
      </c>
      <c r="C255" s="44" t="s">
        <v>40</v>
      </c>
      <c r="D255" s="44" t="s">
        <v>217</v>
      </c>
      <c r="E255" s="44" t="s">
        <v>93</v>
      </c>
      <c r="F255" s="44" t="s">
        <v>94</v>
      </c>
      <c r="G255" s="41" t="s">
        <v>27</v>
      </c>
      <c r="H255" s="41" t="s">
        <v>27</v>
      </c>
      <c r="I255" s="41" t="s">
        <v>27</v>
      </c>
      <c r="J255" s="41" t="s">
        <v>218</v>
      </c>
      <c r="K255" s="41" t="s">
        <v>218</v>
      </c>
      <c r="L255" s="41" t="s">
        <v>218</v>
      </c>
      <c r="M255" s="41" t="s">
        <v>22</v>
      </c>
      <c r="N255" s="41" t="s">
        <v>32</v>
      </c>
      <c r="O255" s="43" t="s">
        <v>33</v>
      </c>
      <c r="P255" s="41" t="s">
        <v>19</v>
      </c>
      <c r="Q255" s="41" t="s">
        <v>0</v>
      </c>
      <c r="R255" s="41" t="s">
        <v>1</v>
      </c>
      <c r="S255" s="41">
        <v>1825</v>
      </c>
      <c r="T255" s="41" t="s">
        <v>24</v>
      </c>
    </row>
    <row r="256" spans="1:20">
      <c r="A256" s="45" t="s">
        <v>225</v>
      </c>
      <c r="B256" s="44" t="s">
        <v>54</v>
      </c>
      <c r="C256" s="44" t="s">
        <v>40</v>
      </c>
      <c r="D256" s="44" t="s">
        <v>23</v>
      </c>
      <c r="E256" s="44" t="s">
        <v>93</v>
      </c>
      <c r="F256" s="44" t="s">
        <v>94</v>
      </c>
      <c r="G256" s="42" t="s">
        <v>206</v>
      </c>
      <c r="H256" s="42" t="s">
        <v>206</v>
      </c>
      <c r="I256" s="42" t="s">
        <v>206</v>
      </c>
      <c r="J256" s="41" t="s">
        <v>218</v>
      </c>
      <c r="K256" s="41" t="s">
        <v>218</v>
      </c>
      <c r="L256" s="41" t="s">
        <v>218</v>
      </c>
      <c r="M256" s="41" t="s">
        <v>22</v>
      </c>
      <c r="N256" s="41" t="s">
        <v>32</v>
      </c>
      <c r="O256" s="43" t="s">
        <v>33</v>
      </c>
      <c r="P256" s="41" t="s">
        <v>19</v>
      </c>
      <c r="Q256" s="41" t="s">
        <v>0</v>
      </c>
      <c r="R256" s="41" t="s">
        <v>1</v>
      </c>
      <c r="S256" s="41">
        <v>1825</v>
      </c>
      <c r="T256" s="41" t="s">
        <v>24</v>
      </c>
    </row>
    <row r="257" spans="1:20">
      <c r="A257" s="45" t="s">
        <v>225</v>
      </c>
      <c r="B257" s="44" t="s">
        <v>54</v>
      </c>
      <c r="C257" s="44" t="s">
        <v>40</v>
      </c>
      <c r="D257" s="44" t="s">
        <v>219</v>
      </c>
      <c r="E257" s="44" t="s">
        <v>93</v>
      </c>
      <c r="F257" s="44" t="s">
        <v>94</v>
      </c>
      <c r="G257" s="41" t="s">
        <v>28</v>
      </c>
      <c r="H257" s="41" t="s">
        <v>28</v>
      </c>
      <c r="I257" s="41" t="s">
        <v>28</v>
      </c>
      <c r="J257" s="41" t="s">
        <v>222</v>
      </c>
      <c r="K257" s="41" t="s">
        <v>222</v>
      </c>
      <c r="L257" s="41" t="s">
        <v>222</v>
      </c>
      <c r="M257" s="41" t="s">
        <v>22</v>
      </c>
      <c r="N257" s="41" t="s">
        <v>32</v>
      </c>
      <c r="O257" s="43" t="s">
        <v>33</v>
      </c>
      <c r="P257" s="41" t="s">
        <v>19</v>
      </c>
      <c r="Q257" s="41" t="s">
        <v>0</v>
      </c>
      <c r="R257" s="41" t="s">
        <v>1</v>
      </c>
      <c r="S257" s="41">
        <v>1825</v>
      </c>
      <c r="T257" s="41" t="s">
        <v>24</v>
      </c>
    </row>
    <row r="258" spans="1:20">
      <c r="A258" s="45" t="s">
        <v>226</v>
      </c>
      <c r="B258" s="44" t="s">
        <v>54</v>
      </c>
      <c r="C258" s="44" t="s">
        <v>40</v>
      </c>
      <c r="D258" s="44" t="s">
        <v>219</v>
      </c>
      <c r="E258" s="44" t="s">
        <v>93</v>
      </c>
      <c r="F258" s="44" t="s">
        <v>94</v>
      </c>
      <c r="G258" s="41" t="s">
        <v>27</v>
      </c>
      <c r="H258" s="41" t="s">
        <v>27</v>
      </c>
      <c r="I258" s="41" t="s">
        <v>27</v>
      </c>
      <c r="J258" s="41" t="s">
        <v>222</v>
      </c>
      <c r="K258" s="41" t="s">
        <v>222</v>
      </c>
      <c r="L258" s="41" t="s">
        <v>222</v>
      </c>
      <c r="M258" s="41" t="s">
        <v>22</v>
      </c>
      <c r="N258" s="41" t="s">
        <v>32</v>
      </c>
      <c r="O258" s="43" t="s">
        <v>33</v>
      </c>
      <c r="P258" s="41" t="s">
        <v>19</v>
      </c>
      <c r="Q258" s="41" t="s">
        <v>0</v>
      </c>
      <c r="R258" s="41" t="s">
        <v>1</v>
      </c>
      <c r="S258" s="41">
        <v>1825</v>
      </c>
      <c r="T258" s="41" t="s">
        <v>24</v>
      </c>
    </row>
    <row r="259" spans="1:20">
      <c r="A259" s="45" t="s">
        <v>225</v>
      </c>
      <c r="B259" s="44" t="s">
        <v>54</v>
      </c>
      <c r="C259" s="44" t="s">
        <v>40</v>
      </c>
      <c r="D259" s="44" t="s">
        <v>23</v>
      </c>
      <c r="E259" s="44" t="s">
        <v>93</v>
      </c>
      <c r="F259" s="44" t="s">
        <v>94</v>
      </c>
      <c r="G259" s="42" t="s">
        <v>206</v>
      </c>
      <c r="H259" s="42" t="s">
        <v>206</v>
      </c>
      <c r="I259" s="42" t="s">
        <v>206</v>
      </c>
      <c r="J259" s="41" t="s">
        <v>222</v>
      </c>
      <c r="K259" s="41" t="s">
        <v>222</v>
      </c>
      <c r="L259" s="41" t="s">
        <v>222</v>
      </c>
      <c r="M259" s="41" t="s">
        <v>22</v>
      </c>
      <c r="N259" s="41" t="s">
        <v>32</v>
      </c>
      <c r="O259" s="43" t="s">
        <v>33</v>
      </c>
      <c r="P259" s="41" t="s">
        <v>19</v>
      </c>
      <c r="Q259" s="41" t="s">
        <v>0</v>
      </c>
      <c r="R259" s="41" t="s">
        <v>1</v>
      </c>
      <c r="S259" s="41">
        <v>1825</v>
      </c>
      <c r="T259" s="41" t="s">
        <v>24</v>
      </c>
    </row>
    <row r="260" spans="1:20">
      <c r="A260" s="5">
        <v>99063</v>
      </c>
      <c r="B260" s="44" t="s">
        <v>54</v>
      </c>
      <c r="C260" s="44" t="s">
        <v>40</v>
      </c>
      <c r="D260" s="41" t="s">
        <v>23</v>
      </c>
      <c r="E260" s="44" t="s">
        <v>96</v>
      </c>
      <c r="F260" s="44" t="s">
        <v>191</v>
      </c>
      <c r="G260" s="41" t="s">
        <v>28</v>
      </c>
      <c r="H260" s="41" t="s">
        <v>28</v>
      </c>
      <c r="I260" s="41" t="s">
        <v>28</v>
      </c>
      <c r="J260" s="44" t="s">
        <v>188</v>
      </c>
      <c r="K260" s="44" t="s">
        <v>188</v>
      </c>
      <c r="L260" s="44" t="s">
        <v>188</v>
      </c>
      <c r="M260" s="41" t="s">
        <v>22</v>
      </c>
      <c r="N260" s="41" t="s">
        <v>32</v>
      </c>
      <c r="O260" s="43" t="s">
        <v>33</v>
      </c>
      <c r="P260" s="41" t="s">
        <v>19</v>
      </c>
      <c r="Q260" s="41" t="s">
        <v>0</v>
      </c>
      <c r="R260" s="41" t="s">
        <v>1</v>
      </c>
      <c r="S260" s="41">
        <v>1825</v>
      </c>
      <c r="T260" s="41" t="s">
        <v>24</v>
      </c>
    </row>
    <row r="261" spans="1:20">
      <c r="A261" s="31" t="s">
        <v>172</v>
      </c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3"/>
      <c r="P261" s="32"/>
      <c r="Q261" s="32"/>
      <c r="R261" s="41"/>
      <c r="S261" s="41"/>
      <c r="T261" s="41"/>
    </row>
    <row r="262" spans="1:20">
      <c r="A262" s="34">
        <v>99061</v>
      </c>
      <c r="B262" s="32" t="s">
        <v>54</v>
      </c>
      <c r="C262" s="32" t="s">
        <v>40</v>
      </c>
      <c r="D262" s="32" t="s">
        <v>138</v>
      </c>
      <c r="E262" s="32" t="s">
        <v>149</v>
      </c>
      <c r="F262" s="32" t="s">
        <v>148</v>
      </c>
      <c r="G262" s="32" t="s">
        <v>28</v>
      </c>
      <c r="H262" s="32" t="s">
        <v>28</v>
      </c>
      <c r="I262" s="32" t="s">
        <v>28</v>
      </c>
      <c r="J262" s="32" t="s">
        <v>133</v>
      </c>
      <c r="K262" s="32" t="s">
        <v>133</v>
      </c>
      <c r="L262" s="32" t="s">
        <v>133</v>
      </c>
      <c r="M262" s="32" t="s">
        <v>22</v>
      </c>
      <c r="N262" s="32" t="s">
        <v>32</v>
      </c>
      <c r="O262" s="33" t="s">
        <v>33</v>
      </c>
      <c r="P262" s="32" t="s">
        <v>19</v>
      </c>
      <c r="Q262" s="32" t="s">
        <v>0</v>
      </c>
      <c r="R262" s="41" t="s">
        <v>1</v>
      </c>
      <c r="S262" s="41">
        <v>1825</v>
      </c>
      <c r="T262" s="41" t="s">
        <v>24</v>
      </c>
    </row>
    <row r="263" spans="1:20">
      <c r="A263" s="34">
        <v>99062</v>
      </c>
      <c r="B263" s="32" t="s">
        <v>54</v>
      </c>
      <c r="C263" s="32" t="s">
        <v>40</v>
      </c>
      <c r="D263" s="32" t="s">
        <v>138</v>
      </c>
      <c r="E263" s="32" t="s">
        <v>149</v>
      </c>
      <c r="F263" s="32" t="s">
        <v>152</v>
      </c>
      <c r="G263" s="32" t="s">
        <v>28</v>
      </c>
      <c r="H263" s="32" t="s">
        <v>28</v>
      </c>
      <c r="I263" s="32" t="s">
        <v>28</v>
      </c>
      <c r="J263" s="32" t="s">
        <v>133</v>
      </c>
      <c r="K263" s="32" t="s">
        <v>133</v>
      </c>
      <c r="L263" s="32" t="s">
        <v>133</v>
      </c>
      <c r="M263" s="32" t="s">
        <v>22</v>
      </c>
      <c r="N263" s="32" t="s">
        <v>32</v>
      </c>
      <c r="O263" s="33" t="s">
        <v>33</v>
      </c>
      <c r="P263" s="32" t="s">
        <v>19</v>
      </c>
      <c r="Q263" s="32" t="s">
        <v>0</v>
      </c>
      <c r="R263" s="41" t="s">
        <v>1</v>
      </c>
      <c r="S263" s="41">
        <v>1825</v>
      </c>
      <c r="T263" s="41" t="s">
        <v>24</v>
      </c>
    </row>
    <row r="264" spans="1:20">
      <c r="A264" s="34">
        <v>99063</v>
      </c>
      <c r="B264" s="32" t="s">
        <v>54</v>
      </c>
      <c r="C264" s="32" t="s">
        <v>40</v>
      </c>
      <c r="D264" s="32" t="s">
        <v>138</v>
      </c>
      <c r="E264" s="32" t="s">
        <v>149</v>
      </c>
      <c r="F264" s="32" t="s">
        <v>158</v>
      </c>
      <c r="G264" s="32" t="s">
        <v>28</v>
      </c>
      <c r="H264" s="32" t="s">
        <v>28</v>
      </c>
      <c r="I264" s="32" t="s">
        <v>28</v>
      </c>
      <c r="J264" s="32" t="s">
        <v>133</v>
      </c>
      <c r="K264" s="32" t="s">
        <v>133</v>
      </c>
      <c r="L264" s="32" t="s">
        <v>133</v>
      </c>
      <c r="M264" s="32" t="s">
        <v>22</v>
      </c>
      <c r="N264" s="32" t="s">
        <v>32</v>
      </c>
      <c r="O264" s="33" t="s">
        <v>33</v>
      </c>
      <c r="P264" s="32" t="s">
        <v>19</v>
      </c>
      <c r="Q264" s="32" t="s">
        <v>0</v>
      </c>
      <c r="R264" s="41" t="s">
        <v>1</v>
      </c>
      <c r="S264" s="41">
        <v>1825</v>
      </c>
      <c r="T264" s="41" t="s">
        <v>24</v>
      </c>
    </row>
    <row r="265" spans="1:20">
      <c r="A265" s="34">
        <v>99064</v>
      </c>
      <c r="B265" s="32" t="s">
        <v>54</v>
      </c>
      <c r="C265" s="32" t="s">
        <v>40</v>
      </c>
      <c r="D265" s="32" t="s">
        <v>138</v>
      </c>
      <c r="E265" s="32" t="s">
        <v>149</v>
      </c>
      <c r="F265" s="32" t="s">
        <v>159</v>
      </c>
      <c r="G265" s="32" t="s">
        <v>28</v>
      </c>
      <c r="H265" s="32" t="s">
        <v>28</v>
      </c>
      <c r="I265" s="32" t="s">
        <v>28</v>
      </c>
      <c r="J265" s="32" t="s">
        <v>133</v>
      </c>
      <c r="K265" s="32" t="s">
        <v>133</v>
      </c>
      <c r="L265" s="32" t="s">
        <v>133</v>
      </c>
      <c r="M265" s="32" t="s">
        <v>22</v>
      </c>
      <c r="N265" s="32" t="s">
        <v>32</v>
      </c>
      <c r="O265" s="33" t="s">
        <v>33</v>
      </c>
      <c r="P265" s="32" t="s">
        <v>19</v>
      </c>
      <c r="Q265" s="32" t="s">
        <v>0</v>
      </c>
      <c r="R265" s="41" t="s">
        <v>1</v>
      </c>
      <c r="S265" s="41">
        <v>1825</v>
      </c>
      <c r="T265" s="41" t="s">
        <v>24</v>
      </c>
    </row>
    <row r="266" spans="1:20">
      <c r="A266" s="34">
        <v>99061</v>
      </c>
      <c r="B266" s="32" t="s">
        <v>54</v>
      </c>
      <c r="C266" s="32" t="s">
        <v>40</v>
      </c>
      <c r="D266" s="32" t="s">
        <v>138</v>
      </c>
      <c r="E266" s="32" t="s">
        <v>149</v>
      </c>
      <c r="F266" s="32" t="s">
        <v>148</v>
      </c>
      <c r="G266" s="32" t="s">
        <v>28</v>
      </c>
      <c r="H266" s="32" t="s">
        <v>28</v>
      </c>
      <c r="I266" s="32" t="s">
        <v>28</v>
      </c>
      <c r="J266" s="32" t="s">
        <v>133</v>
      </c>
      <c r="K266" s="32" t="s">
        <v>133</v>
      </c>
      <c r="L266" s="32" t="s">
        <v>133</v>
      </c>
      <c r="M266" s="32" t="s">
        <v>22</v>
      </c>
      <c r="N266" s="32" t="s">
        <v>32</v>
      </c>
      <c r="O266" s="33" t="s">
        <v>33</v>
      </c>
      <c r="P266" s="32" t="s">
        <v>19</v>
      </c>
      <c r="Q266" s="32" t="s">
        <v>0</v>
      </c>
      <c r="R266" s="41" t="s">
        <v>1</v>
      </c>
      <c r="S266" s="41">
        <v>1825</v>
      </c>
      <c r="T266" s="41" t="s">
        <v>24</v>
      </c>
    </row>
    <row r="267" spans="1:20">
      <c r="A267" s="34">
        <v>99062</v>
      </c>
      <c r="B267" s="32" t="s">
        <v>54</v>
      </c>
      <c r="C267" s="32" t="s">
        <v>40</v>
      </c>
      <c r="D267" s="32" t="s">
        <v>138</v>
      </c>
      <c r="E267" s="32" t="s">
        <v>149</v>
      </c>
      <c r="F267" s="32" t="s">
        <v>152</v>
      </c>
      <c r="G267" s="32" t="s">
        <v>28</v>
      </c>
      <c r="H267" s="32" t="s">
        <v>28</v>
      </c>
      <c r="I267" s="32" t="s">
        <v>28</v>
      </c>
      <c r="J267" s="32" t="s">
        <v>133</v>
      </c>
      <c r="K267" s="32" t="s">
        <v>133</v>
      </c>
      <c r="L267" s="32" t="s">
        <v>133</v>
      </c>
      <c r="M267" s="32" t="s">
        <v>22</v>
      </c>
      <c r="N267" s="32" t="s">
        <v>32</v>
      </c>
      <c r="O267" s="33" t="s">
        <v>33</v>
      </c>
      <c r="P267" s="32" t="s">
        <v>19</v>
      </c>
      <c r="Q267" s="32" t="s">
        <v>0</v>
      </c>
      <c r="R267" s="41" t="s">
        <v>1</v>
      </c>
      <c r="S267" s="41">
        <v>1825</v>
      </c>
      <c r="T267" s="41" t="s">
        <v>24</v>
      </c>
    </row>
    <row r="268" spans="1:20">
      <c r="A268" s="34">
        <v>99063</v>
      </c>
      <c r="B268" s="32" t="s">
        <v>54</v>
      </c>
      <c r="C268" s="32" t="s">
        <v>40</v>
      </c>
      <c r="D268" s="32" t="s">
        <v>138</v>
      </c>
      <c r="E268" s="32" t="s">
        <v>149</v>
      </c>
      <c r="F268" s="32" t="s">
        <v>158</v>
      </c>
      <c r="G268" s="32" t="s">
        <v>28</v>
      </c>
      <c r="H268" s="32" t="s">
        <v>28</v>
      </c>
      <c r="I268" s="32" t="s">
        <v>28</v>
      </c>
      <c r="J268" s="32" t="s">
        <v>133</v>
      </c>
      <c r="K268" s="32" t="s">
        <v>133</v>
      </c>
      <c r="L268" s="32" t="s">
        <v>133</v>
      </c>
      <c r="M268" s="32" t="s">
        <v>22</v>
      </c>
      <c r="N268" s="32" t="s">
        <v>32</v>
      </c>
      <c r="O268" s="33" t="s">
        <v>33</v>
      </c>
      <c r="P268" s="32" t="s">
        <v>19</v>
      </c>
      <c r="Q268" s="32" t="s">
        <v>0</v>
      </c>
      <c r="R268" s="41" t="s">
        <v>1</v>
      </c>
      <c r="S268" s="41">
        <v>1825</v>
      </c>
      <c r="T268" s="41" t="s">
        <v>24</v>
      </c>
    </row>
    <row r="269" spans="1:20">
      <c r="A269" s="34">
        <v>99064</v>
      </c>
      <c r="B269" s="32" t="s">
        <v>54</v>
      </c>
      <c r="C269" s="32" t="s">
        <v>40</v>
      </c>
      <c r="D269" s="32" t="s">
        <v>138</v>
      </c>
      <c r="E269" s="32" t="s">
        <v>149</v>
      </c>
      <c r="F269" s="32" t="s">
        <v>159</v>
      </c>
      <c r="G269" s="32" t="s">
        <v>28</v>
      </c>
      <c r="H269" s="32" t="s">
        <v>28</v>
      </c>
      <c r="I269" s="32" t="s">
        <v>28</v>
      </c>
      <c r="J269" s="32" t="s">
        <v>133</v>
      </c>
      <c r="K269" s="32" t="s">
        <v>133</v>
      </c>
      <c r="L269" s="32" t="s">
        <v>133</v>
      </c>
      <c r="M269" s="32" t="s">
        <v>22</v>
      </c>
      <c r="N269" s="32" t="s">
        <v>32</v>
      </c>
      <c r="O269" s="33" t="s">
        <v>33</v>
      </c>
      <c r="P269" s="32" t="s">
        <v>19</v>
      </c>
      <c r="Q269" s="32" t="s">
        <v>0</v>
      </c>
      <c r="R269" s="41" t="s">
        <v>1</v>
      </c>
      <c r="S269" s="41">
        <v>1825</v>
      </c>
      <c r="T269" s="41" t="s">
        <v>24</v>
      </c>
    </row>
    <row r="270" spans="1:20">
      <c r="A270" s="31" t="s">
        <v>175</v>
      </c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3"/>
      <c r="P270" s="32"/>
      <c r="Q270" s="32"/>
      <c r="R270" s="41"/>
      <c r="S270" s="41"/>
      <c r="T270" s="41"/>
    </row>
    <row r="271" spans="1:20">
      <c r="A271" s="31">
        <v>99060</v>
      </c>
      <c r="B271" s="32" t="s">
        <v>54</v>
      </c>
      <c r="C271" s="32" t="s">
        <v>40</v>
      </c>
      <c r="D271" s="32" t="s">
        <v>138</v>
      </c>
      <c r="E271" s="32" t="s">
        <v>93</v>
      </c>
      <c r="F271" s="32" t="s">
        <v>94</v>
      </c>
      <c r="G271" s="32" t="s">
        <v>28</v>
      </c>
      <c r="H271" s="32" t="s">
        <v>28</v>
      </c>
      <c r="I271" s="32" t="s">
        <v>28</v>
      </c>
      <c r="J271" s="32" t="s">
        <v>133</v>
      </c>
      <c r="K271" s="32" t="s">
        <v>133</v>
      </c>
      <c r="L271" s="32" t="s">
        <v>133</v>
      </c>
      <c r="M271" s="35" t="s">
        <v>173</v>
      </c>
      <c r="N271" s="32" t="s">
        <v>32</v>
      </c>
      <c r="O271" s="33" t="s">
        <v>33</v>
      </c>
      <c r="P271" s="32" t="s">
        <v>19</v>
      </c>
      <c r="Q271" s="32" t="s">
        <v>0</v>
      </c>
      <c r="R271" s="41" t="s">
        <v>1</v>
      </c>
      <c r="S271" s="41">
        <v>1825</v>
      </c>
      <c r="T271" s="41" t="s">
        <v>24</v>
      </c>
    </row>
    <row r="272" spans="1:20">
      <c r="A272" s="31" t="s">
        <v>176</v>
      </c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3"/>
      <c r="P272" s="32"/>
      <c r="Q272" s="32"/>
      <c r="R272" s="41"/>
      <c r="S272" s="41"/>
      <c r="T272" s="41"/>
    </row>
    <row r="273" spans="1:20">
      <c r="A273" s="31">
        <v>99061</v>
      </c>
      <c r="B273" s="32" t="s">
        <v>54</v>
      </c>
      <c r="C273" s="32" t="s">
        <v>40</v>
      </c>
      <c r="D273" s="32" t="s">
        <v>23</v>
      </c>
      <c r="E273" s="32" t="s">
        <v>150</v>
      </c>
      <c r="F273" s="32" t="s">
        <v>151</v>
      </c>
      <c r="G273" s="32" t="s">
        <v>28</v>
      </c>
      <c r="H273" s="32" t="s">
        <v>28</v>
      </c>
      <c r="I273" s="32" t="s">
        <v>28</v>
      </c>
      <c r="J273" s="32" t="s">
        <v>133</v>
      </c>
      <c r="K273" s="32" t="s">
        <v>133</v>
      </c>
      <c r="L273" s="32" t="s">
        <v>133</v>
      </c>
      <c r="M273" s="35" t="s">
        <v>160</v>
      </c>
      <c r="N273" s="32" t="s">
        <v>32</v>
      </c>
      <c r="O273" s="33" t="s">
        <v>33</v>
      </c>
      <c r="P273" s="32" t="s">
        <v>19</v>
      </c>
      <c r="Q273" s="32" t="s">
        <v>0</v>
      </c>
      <c r="R273" s="41" t="s">
        <v>1</v>
      </c>
      <c r="S273" s="41">
        <v>1825</v>
      </c>
      <c r="T273" s="41" t="s">
        <v>24</v>
      </c>
    </row>
    <row r="274" spans="1:20">
      <c r="A274" s="31" t="s">
        <v>170</v>
      </c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3"/>
      <c r="P274" s="32"/>
      <c r="Q274" s="32"/>
      <c r="R274" s="41"/>
      <c r="S274" s="41"/>
      <c r="T274" s="41"/>
    </row>
    <row r="275" spans="1:20">
      <c r="A275" s="31">
        <v>99062</v>
      </c>
      <c r="B275" s="32" t="s">
        <v>54</v>
      </c>
      <c r="C275" s="32" t="s">
        <v>40</v>
      </c>
      <c r="D275" s="32" t="s">
        <v>179</v>
      </c>
      <c r="E275" s="32" t="s">
        <v>162</v>
      </c>
      <c r="F275" s="32" t="s">
        <v>163</v>
      </c>
      <c r="G275" s="32" t="s">
        <v>28</v>
      </c>
      <c r="H275" s="32" t="s">
        <v>28</v>
      </c>
      <c r="I275" s="32" t="s">
        <v>28</v>
      </c>
      <c r="J275" s="32" t="s">
        <v>133</v>
      </c>
      <c r="K275" s="32" t="s">
        <v>133</v>
      </c>
      <c r="L275" s="32" t="s">
        <v>133</v>
      </c>
      <c r="M275" s="35" t="s">
        <v>160</v>
      </c>
      <c r="N275" s="32" t="s">
        <v>32</v>
      </c>
      <c r="O275" s="33" t="s">
        <v>33</v>
      </c>
      <c r="P275" s="32" t="s">
        <v>19</v>
      </c>
      <c r="Q275" s="32" t="s">
        <v>0</v>
      </c>
      <c r="R275" s="41" t="s">
        <v>1</v>
      </c>
      <c r="S275" s="41">
        <v>1825</v>
      </c>
      <c r="T275" s="41" t="s">
        <v>24</v>
      </c>
    </row>
    <row r="276" spans="1:20">
      <c r="A276" s="31" t="s">
        <v>169</v>
      </c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</row>
    <row r="277" spans="1:20" ht="13.5" customHeight="1">
      <c r="A277" s="31">
        <v>99070</v>
      </c>
      <c r="B277" s="32" t="s">
        <v>54</v>
      </c>
      <c r="C277" s="32" t="s">
        <v>40</v>
      </c>
      <c r="D277" s="32" t="s">
        <v>161</v>
      </c>
      <c r="E277" s="32" t="s">
        <v>164</v>
      </c>
      <c r="F277" s="32" t="s">
        <v>153</v>
      </c>
      <c r="G277" s="32" t="s">
        <v>28</v>
      </c>
      <c r="H277" s="32" t="s">
        <v>28</v>
      </c>
      <c r="I277" s="32" t="s">
        <v>28</v>
      </c>
      <c r="J277" s="32" t="s">
        <v>133</v>
      </c>
      <c r="K277" s="32" t="s">
        <v>133</v>
      </c>
      <c r="L277" s="32" t="s">
        <v>133</v>
      </c>
      <c r="M277" s="35" t="s">
        <v>160</v>
      </c>
      <c r="N277" s="32" t="s">
        <v>32</v>
      </c>
      <c r="O277" s="33" t="s">
        <v>33</v>
      </c>
      <c r="P277" s="32" t="s">
        <v>19</v>
      </c>
      <c r="Q277" s="32" t="s">
        <v>0</v>
      </c>
      <c r="R277" s="41" t="s">
        <v>1</v>
      </c>
      <c r="S277" s="41">
        <v>1825</v>
      </c>
      <c r="T277" s="41" t="s">
        <v>24</v>
      </c>
    </row>
    <row r="278" spans="1:20">
      <c r="A278" s="31">
        <v>99071</v>
      </c>
      <c r="B278" s="32" t="s">
        <v>54</v>
      </c>
      <c r="C278" s="32" t="s">
        <v>40</v>
      </c>
      <c r="D278" s="32" t="s">
        <v>161</v>
      </c>
      <c r="E278" s="32" t="s">
        <v>167</v>
      </c>
      <c r="F278" s="32" t="s">
        <v>154</v>
      </c>
      <c r="G278" s="32" t="s">
        <v>28</v>
      </c>
      <c r="H278" s="32" t="s">
        <v>28</v>
      </c>
      <c r="I278" s="32" t="s">
        <v>28</v>
      </c>
      <c r="J278" s="32" t="s">
        <v>133</v>
      </c>
      <c r="K278" s="32" t="s">
        <v>133</v>
      </c>
      <c r="L278" s="32" t="s">
        <v>133</v>
      </c>
      <c r="M278" s="35" t="s">
        <v>160</v>
      </c>
      <c r="N278" s="32" t="s">
        <v>32</v>
      </c>
      <c r="O278" s="33" t="s">
        <v>33</v>
      </c>
      <c r="P278" s="32" t="s">
        <v>19</v>
      </c>
      <c r="Q278" s="32" t="s">
        <v>0</v>
      </c>
      <c r="R278" s="41" t="s">
        <v>1</v>
      </c>
      <c r="S278" s="41">
        <v>1825</v>
      </c>
      <c r="T278" s="41" t="s">
        <v>24</v>
      </c>
    </row>
    <row r="279" spans="1:20">
      <c r="A279" s="31">
        <v>99072</v>
      </c>
      <c r="B279" s="32" t="s">
        <v>54</v>
      </c>
      <c r="C279" s="32" t="s">
        <v>40</v>
      </c>
      <c r="D279" s="32" t="s">
        <v>161</v>
      </c>
      <c r="E279" s="32" t="s">
        <v>155</v>
      </c>
      <c r="F279" s="32" t="s">
        <v>156</v>
      </c>
      <c r="G279" s="32" t="s">
        <v>28</v>
      </c>
      <c r="H279" s="32" t="s">
        <v>28</v>
      </c>
      <c r="I279" s="32" t="s">
        <v>28</v>
      </c>
      <c r="J279" s="32" t="s">
        <v>133</v>
      </c>
      <c r="K279" s="32" t="s">
        <v>133</v>
      </c>
      <c r="L279" s="32" t="s">
        <v>133</v>
      </c>
      <c r="M279" s="35" t="s">
        <v>160</v>
      </c>
      <c r="N279" s="32" t="s">
        <v>32</v>
      </c>
      <c r="O279" s="33" t="s">
        <v>33</v>
      </c>
      <c r="P279" s="32" t="s">
        <v>19</v>
      </c>
      <c r="Q279" s="32" t="s">
        <v>0</v>
      </c>
      <c r="R279" s="41" t="s">
        <v>1</v>
      </c>
      <c r="S279" s="41">
        <v>1825</v>
      </c>
      <c r="T279" s="41" t="s">
        <v>24</v>
      </c>
    </row>
    <row r="280" spans="1:20">
      <c r="A280" s="31">
        <v>99073</v>
      </c>
      <c r="B280" s="32" t="s">
        <v>54</v>
      </c>
      <c r="C280" s="32" t="s">
        <v>40</v>
      </c>
      <c r="D280" s="32" t="s">
        <v>161</v>
      </c>
      <c r="E280" s="32" t="s">
        <v>168</v>
      </c>
      <c r="F280" s="32" t="s">
        <v>157</v>
      </c>
      <c r="G280" s="32" t="s">
        <v>28</v>
      </c>
      <c r="H280" s="32" t="s">
        <v>28</v>
      </c>
      <c r="I280" s="32" t="s">
        <v>28</v>
      </c>
      <c r="J280" s="32" t="s">
        <v>133</v>
      </c>
      <c r="K280" s="32" t="s">
        <v>133</v>
      </c>
      <c r="L280" s="32" t="s">
        <v>133</v>
      </c>
      <c r="M280" s="35" t="s">
        <v>160</v>
      </c>
      <c r="N280" s="32" t="s">
        <v>32</v>
      </c>
      <c r="O280" s="33" t="s">
        <v>33</v>
      </c>
      <c r="P280" s="32" t="s">
        <v>19</v>
      </c>
      <c r="Q280" s="32" t="s">
        <v>0</v>
      </c>
      <c r="R280" s="41" t="s">
        <v>1</v>
      </c>
      <c r="S280" s="41">
        <v>1825</v>
      </c>
      <c r="T280" s="41" t="s">
        <v>24</v>
      </c>
    </row>
    <row r="281" spans="1:20">
      <c r="A281" s="31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</row>
    <row r="282" spans="1:20">
      <c r="A282" s="31">
        <v>99066</v>
      </c>
      <c r="B282" s="32" t="s">
        <v>54</v>
      </c>
      <c r="C282" s="32" t="s">
        <v>40</v>
      </c>
      <c r="D282" s="32" t="s">
        <v>161</v>
      </c>
      <c r="E282" s="32" t="s">
        <v>164</v>
      </c>
      <c r="F282" s="32" t="s">
        <v>153</v>
      </c>
      <c r="G282" s="32" t="s">
        <v>28</v>
      </c>
      <c r="H282" s="32" t="s">
        <v>28</v>
      </c>
      <c r="I282" s="32" t="s">
        <v>28</v>
      </c>
      <c r="J282" s="32" t="s">
        <v>133</v>
      </c>
      <c r="K282" s="32" t="s">
        <v>133</v>
      </c>
      <c r="L282" s="32" t="s">
        <v>133</v>
      </c>
      <c r="M282" s="32" t="s">
        <v>22</v>
      </c>
      <c r="N282" s="32" t="s">
        <v>32</v>
      </c>
      <c r="O282" s="33" t="s">
        <v>33</v>
      </c>
      <c r="P282" s="32" t="s">
        <v>19</v>
      </c>
      <c r="Q282" s="32" t="s">
        <v>0</v>
      </c>
      <c r="R282" s="41" t="s">
        <v>1</v>
      </c>
      <c r="S282" s="41">
        <v>1825</v>
      </c>
      <c r="T282" s="41" t="s">
        <v>24</v>
      </c>
    </row>
    <row r="283" spans="1:20">
      <c r="A283" s="31">
        <v>99067</v>
      </c>
      <c r="B283" s="32" t="s">
        <v>54</v>
      </c>
      <c r="C283" s="32" t="s">
        <v>40</v>
      </c>
      <c r="D283" s="32" t="s">
        <v>161</v>
      </c>
      <c r="E283" s="32" t="s">
        <v>165</v>
      </c>
      <c r="F283" s="32" t="s">
        <v>154</v>
      </c>
      <c r="G283" s="32" t="s">
        <v>28</v>
      </c>
      <c r="H283" s="32" t="s">
        <v>28</v>
      </c>
      <c r="I283" s="32" t="s">
        <v>28</v>
      </c>
      <c r="J283" s="32" t="s">
        <v>133</v>
      </c>
      <c r="K283" s="32" t="s">
        <v>133</v>
      </c>
      <c r="L283" s="32" t="s">
        <v>133</v>
      </c>
      <c r="M283" s="32" t="s">
        <v>22</v>
      </c>
      <c r="N283" s="32" t="s">
        <v>32</v>
      </c>
      <c r="O283" s="33" t="s">
        <v>33</v>
      </c>
      <c r="P283" s="32" t="s">
        <v>19</v>
      </c>
      <c r="Q283" s="32" t="s">
        <v>0</v>
      </c>
      <c r="R283" s="41" t="s">
        <v>1</v>
      </c>
      <c r="S283" s="41">
        <v>1825</v>
      </c>
      <c r="T283" s="41" t="s">
        <v>24</v>
      </c>
    </row>
    <row r="284" spans="1:20">
      <c r="A284" s="31">
        <v>99068</v>
      </c>
      <c r="B284" s="32" t="s">
        <v>54</v>
      </c>
      <c r="C284" s="32" t="s">
        <v>40</v>
      </c>
      <c r="D284" s="32" t="s">
        <v>161</v>
      </c>
      <c r="E284" s="32" t="s">
        <v>155</v>
      </c>
      <c r="F284" s="32" t="s">
        <v>156</v>
      </c>
      <c r="G284" s="32" t="s">
        <v>28</v>
      </c>
      <c r="H284" s="32" t="s">
        <v>28</v>
      </c>
      <c r="I284" s="32" t="s">
        <v>28</v>
      </c>
      <c r="J284" s="32" t="s">
        <v>133</v>
      </c>
      <c r="K284" s="32" t="s">
        <v>133</v>
      </c>
      <c r="L284" s="32" t="s">
        <v>133</v>
      </c>
      <c r="M284" s="32" t="s">
        <v>22</v>
      </c>
      <c r="N284" s="32" t="s">
        <v>32</v>
      </c>
      <c r="O284" s="33" t="s">
        <v>33</v>
      </c>
      <c r="P284" s="32" t="s">
        <v>19</v>
      </c>
      <c r="Q284" s="32" t="s">
        <v>0</v>
      </c>
      <c r="R284" s="41" t="s">
        <v>1</v>
      </c>
      <c r="S284" s="41">
        <v>1825</v>
      </c>
      <c r="T284" s="41" t="s">
        <v>24</v>
      </c>
    </row>
    <row r="285" spans="1:20">
      <c r="A285" s="31">
        <v>99069</v>
      </c>
      <c r="B285" s="32" t="s">
        <v>54</v>
      </c>
      <c r="C285" s="32" t="s">
        <v>40</v>
      </c>
      <c r="D285" s="32" t="s">
        <v>161</v>
      </c>
      <c r="E285" s="32" t="s">
        <v>166</v>
      </c>
      <c r="F285" s="32" t="s">
        <v>157</v>
      </c>
      <c r="G285" s="32" t="s">
        <v>28</v>
      </c>
      <c r="H285" s="32" t="s">
        <v>28</v>
      </c>
      <c r="I285" s="32" t="s">
        <v>28</v>
      </c>
      <c r="J285" s="32" t="s">
        <v>133</v>
      </c>
      <c r="K285" s="32" t="s">
        <v>133</v>
      </c>
      <c r="L285" s="32" t="s">
        <v>133</v>
      </c>
      <c r="M285" s="32" t="s">
        <v>22</v>
      </c>
      <c r="N285" s="32" t="s">
        <v>32</v>
      </c>
      <c r="O285" s="33" t="s">
        <v>33</v>
      </c>
      <c r="P285" s="32" t="s">
        <v>19</v>
      </c>
      <c r="Q285" s="32" t="s">
        <v>0</v>
      </c>
      <c r="R285" s="41" t="s">
        <v>1</v>
      </c>
      <c r="S285" s="41">
        <v>1825</v>
      </c>
      <c r="T285" s="41" t="s">
        <v>24</v>
      </c>
    </row>
    <row r="286" spans="1:20">
      <c r="A286" s="31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</row>
    <row r="287" spans="1:20">
      <c r="A287" s="31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</row>
    <row r="288" spans="1:20">
      <c r="A288" s="31" t="s">
        <v>111</v>
      </c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</row>
    <row r="289" spans="1:20">
      <c r="A289" s="31" t="s">
        <v>120</v>
      </c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</row>
    <row r="290" spans="1:20">
      <c r="A290" s="31">
        <v>80001</v>
      </c>
      <c r="B290" s="32" t="s">
        <v>123</v>
      </c>
      <c r="C290" s="32" t="s">
        <v>40</v>
      </c>
      <c r="D290" s="32" t="s">
        <v>126</v>
      </c>
      <c r="E290" s="32" t="s">
        <v>112</v>
      </c>
      <c r="F290" s="32" t="s">
        <v>113</v>
      </c>
      <c r="G290" s="32" t="s">
        <v>124</v>
      </c>
      <c r="H290" s="32" t="s">
        <v>112</v>
      </c>
      <c r="I290" s="32" t="s">
        <v>112</v>
      </c>
      <c r="J290" s="32" t="s">
        <v>122</v>
      </c>
      <c r="K290" s="32" t="s">
        <v>25</v>
      </c>
      <c r="L290" s="32" t="s">
        <v>25</v>
      </c>
      <c r="M290" s="32" t="s">
        <v>114</v>
      </c>
      <c r="N290" s="32" t="s">
        <v>126</v>
      </c>
      <c r="O290" s="33" t="s">
        <v>33</v>
      </c>
      <c r="P290" s="32" t="s">
        <v>19</v>
      </c>
      <c r="Q290" s="32" t="s">
        <v>0</v>
      </c>
      <c r="R290" s="41" t="s">
        <v>1</v>
      </c>
      <c r="S290" s="41">
        <v>1825</v>
      </c>
      <c r="T290" s="41" t="s">
        <v>24</v>
      </c>
    </row>
    <row r="291" spans="1:20">
      <c r="A291" s="31">
        <v>80012</v>
      </c>
      <c r="B291" s="32" t="s">
        <v>123</v>
      </c>
      <c r="C291" s="32" t="s">
        <v>40</v>
      </c>
      <c r="D291" s="32" t="s">
        <v>127</v>
      </c>
      <c r="E291" s="32" t="s">
        <v>112</v>
      </c>
      <c r="F291" s="32" t="s">
        <v>113</v>
      </c>
      <c r="G291" s="32" t="s">
        <v>125</v>
      </c>
      <c r="H291" s="32" t="s">
        <v>112</v>
      </c>
      <c r="I291" s="32" t="s">
        <v>112</v>
      </c>
      <c r="J291" s="32" t="s">
        <v>122</v>
      </c>
      <c r="K291" s="32" t="s">
        <v>25</v>
      </c>
      <c r="L291" s="32" t="s">
        <v>25</v>
      </c>
      <c r="M291" s="32" t="s">
        <v>114</v>
      </c>
      <c r="N291" s="32" t="s">
        <v>127</v>
      </c>
      <c r="O291" s="33" t="s">
        <v>33</v>
      </c>
      <c r="P291" s="32" t="s">
        <v>19</v>
      </c>
      <c r="Q291" s="32" t="s">
        <v>0</v>
      </c>
      <c r="R291" s="41" t="s">
        <v>1</v>
      </c>
      <c r="S291" s="41">
        <v>1825</v>
      </c>
      <c r="T291" s="41" t="s">
        <v>24</v>
      </c>
    </row>
    <row r="292" spans="1:20">
      <c r="A292" s="31">
        <v>80123</v>
      </c>
      <c r="B292" s="32" t="s">
        <v>123</v>
      </c>
      <c r="C292" s="32" t="s">
        <v>40</v>
      </c>
      <c r="D292" s="32" t="s">
        <v>115</v>
      </c>
      <c r="E292" s="32" t="s">
        <v>112</v>
      </c>
      <c r="F292" s="32" t="s">
        <v>113</v>
      </c>
      <c r="G292" s="32" t="s">
        <v>125</v>
      </c>
      <c r="H292" s="32" t="s">
        <v>112</v>
      </c>
      <c r="I292" s="32" t="s">
        <v>112</v>
      </c>
      <c r="J292" s="32" t="s">
        <v>122</v>
      </c>
      <c r="K292" s="32" t="s">
        <v>25</v>
      </c>
      <c r="L292" s="32" t="s">
        <v>25</v>
      </c>
      <c r="M292" s="32" t="s">
        <v>114</v>
      </c>
      <c r="N292" s="32" t="s">
        <v>115</v>
      </c>
      <c r="O292" s="33" t="s">
        <v>33</v>
      </c>
      <c r="P292" s="32" t="s">
        <v>19</v>
      </c>
      <c r="Q292" s="32" t="s">
        <v>0</v>
      </c>
      <c r="R292" s="41" t="s">
        <v>1</v>
      </c>
      <c r="S292" s="41">
        <v>1825</v>
      </c>
      <c r="T292" s="41" t="s">
        <v>24</v>
      </c>
    </row>
    <row r="293" spans="1:20">
      <c r="A293" s="31" t="s">
        <v>121</v>
      </c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</row>
    <row r="294" spans="1:20">
      <c r="A294" s="31">
        <v>90001</v>
      </c>
      <c r="B294" s="32" t="s">
        <v>123</v>
      </c>
      <c r="C294" s="32" t="s">
        <v>40</v>
      </c>
      <c r="D294" s="32" t="s">
        <v>116</v>
      </c>
      <c r="E294" s="32" t="s">
        <v>112</v>
      </c>
      <c r="F294" s="32" t="s">
        <v>113</v>
      </c>
      <c r="G294" s="32" t="s">
        <v>125</v>
      </c>
      <c r="H294" s="32" t="s">
        <v>112</v>
      </c>
      <c r="I294" s="32" t="s">
        <v>112</v>
      </c>
      <c r="J294" s="32" t="s">
        <v>122</v>
      </c>
      <c r="K294" s="32" t="s">
        <v>25</v>
      </c>
      <c r="L294" s="32" t="s">
        <v>25</v>
      </c>
      <c r="M294" s="32" t="s">
        <v>119</v>
      </c>
      <c r="N294" s="32" t="s">
        <v>126</v>
      </c>
      <c r="O294" s="33" t="s">
        <v>33</v>
      </c>
      <c r="P294" s="32" t="s">
        <v>19</v>
      </c>
      <c r="Q294" s="32" t="s">
        <v>0</v>
      </c>
      <c r="R294" s="41" t="s">
        <v>1</v>
      </c>
      <c r="S294" s="41">
        <v>1825</v>
      </c>
      <c r="T294" s="41" t="s">
        <v>24</v>
      </c>
    </row>
    <row r="295" spans="1:20">
      <c r="A295" s="31">
        <v>90012</v>
      </c>
      <c r="B295" s="32" t="s">
        <v>123</v>
      </c>
      <c r="C295" s="32" t="s">
        <v>40</v>
      </c>
      <c r="D295" s="32" t="s">
        <v>117</v>
      </c>
      <c r="E295" s="32" t="s">
        <v>112</v>
      </c>
      <c r="F295" s="32" t="s">
        <v>113</v>
      </c>
      <c r="G295" s="32" t="s">
        <v>125</v>
      </c>
      <c r="H295" s="32" t="s">
        <v>112</v>
      </c>
      <c r="I295" s="32" t="s">
        <v>112</v>
      </c>
      <c r="J295" s="32" t="s">
        <v>122</v>
      </c>
      <c r="K295" s="32" t="s">
        <v>25</v>
      </c>
      <c r="L295" s="32" t="s">
        <v>25</v>
      </c>
      <c r="M295" s="32" t="s">
        <v>119</v>
      </c>
      <c r="N295" s="32" t="s">
        <v>127</v>
      </c>
      <c r="O295" s="33" t="s">
        <v>33</v>
      </c>
      <c r="P295" s="32" t="s">
        <v>19</v>
      </c>
      <c r="Q295" s="32" t="s">
        <v>0</v>
      </c>
      <c r="R295" s="41" t="s">
        <v>1</v>
      </c>
      <c r="S295" s="41">
        <v>1825</v>
      </c>
      <c r="T295" s="41" t="s">
        <v>24</v>
      </c>
    </row>
    <row r="296" spans="1:20">
      <c r="A296" s="31">
        <v>90123</v>
      </c>
      <c r="B296" s="32" t="s">
        <v>123</v>
      </c>
      <c r="C296" s="32" t="s">
        <v>40</v>
      </c>
      <c r="D296" s="32" t="s">
        <v>118</v>
      </c>
      <c r="E296" s="32" t="s">
        <v>112</v>
      </c>
      <c r="F296" s="32" t="s">
        <v>113</v>
      </c>
      <c r="G296" s="32" t="s">
        <v>125</v>
      </c>
      <c r="H296" s="32" t="s">
        <v>112</v>
      </c>
      <c r="I296" s="32" t="s">
        <v>112</v>
      </c>
      <c r="J296" s="32" t="s">
        <v>122</v>
      </c>
      <c r="K296" s="32" t="s">
        <v>25</v>
      </c>
      <c r="L296" s="32" t="s">
        <v>25</v>
      </c>
      <c r="M296" s="32" t="s">
        <v>119</v>
      </c>
      <c r="N296" s="32" t="s">
        <v>115</v>
      </c>
      <c r="O296" s="33" t="s">
        <v>33</v>
      </c>
      <c r="P296" s="32" t="s">
        <v>19</v>
      </c>
      <c r="Q296" s="32" t="s">
        <v>0</v>
      </c>
      <c r="R296" s="41" t="s">
        <v>1</v>
      </c>
      <c r="S296" s="41">
        <v>1825</v>
      </c>
      <c r="T296" s="41" t="s">
        <v>24</v>
      </c>
    </row>
  </sheetData>
  <autoFilter ref="A1:T170">
    <filterColumn colId="6">
      <filters>
        <filter val="cf_lgbm-1_py"/>
      </filters>
    </filterColumn>
  </autoFilter>
  <phoneticPr fontId="5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M239"/>
  <sheetViews>
    <sheetView workbookViewId="0">
      <selection activeCell="D13" sqref="D13"/>
    </sheetView>
  </sheetViews>
  <sheetFormatPr defaultRowHeight="17.25"/>
  <cols>
    <col min="1" max="1" width="17.109375" customWidth="1"/>
    <col min="5" max="5" width="11.109375" customWidth="1"/>
  </cols>
  <sheetData>
    <row r="1" spans="1:130">
      <c r="A1" s="166" t="s">
        <v>734</v>
      </c>
      <c r="B1" s="166" t="s">
        <v>735</v>
      </c>
      <c r="C1" s="166" t="s">
        <v>736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22"/>
      <c r="P1" s="23"/>
      <c r="Q1" s="11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</row>
    <row r="2" spans="1:130">
      <c r="A2" s="166">
        <v>5</v>
      </c>
      <c r="B2" s="166" t="s">
        <v>737</v>
      </c>
      <c r="C2" s="166">
        <v>0.01</v>
      </c>
      <c r="D2" s="166"/>
      <c r="E2" s="11"/>
      <c r="F2" s="11"/>
      <c r="G2" s="11"/>
      <c r="H2" s="11"/>
      <c r="I2" s="11"/>
      <c r="J2" s="11"/>
      <c r="K2" s="11"/>
      <c r="L2" s="11"/>
      <c r="M2" s="11"/>
      <c r="N2" s="11"/>
      <c r="O2" s="22"/>
      <c r="P2" s="23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</row>
    <row r="3" spans="1:130">
      <c r="A3" s="166"/>
      <c r="B3" s="166"/>
      <c r="C3" s="166">
        <v>0.1</v>
      </c>
      <c r="D3" s="166"/>
      <c r="E3" s="11"/>
      <c r="F3" s="11"/>
      <c r="G3" s="11"/>
      <c r="H3" s="11"/>
      <c r="I3" s="11"/>
      <c r="J3" s="11"/>
      <c r="K3" s="11"/>
      <c r="L3" s="11"/>
      <c r="M3" s="11"/>
      <c r="N3" s="11"/>
      <c r="O3" s="22"/>
      <c r="P3" s="23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</row>
    <row r="4" spans="1:130">
      <c r="A4" s="166">
        <v>5</v>
      </c>
      <c r="B4" s="166" t="s">
        <v>738</v>
      </c>
      <c r="C4" s="166">
        <v>0.01</v>
      </c>
      <c r="D4" s="166">
        <v>20018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22"/>
      <c r="P4" s="23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</row>
    <row r="5" spans="1:130">
      <c r="A5" s="166"/>
      <c r="B5" s="166"/>
      <c r="C5" s="166">
        <v>0.1</v>
      </c>
      <c r="D5" s="166">
        <v>20017</v>
      </c>
      <c r="E5" s="11"/>
      <c r="F5" s="11"/>
      <c r="G5" s="11"/>
      <c r="H5" s="11"/>
      <c r="I5" s="11"/>
      <c r="J5" s="11"/>
      <c r="K5" s="11"/>
      <c r="L5" s="11"/>
      <c r="M5" s="11"/>
      <c r="N5" s="11"/>
      <c r="O5" s="22"/>
      <c r="P5" s="23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</row>
    <row r="6" spans="1:130">
      <c r="A6" s="166">
        <v>7</v>
      </c>
      <c r="B6" s="166" t="s">
        <v>729</v>
      </c>
      <c r="C6" s="166">
        <v>0.01</v>
      </c>
      <c r="D6" s="166">
        <v>20022</v>
      </c>
      <c r="E6" s="11"/>
      <c r="F6" s="11"/>
      <c r="G6" s="11"/>
      <c r="H6" s="11"/>
      <c r="I6" s="11"/>
      <c r="J6" s="11"/>
      <c r="K6" s="11"/>
      <c r="L6" s="11"/>
      <c r="M6" s="11"/>
      <c r="N6" s="11"/>
      <c r="O6" s="22"/>
      <c r="P6" s="23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</row>
    <row r="7" spans="1:130">
      <c r="A7" s="166"/>
      <c r="B7" s="166"/>
      <c r="C7" s="166">
        <v>0.1</v>
      </c>
      <c r="D7" s="166">
        <v>20023</v>
      </c>
      <c r="E7" s="11"/>
      <c r="F7" s="11"/>
      <c r="G7" s="11"/>
      <c r="H7" s="11"/>
      <c r="I7" s="11"/>
      <c r="J7" s="11"/>
      <c r="K7" s="11"/>
      <c r="L7" s="11"/>
      <c r="M7" s="11"/>
      <c r="N7" s="11"/>
      <c r="O7" s="22"/>
      <c r="P7" s="23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</row>
    <row r="8" spans="1:130">
      <c r="A8" s="166">
        <v>7</v>
      </c>
      <c r="B8" s="166" t="s">
        <v>739</v>
      </c>
      <c r="C8" s="166">
        <v>0.01</v>
      </c>
      <c r="D8" s="166"/>
      <c r="E8" s="11"/>
      <c r="F8" s="11"/>
      <c r="G8" s="11"/>
      <c r="H8" s="11"/>
      <c r="I8" s="11"/>
      <c r="J8" s="11"/>
      <c r="K8" s="11"/>
      <c r="L8" s="11"/>
      <c r="M8" s="11"/>
      <c r="N8" s="11"/>
      <c r="O8" s="22"/>
      <c r="P8" s="23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2"/>
    </row>
    <row r="9" spans="1:130">
      <c r="A9" s="166"/>
      <c r="B9" s="166"/>
      <c r="C9" s="166">
        <v>0.1</v>
      </c>
      <c r="D9" s="166"/>
      <c r="E9" s="11"/>
      <c r="F9" s="11"/>
      <c r="G9" s="11"/>
      <c r="H9" s="11"/>
      <c r="I9" s="11"/>
      <c r="J9" s="11"/>
      <c r="K9" s="11"/>
      <c r="L9" s="11"/>
      <c r="M9" s="11"/>
      <c r="N9" s="11"/>
      <c r="O9" s="22"/>
      <c r="P9" s="23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3"/>
    </row>
    <row r="10" spans="1:130">
      <c r="A10" s="11"/>
      <c r="B10" s="11"/>
      <c r="C10" s="11"/>
      <c r="D10" s="11" t="s">
        <v>746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22"/>
      <c r="P10" s="23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2"/>
    </row>
    <row r="11" spans="1:130">
      <c r="A11" s="165" t="s">
        <v>740</v>
      </c>
      <c r="B11" s="11" t="s">
        <v>741</v>
      </c>
      <c r="C11" s="164" t="s">
        <v>742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22"/>
      <c r="P11" s="23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3"/>
    </row>
    <row r="12" spans="1:130">
      <c r="A12" s="163" t="s">
        <v>743</v>
      </c>
      <c r="B12" s="11">
        <v>31</v>
      </c>
      <c r="C12" s="11"/>
      <c r="D12" s="11" t="s">
        <v>748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22"/>
      <c r="P12" s="23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2"/>
    </row>
    <row r="13" spans="1:130">
      <c r="A13" s="165" t="s">
        <v>744</v>
      </c>
      <c r="B13" s="11">
        <v>-1</v>
      </c>
      <c r="C13" s="11"/>
      <c r="D13" s="11" t="s">
        <v>747</v>
      </c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22"/>
      <c r="P13" s="23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3"/>
    </row>
    <row r="14" spans="1:130">
      <c r="A14" s="165" t="s">
        <v>745</v>
      </c>
      <c r="B14" s="11">
        <v>0.1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22"/>
      <c r="P14" s="23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2"/>
    </row>
    <row r="15" spans="1:130">
      <c r="A15" t="s">
        <v>749</v>
      </c>
      <c r="B15" s="11" t="s">
        <v>755</v>
      </c>
      <c r="C15" s="11"/>
      <c r="D15" s="11" t="s">
        <v>750</v>
      </c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22"/>
      <c r="P15" s="23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3"/>
    </row>
    <row r="16" spans="1:130">
      <c r="A16" t="s">
        <v>751</v>
      </c>
      <c r="B16" s="11" t="s">
        <v>756</v>
      </c>
      <c r="C16" s="11"/>
      <c r="D16" s="11" t="s">
        <v>752</v>
      </c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22"/>
      <c r="P16" s="23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2"/>
    </row>
    <row r="17" spans="1:49">
      <c r="A17" t="s">
        <v>745</v>
      </c>
      <c r="B17" s="11"/>
      <c r="C17" s="11"/>
      <c r="D17" s="11" t="s">
        <v>753</v>
      </c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22"/>
      <c r="P17" s="23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3"/>
    </row>
    <row r="18" spans="1:49">
      <c r="A18" t="s">
        <v>754</v>
      </c>
      <c r="B18" s="11" t="s">
        <v>756</v>
      </c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22"/>
      <c r="P18" s="23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2"/>
    </row>
    <row r="19" spans="1:49">
      <c r="A19" t="s">
        <v>757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22"/>
      <c r="P19" s="23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3"/>
    </row>
    <row r="20" spans="1:49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22"/>
      <c r="P20" s="23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2"/>
    </row>
    <row r="21" spans="1:49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22"/>
      <c r="P21" s="23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3"/>
    </row>
    <row r="22" spans="1:49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22"/>
      <c r="P22" s="23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2"/>
    </row>
    <row r="23" spans="1:49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22"/>
      <c r="P23" s="23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3"/>
    </row>
    <row r="24" spans="1:49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22"/>
      <c r="P24" s="23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2"/>
    </row>
    <row r="25" spans="1:49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22"/>
      <c r="P25" s="23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3"/>
    </row>
    <row r="26" spans="1:49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22"/>
      <c r="P26" s="23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2"/>
    </row>
    <row r="27" spans="1:49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22"/>
      <c r="P27" s="23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3"/>
    </row>
    <row r="28" spans="1:49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22"/>
      <c r="P28" s="23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2"/>
    </row>
    <row r="29" spans="1:4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22"/>
      <c r="P29" s="23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3"/>
    </row>
    <row r="30" spans="1:49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22"/>
      <c r="P30" s="23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2"/>
    </row>
    <row r="31" spans="1:49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22"/>
      <c r="P31" s="23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3"/>
    </row>
    <row r="32" spans="1:49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22"/>
      <c r="P32" s="23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</row>
    <row r="33" spans="1:49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22"/>
      <c r="P33" s="23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</row>
    <row r="34" spans="1:49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22"/>
      <c r="P34" s="23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</row>
    <row r="35" spans="1:49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22"/>
      <c r="P35" s="23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</row>
    <row r="36" spans="1:49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22"/>
      <c r="P36" s="23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</row>
    <row r="37" spans="1:49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22"/>
      <c r="P37" s="23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</row>
    <row r="38" spans="1:49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22"/>
      <c r="P38" s="23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</row>
    <row r="39" spans="1:4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22"/>
      <c r="P39" s="23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</row>
    <row r="40" spans="1:49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22"/>
      <c r="P40" s="23"/>
      <c r="Q40" s="11"/>
      <c r="R40" s="11"/>
      <c r="S40" s="11"/>
      <c r="T40" s="11"/>
      <c r="U40" s="11"/>
      <c r="V40" s="24"/>
      <c r="W40" s="25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</row>
    <row r="41" spans="1:49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22"/>
      <c r="P41" s="23"/>
      <c r="Q41" s="11"/>
      <c r="R41" s="11"/>
      <c r="S41" s="11"/>
      <c r="T41" s="11"/>
      <c r="U41" s="11"/>
      <c r="V41" s="24"/>
      <c r="W41" s="25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</row>
    <row r="42" spans="1:49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O42" s="22"/>
      <c r="P42" s="23"/>
      <c r="V42" s="24"/>
      <c r="W42" s="25"/>
    </row>
    <row r="43" spans="1:49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O43" s="22"/>
      <c r="P43" s="23"/>
      <c r="V43" s="24"/>
      <c r="W43" s="25"/>
    </row>
    <row r="44" spans="1:49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O44" s="22"/>
      <c r="P44" s="23"/>
      <c r="V44" s="24"/>
      <c r="W44" s="25"/>
    </row>
    <row r="45" spans="1:49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O45" s="22"/>
      <c r="P45" s="23"/>
      <c r="V45" s="24"/>
      <c r="W45" s="25"/>
    </row>
    <row r="46" spans="1:49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O46" s="22"/>
      <c r="P46" s="23"/>
      <c r="V46" s="24"/>
      <c r="W46" s="25"/>
    </row>
    <row r="47" spans="1:49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O47" s="22"/>
      <c r="P47" s="23"/>
      <c r="V47" s="24"/>
      <c r="W47" s="25"/>
    </row>
    <row r="48" spans="1:49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O48" s="22"/>
      <c r="P48" s="23"/>
      <c r="V48" s="24"/>
      <c r="W48" s="25"/>
    </row>
    <row r="49" spans="1:23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O49" s="22"/>
      <c r="P49" s="23"/>
      <c r="V49" s="24"/>
      <c r="W49" s="25"/>
    </row>
    <row r="50" spans="1:23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O50" s="22"/>
      <c r="P50" s="23"/>
      <c r="V50" s="24"/>
      <c r="W50" s="25"/>
    </row>
    <row r="51" spans="1:23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O51" s="22"/>
      <c r="P51" s="23"/>
      <c r="V51" s="24"/>
      <c r="W51" s="25"/>
    </row>
    <row r="52" spans="1:23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O52" s="22"/>
      <c r="P52" s="23"/>
      <c r="V52" s="24"/>
      <c r="W52" s="25"/>
    </row>
    <row r="53" spans="1:2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O53" s="22"/>
      <c r="P53" s="23"/>
      <c r="V53" s="24"/>
      <c r="W53" s="25"/>
    </row>
    <row r="54" spans="1:23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O54" s="22"/>
      <c r="P54" s="23"/>
      <c r="V54" s="24"/>
      <c r="W54" s="25"/>
    </row>
    <row r="55" spans="1:23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O55" s="22"/>
      <c r="P55" s="23"/>
      <c r="V55" s="24"/>
      <c r="W55" s="25"/>
    </row>
    <row r="56" spans="1:23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O56" s="22"/>
      <c r="P56" s="23"/>
      <c r="V56" s="24"/>
      <c r="W56" s="25"/>
    </row>
    <row r="57" spans="1:23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O57" s="22"/>
      <c r="P57" s="23"/>
      <c r="V57" s="24"/>
      <c r="W57" s="25"/>
    </row>
    <row r="58" spans="1:23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O58" s="22"/>
      <c r="P58" s="23"/>
      <c r="V58" s="24"/>
      <c r="W58" s="25"/>
    </row>
    <row r="59" spans="1:23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O59" s="22"/>
      <c r="P59" s="23"/>
      <c r="V59" s="24"/>
      <c r="W59" s="25"/>
    </row>
    <row r="60" spans="1:23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O60" s="22"/>
      <c r="P60" s="23"/>
      <c r="V60" s="24"/>
      <c r="W60" s="25"/>
    </row>
    <row r="61" spans="1:23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O61" s="22"/>
      <c r="P61" s="23"/>
      <c r="V61" s="24"/>
      <c r="W61" s="25"/>
    </row>
    <row r="62" spans="1:23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O62" s="22"/>
      <c r="P62" s="23"/>
      <c r="V62" s="24"/>
      <c r="W62" s="25"/>
    </row>
    <row r="63" spans="1:2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O63" s="22"/>
      <c r="P63" s="23"/>
      <c r="V63" s="24"/>
      <c r="W63" s="25"/>
    </row>
    <row r="64" spans="1:23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O64" s="22"/>
      <c r="P64" s="23"/>
      <c r="V64" s="24"/>
      <c r="W64" s="25"/>
    </row>
    <row r="65" spans="1:143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O65" s="22"/>
      <c r="P65" s="23"/>
      <c r="V65" s="24"/>
      <c r="W65" s="25"/>
    </row>
    <row r="66" spans="1:143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O66" s="22"/>
      <c r="P66" s="23"/>
      <c r="V66" s="24"/>
      <c r="W66" s="25"/>
    </row>
    <row r="67" spans="1:143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O67" s="22"/>
      <c r="P67" s="23"/>
      <c r="V67" s="24"/>
      <c r="W67" s="25"/>
    </row>
    <row r="68" spans="1:143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O68" s="22"/>
      <c r="P68" s="23"/>
      <c r="V68" s="24"/>
      <c r="W68" s="25"/>
    </row>
    <row r="69" spans="1:143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O69" s="22"/>
      <c r="P69" s="23"/>
      <c r="V69" s="24"/>
      <c r="W69" s="25"/>
    </row>
    <row r="70" spans="1:143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O70" s="22"/>
      <c r="P70" s="23"/>
      <c r="V70" s="24"/>
      <c r="W70" s="25"/>
    </row>
    <row r="71" spans="1:143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O71" s="22"/>
      <c r="P71" s="23"/>
      <c r="V71" s="24"/>
      <c r="W71" s="25"/>
    </row>
    <row r="72" spans="1:143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O72" s="22"/>
      <c r="P72" s="23"/>
      <c r="V72" s="24"/>
      <c r="W72" s="25"/>
    </row>
    <row r="73" spans="1:14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O73" s="22"/>
      <c r="P73" s="23"/>
      <c r="V73" s="24"/>
      <c r="W73" s="25"/>
    </row>
    <row r="74" spans="1:143">
      <c r="A74" s="11"/>
      <c r="B74" s="11"/>
      <c r="O74" s="22"/>
      <c r="P74" s="23"/>
      <c r="V74" s="24"/>
      <c r="W74" s="25"/>
    </row>
    <row r="75" spans="1:143">
      <c r="A75" s="11"/>
      <c r="B75" s="11"/>
      <c r="O75" s="22"/>
      <c r="P75" s="23"/>
      <c r="V75" s="24"/>
      <c r="W75" s="25"/>
    </row>
    <row r="76" spans="1:143">
      <c r="A76" s="11"/>
      <c r="B76" s="11"/>
      <c r="O76" s="22"/>
      <c r="P76" s="23"/>
      <c r="V76" s="24"/>
      <c r="W76" s="25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24"/>
      <c r="CO76" s="24"/>
      <c r="CP76" s="24"/>
      <c r="CQ76" s="24"/>
      <c r="CR76" s="24"/>
      <c r="CS76" s="24"/>
      <c r="CT76" s="24"/>
      <c r="CU76" s="24"/>
      <c r="CV76" s="24"/>
      <c r="CW76" s="24"/>
      <c r="CX76" s="24"/>
      <c r="CY76" s="24"/>
      <c r="CZ76" s="24"/>
      <c r="DA76" s="24"/>
      <c r="DB76" s="24"/>
      <c r="DC76" s="24"/>
      <c r="DD76" s="24"/>
      <c r="DE76" s="24"/>
      <c r="DF76" s="24"/>
      <c r="DG76" s="24"/>
      <c r="DH76" s="24"/>
      <c r="DI76" s="24"/>
      <c r="DJ76" s="24"/>
      <c r="DK76" s="24"/>
      <c r="DL76" s="24"/>
      <c r="DM76" s="24"/>
      <c r="DN76" s="24"/>
      <c r="DO76" s="24"/>
      <c r="DP76" s="24"/>
      <c r="DQ76" s="24"/>
      <c r="DR76" s="24"/>
      <c r="DS76" s="24"/>
      <c r="DT76" s="24"/>
      <c r="DU76" s="24"/>
      <c r="DV76" s="24"/>
      <c r="DW76" s="24"/>
      <c r="DX76" s="24"/>
      <c r="DY76" s="24"/>
      <c r="DZ76" s="24"/>
      <c r="EA76" s="24"/>
      <c r="EB76" s="24"/>
      <c r="EC76" s="24"/>
      <c r="ED76" s="24"/>
      <c r="EE76" s="24"/>
      <c r="EF76" s="24"/>
      <c r="EG76" s="24"/>
      <c r="EH76" s="24"/>
      <c r="EI76" s="24"/>
      <c r="EJ76" s="24"/>
      <c r="EK76" s="24"/>
      <c r="EL76" s="24"/>
      <c r="EM76" s="24"/>
    </row>
    <row r="77" spans="1:143">
      <c r="A77" s="11"/>
      <c r="B77" s="11"/>
      <c r="O77" s="22"/>
      <c r="P77" s="23"/>
      <c r="V77" s="24"/>
      <c r="W77" s="25"/>
    </row>
    <row r="78" spans="1:143">
      <c r="A78" s="11"/>
      <c r="B78" s="11"/>
      <c r="O78" s="22"/>
      <c r="P78" s="23"/>
      <c r="V78" s="24"/>
      <c r="W78" s="25"/>
    </row>
    <row r="79" spans="1:143">
      <c r="A79" s="11"/>
      <c r="B79" s="11"/>
      <c r="O79" s="22"/>
      <c r="P79" s="23"/>
      <c r="V79" s="24"/>
      <c r="W79" s="25"/>
    </row>
    <row r="80" spans="1:143">
      <c r="A80" s="11"/>
      <c r="B80" s="11"/>
      <c r="O80" s="22"/>
      <c r="P80" s="23"/>
      <c r="V80" s="24"/>
      <c r="W80" s="25"/>
    </row>
    <row r="81" spans="1:23">
      <c r="A81" s="11"/>
      <c r="B81" s="11"/>
      <c r="O81" s="22"/>
      <c r="P81" s="23"/>
      <c r="V81" s="24"/>
      <c r="W81" s="25"/>
    </row>
    <row r="82" spans="1:23">
      <c r="A82" s="11"/>
      <c r="B82" s="11"/>
      <c r="O82" s="22"/>
      <c r="P82" s="23"/>
      <c r="V82" s="24"/>
      <c r="W82" s="25"/>
    </row>
    <row r="83" spans="1:23">
      <c r="A83" s="11"/>
      <c r="B83" s="11"/>
      <c r="O83" s="22"/>
      <c r="P83" s="23"/>
      <c r="V83" s="24"/>
      <c r="W83" s="25"/>
    </row>
    <row r="84" spans="1:23">
      <c r="A84" s="11"/>
      <c r="B84" s="11"/>
      <c r="O84" s="22"/>
      <c r="P84" s="23"/>
      <c r="V84" s="24"/>
      <c r="W84" s="25"/>
    </row>
    <row r="85" spans="1:23">
      <c r="A85" s="11"/>
      <c r="B85" s="11"/>
      <c r="O85" s="22"/>
      <c r="P85" s="23"/>
      <c r="V85" s="24"/>
      <c r="W85" s="25"/>
    </row>
    <row r="86" spans="1:23">
      <c r="A86" s="11"/>
      <c r="B86" s="11"/>
      <c r="O86" s="22"/>
      <c r="P86" s="23"/>
      <c r="V86" s="24"/>
      <c r="W86" s="25"/>
    </row>
    <row r="87" spans="1:23">
      <c r="A87" s="11"/>
      <c r="B87" s="11"/>
      <c r="O87" s="22"/>
      <c r="P87" s="23"/>
      <c r="V87" s="24"/>
      <c r="W87" s="25"/>
    </row>
    <row r="88" spans="1:23">
      <c r="A88" s="11"/>
      <c r="B88" s="11"/>
      <c r="O88" s="22"/>
      <c r="P88" s="23"/>
      <c r="V88" s="24"/>
      <c r="W88" s="25"/>
    </row>
    <row r="89" spans="1:23">
      <c r="A89" s="11"/>
      <c r="B89" s="11"/>
      <c r="O89" s="22"/>
      <c r="P89" s="23"/>
      <c r="V89" s="24"/>
      <c r="W89" s="25"/>
    </row>
    <row r="90" spans="1:23">
      <c r="O90" s="22"/>
      <c r="P90" s="23"/>
      <c r="V90" s="24"/>
      <c r="W90" s="25"/>
    </row>
    <row r="91" spans="1:23">
      <c r="A91" s="4"/>
      <c r="O91" s="22"/>
      <c r="P91" s="23"/>
      <c r="V91" s="24"/>
      <c r="W91" s="25"/>
    </row>
    <row r="92" spans="1:23">
      <c r="A92" s="17"/>
      <c r="O92" s="22"/>
      <c r="P92" s="23"/>
      <c r="V92" s="24"/>
      <c r="W92" s="25"/>
    </row>
    <row r="93" spans="1:23">
      <c r="A93" s="17"/>
      <c r="O93" s="22"/>
      <c r="P93" s="23"/>
      <c r="V93" s="24"/>
      <c r="W93" s="25"/>
    </row>
    <row r="94" spans="1:23">
      <c r="A94" s="17"/>
      <c r="O94" s="22"/>
      <c r="P94" s="23"/>
      <c r="V94" s="24"/>
      <c r="W94" s="25"/>
    </row>
    <row r="95" spans="1:23">
      <c r="A95" s="17"/>
      <c r="O95" s="22"/>
      <c r="P95" s="23"/>
      <c r="V95" s="24"/>
      <c r="W95" s="25"/>
    </row>
    <row r="96" spans="1:23">
      <c r="A96" s="17"/>
      <c r="O96" s="22"/>
      <c r="P96" s="23"/>
      <c r="V96" s="24"/>
      <c r="W96" s="25"/>
    </row>
    <row r="97" spans="1:23">
      <c r="A97" s="17"/>
      <c r="O97" s="22"/>
      <c r="P97" s="23"/>
      <c r="V97" s="24"/>
      <c r="W97" s="25"/>
    </row>
    <row r="98" spans="1:23">
      <c r="A98" s="17"/>
      <c r="O98" s="22"/>
      <c r="P98" s="23"/>
      <c r="V98" s="24"/>
      <c r="W98" s="25"/>
    </row>
    <row r="99" spans="1:23">
      <c r="A99" s="17"/>
      <c r="O99" s="22"/>
      <c r="P99" s="23"/>
      <c r="V99" s="24"/>
      <c r="W99" s="25"/>
    </row>
    <row r="100" spans="1:23">
      <c r="A100" s="17"/>
      <c r="O100" s="22"/>
      <c r="P100" s="23"/>
      <c r="V100" s="24"/>
      <c r="W100" s="25"/>
    </row>
    <row r="101" spans="1:23">
      <c r="A101" s="17"/>
      <c r="O101" s="22"/>
      <c r="P101" s="23"/>
      <c r="V101" s="24"/>
      <c r="W101" s="25"/>
    </row>
    <row r="102" spans="1:23">
      <c r="A102" s="17"/>
      <c r="O102" s="22"/>
      <c r="P102" s="23"/>
      <c r="V102" s="24"/>
      <c r="W102" s="25"/>
    </row>
    <row r="103" spans="1:23">
      <c r="A103" s="17"/>
      <c r="O103" s="22"/>
      <c r="P103" s="23"/>
      <c r="V103" s="24"/>
      <c r="W103" s="25"/>
    </row>
    <row r="104" spans="1:23">
      <c r="A104" s="17"/>
      <c r="O104" s="22"/>
      <c r="P104" s="23"/>
      <c r="V104" s="24"/>
      <c r="W104" s="25"/>
    </row>
    <row r="105" spans="1:23">
      <c r="A105" s="17"/>
      <c r="O105" s="22"/>
      <c r="P105" s="23"/>
      <c r="V105" s="24"/>
      <c r="W105" s="25"/>
    </row>
    <row r="106" spans="1:23">
      <c r="A106" s="17"/>
      <c r="O106" s="22"/>
      <c r="P106" s="23"/>
      <c r="V106" s="24"/>
      <c r="W106" s="25"/>
    </row>
    <row r="107" spans="1:23">
      <c r="A107" s="17"/>
      <c r="O107" s="22"/>
      <c r="P107" s="23"/>
      <c r="V107" s="24"/>
      <c r="W107" s="25"/>
    </row>
    <row r="108" spans="1:23">
      <c r="A108" s="17"/>
      <c r="O108" s="22"/>
      <c r="P108" s="23"/>
      <c r="V108" s="24"/>
      <c r="W108" s="25"/>
    </row>
    <row r="109" spans="1:23">
      <c r="A109" s="17"/>
      <c r="O109" s="22"/>
      <c r="P109" s="23"/>
      <c r="V109" s="24"/>
      <c r="W109" s="25"/>
    </row>
    <row r="110" spans="1:23">
      <c r="A110" s="17"/>
      <c r="O110" s="22"/>
      <c r="P110" s="23"/>
      <c r="V110" s="24"/>
      <c r="W110" s="25"/>
    </row>
    <row r="111" spans="1:23">
      <c r="O111" s="22"/>
      <c r="P111" s="23"/>
      <c r="V111" s="24"/>
      <c r="W111" s="25"/>
    </row>
    <row r="112" spans="1:23">
      <c r="O112" s="22"/>
      <c r="P112" s="23"/>
      <c r="V112" s="24"/>
      <c r="W112" s="25"/>
    </row>
    <row r="113" spans="1:23">
      <c r="O113" s="22"/>
      <c r="P113" s="23"/>
      <c r="V113" s="24"/>
      <c r="W113" s="25"/>
    </row>
    <row r="114" spans="1:23" s="16" customFormat="1" ht="34.5" customHeight="1">
      <c r="A114" s="4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22"/>
      <c r="P114" s="23"/>
      <c r="Q114" s="17"/>
      <c r="R114" s="17"/>
      <c r="S114" s="17"/>
      <c r="T114" s="17"/>
      <c r="V114" s="24"/>
      <c r="W114" s="25"/>
    </row>
    <row r="115" spans="1:23" s="15" customFormat="1" ht="13.5" customHeight="1">
      <c r="A115" s="5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22"/>
      <c r="P115" s="23"/>
      <c r="Q115" s="18"/>
      <c r="R115" s="18"/>
      <c r="S115" s="18"/>
      <c r="T115" s="18"/>
      <c r="V115" s="24"/>
      <c r="W115" s="25"/>
    </row>
    <row r="116" spans="1:23" s="15" customFormat="1" ht="13.5" customHeight="1">
      <c r="A116" s="5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22"/>
      <c r="P116" s="23"/>
      <c r="Q116" s="18"/>
      <c r="R116" s="18"/>
      <c r="S116" s="18"/>
      <c r="T116" s="18"/>
      <c r="V116" s="24"/>
      <c r="W116" s="25"/>
    </row>
    <row r="117" spans="1:23" s="15" customFormat="1" ht="13.5" customHeight="1">
      <c r="A117" s="5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22"/>
      <c r="P117" s="23"/>
      <c r="Q117" s="18"/>
      <c r="R117" s="18"/>
      <c r="S117" s="18"/>
      <c r="T117" s="18"/>
      <c r="V117" s="24"/>
      <c r="W117" s="25"/>
    </row>
    <row r="118" spans="1:23" s="15" customFormat="1" ht="13.5" customHeight="1">
      <c r="A118" s="5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22"/>
      <c r="P118" s="23"/>
      <c r="Q118" s="18"/>
      <c r="R118" s="18"/>
      <c r="S118" s="18"/>
      <c r="T118" s="18"/>
      <c r="V118" s="24"/>
      <c r="W118" s="25"/>
    </row>
    <row r="119" spans="1:23" s="15" customFormat="1">
      <c r="A119" s="5"/>
      <c r="B119" s="18"/>
      <c r="C119" s="18"/>
      <c r="D119" s="20"/>
      <c r="E119" s="18"/>
      <c r="F119" s="18"/>
      <c r="G119" s="20"/>
      <c r="H119" s="18"/>
      <c r="I119" s="18"/>
      <c r="J119" s="20"/>
      <c r="K119" s="18"/>
      <c r="L119" s="18"/>
      <c r="M119" s="18"/>
      <c r="N119" s="18"/>
      <c r="O119" s="22"/>
      <c r="P119" s="23"/>
      <c r="Q119" s="18"/>
      <c r="R119" s="18"/>
      <c r="S119" s="18"/>
      <c r="T119" s="18"/>
      <c r="V119" s="24"/>
      <c r="W119" s="25"/>
    </row>
    <row r="120" spans="1:23" s="15" customFormat="1">
      <c r="A120" s="5"/>
      <c r="B120" s="18"/>
      <c r="C120" s="18"/>
      <c r="D120" s="20"/>
      <c r="E120" s="18"/>
      <c r="F120" s="18"/>
      <c r="G120" s="20"/>
      <c r="H120" s="18"/>
      <c r="I120" s="18"/>
      <c r="J120" s="20"/>
      <c r="K120" s="18"/>
      <c r="L120" s="18"/>
      <c r="M120" s="18"/>
      <c r="N120" s="18"/>
      <c r="O120" s="22"/>
      <c r="P120" s="23"/>
      <c r="Q120" s="18"/>
      <c r="R120" s="18"/>
      <c r="S120" s="18"/>
      <c r="T120" s="18"/>
      <c r="V120" s="24"/>
      <c r="W120" s="25"/>
    </row>
    <row r="121" spans="1:23" s="15" customFormat="1">
      <c r="A121" s="5"/>
      <c r="B121" s="18"/>
      <c r="C121" s="18"/>
      <c r="D121" s="20"/>
      <c r="E121" s="20"/>
      <c r="F121" s="18"/>
      <c r="G121" s="20"/>
      <c r="H121" s="20"/>
      <c r="I121" s="18"/>
      <c r="J121" s="20"/>
      <c r="K121" s="20"/>
      <c r="L121" s="18"/>
      <c r="M121" s="18"/>
      <c r="N121" s="18"/>
      <c r="O121" s="19"/>
      <c r="P121" s="18"/>
      <c r="Q121" s="18"/>
      <c r="R121" s="18"/>
      <c r="S121" s="18"/>
      <c r="T121" s="18"/>
      <c r="V121" s="24"/>
      <c r="W121" s="25"/>
    </row>
    <row r="122" spans="1:23" s="15" customFormat="1">
      <c r="A122" s="5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9"/>
      <c r="P122" s="18"/>
      <c r="Q122" s="18"/>
      <c r="R122" s="18"/>
      <c r="S122" s="18"/>
      <c r="T122" s="18"/>
      <c r="V122" s="24"/>
      <c r="W122" s="25"/>
    </row>
    <row r="123" spans="1:23" s="15" customFormat="1" ht="13.5" customHeight="1">
      <c r="A123" s="5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9"/>
      <c r="P123" s="18"/>
      <c r="Q123" s="18"/>
      <c r="R123" s="18"/>
      <c r="S123" s="18"/>
      <c r="T123" s="18"/>
      <c r="V123" s="24"/>
      <c r="W123" s="25"/>
    </row>
    <row r="124" spans="1:23" s="15" customFormat="1" ht="13.5" customHeight="1">
      <c r="A124" s="5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9"/>
      <c r="P124" s="18"/>
      <c r="Q124" s="18"/>
      <c r="R124" s="18"/>
      <c r="S124" s="18"/>
      <c r="T124" s="18"/>
      <c r="V124" s="24"/>
      <c r="W124" s="25"/>
    </row>
    <row r="125" spans="1:23" s="15" customFormat="1" ht="13.5" customHeight="1">
      <c r="A125" s="5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9"/>
      <c r="P125" s="18"/>
      <c r="Q125" s="18"/>
      <c r="R125" s="18"/>
      <c r="S125" s="18"/>
      <c r="T125" s="18"/>
      <c r="V125" s="24"/>
      <c r="W125" s="25"/>
    </row>
    <row r="126" spans="1:23" s="15" customFormat="1" ht="13.5" customHeight="1">
      <c r="A126" s="5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9"/>
      <c r="P126" s="18"/>
      <c r="Q126" s="18"/>
      <c r="R126" s="18"/>
      <c r="S126" s="18"/>
      <c r="T126" s="18"/>
      <c r="V126" s="24"/>
      <c r="W126" s="25"/>
    </row>
    <row r="127" spans="1:23">
      <c r="V127" s="24"/>
      <c r="W127" s="25"/>
    </row>
    <row r="128" spans="1:23">
      <c r="V128" s="24"/>
      <c r="W128" s="25"/>
    </row>
    <row r="129" spans="2:23">
      <c r="V129" s="24"/>
      <c r="W129" s="25"/>
    </row>
    <row r="130" spans="2:23">
      <c r="V130" s="24"/>
      <c r="W130" s="25"/>
    </row>
    <row r="131" spans="2:23">
      <c r="V131" s="24"/>
      <c r="W131" s="25"/>
    </row>
    <row r="132" spans="2:23">
      <c r="V132" s="24"/>
      <c r="W132" s="25"/>
    </row>
    <row r="133" spans="2:23">
      <c r="V133" s="24"/>
      <c r="W133" s="25"/>
    </row>
    <row r="134" spans="2:23">
      <c r="B134" s="27"/>
      <c r="V134" s="24"/>
      <c r="W134" s="25"/>
    </row>
    <row r="135" spans="2:23">
      <c r="B135" s="27"/>
      <c r="V135" s="24"/>
      <c r="W135" s="25"/>
    </row>
    <row r="136" spans="2:23">
      <c r="B136" s="27"/>
      <c r="V136" s="24"/>
      <c r="W136" s="25"/>
    </row>
    <row r="137" spans="2:23">
      <c r="B137" s="27"/>
      <c r="V137" s="24"/>
      <c r="W137" s="25"/>
    </row>
    <row r="138" spans="2:23">
      <c r="B138" s="27"/>
      <c r="V138" s="24"/>
      <c r="W138" s="25"/>
    </row>
    <row r="139" spans="2:23">
      <c r="B139" s="27"/>
      <c r="V139" s="24"/>
      <c r="W139" s="25"/>
    </row>
    <row r="140" spans="2:23">
      <c r="B140" s="27"/>
      <c r="V140" s="24"/>
      <c r="W140" s="25"/>
    </row>
    <row r="141" spans="2:23">
      <c r="B141" s="27"/>
      <c r="V141" s="24"/>
      <c r="W141" s="25"/>
    </row>
    <row r="142" spans="2:23">
      <c r="B142" s="27"/>
      <c r="V142" s="24"/>
      <c r="W142" s="25"/>
    </row>
    <row r="143" spans="2:23">
      <c r="B143" s="27"/>
      <c r="V143" s="24"/>
      <c r="W143" s="25"/>
    </row>
    <row r="144" spans="2:23">
      <c r="B144" s="27"/>
      <c r="V144" s="24"/>
      <c r="W144" s="25"/>
    </row>
    <row r="145" spans="2:23">
      <c r="B145" s="27"/>
      <c r="V145" s="24"/>
      <c r="W145" s="25"/>
    </row>
    <row r="146" spans="2:23">
      <c r="B146" s="27"/>
      <c r="V146" s="24"/>
      <c r="W146" s="25"/>
    </row>
    <row r="147" spans="2:23">
      <c r="B147" s="27"/>
      <c r="V147" s="24"/>
      <c r="W147" s="25"/>
    </row>
    <row r="148" spans="2:23">
      <c r="B148" s="27"/>
      <c r="V148" s="24"/>
      <c r="W148" s="25"/>
    </row>
    <row r="149" spans="2:23">
      <c r="B149" s="27"/>
      <c r="V149" s="24"/>
      <c r="W149" s="25"/>
    </row>
    <row r="150" spans="2:23">
      <c r="B150" s="27"/>
      <c r="V150" s="24"/>
      <c r="W150" s="25"/>
    </row>
    <row r="151" spans="2:23">
      <c r="B151" s="27"/>
      <c r="V151" s="24"/>
      <c r="W151" s="25"/>
    </row>
    <row r="152" spans="2:23">
      <c r="B152" s="27"/>
      <c r="V152" s="24"/>
      <c r="W152" s="25"/>
    </row>
    <row r="153" spans="2:23">
      <c r="B153" s="27"/>
      <c r="V153" s="24"/>
      <c r="W153" s="25"/>
    </row>
    <row r="154" spans="2:23">
      <c r="B154" s="27"/>
      <c r="V154" s="24"/>
      <c r="W154" s="25"/>
    </row>
    <row r="155" spans="2:23">
      <c r="B155" s="27"/>
      <c r="V155" s="24"/>
      <c r="W155" s="25"/>
    </row>
    <row r="156" spans="2:23">
      <c r="B156" s="27"/>
      <c r="V156" s="24"/>
      <c r="W156" s="25"/>
    </row>
    <row r="157" spans="2:23">
      <c r="B157" s="27"/>
      <c r="V157" s="24"/>
      <c r="W157" s="25"/>
    </row>
    <row r="158" spans="2:23">
      <c r="B158" s="28"/>
      <c r="V158" s="24"/>
      <c r="W158" s="25"/>
    </row>
    <row r="159" spans="2:23">
      <c r="B159" s="28"/>
      <c r="V159" s="24"/>
      <c r="W159" s="25"/>
    </row>
    <row r="160" spans="2:23">
      <c r="B160" s="28"/>
    </row>
    <row r="161" spans="2:93">
      <c r="B161" s="28"/>
    </row>
    <row r="162" spans="2:93">
      <c r="B162" s="28"/>
    </row>
    <row r="163" spans="2:93">
      <c r="B163" s="28"/>
    </row>
    <row r="164" spans="2:93">
      <c r="B164" s="29"/>
    </row>
    <row r="165" spans="2:93">
      <c r="B165" s="29"/>
    </row>
    <row r="166" spans="2:93">
      <c r="B166" s="29"/>
    </row>
    <row r="167" spans="2:93">
      <c r="B167" s="29"/>
    </row>
    <row r="168" spans="2:93">
      <c r="B168" s="29"/>
    </row>
    <row r="169" spans="2:93">
      <c r="B169" s="29"/>
    </row>
    <row r="170" spans="2:93">
      <c r="B170" s="29"/>
    </row>
    <row r="171" spans="2:93">
      <c r="B171" s="29"/>
    </row>
    <row r="172" spans="2:93">
      <c r="B172" s="29"/>
    </row>
    <row r="173" spans="2:93">
      <c r="B173" s="29"/>
    </row>
    <row r="174" spans="2:93">
      <c r="B174" s="29"/>
    </row>
    <row r="175" spans="2:93">
      <c r="B175" s="29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  <c r="BM175" s="28"/>
      <c r="BN175" s="28"/>
      <c r="BO175" s="28"/>
      <c r="BP175" s="28"/>
      <c r="BQ175" s="28"/>
      <c r="BR175" s="28"/>
      <c r="BS175" s="28"/>
      <c r="BT175" s="28"/>
      <c r="BU175" s="28"/>
      <c r="BV175" s="28"/>
      <c r="BW175" s="28"/>
      <c r="BX175" s="28"/>
      <c r="BY175" s="28"/>
      <c r="BZ175" s="28"/>
      <c r="CA175" s="28"/>
      <c r="CB175" s="28"/>
      <c r="CC175" s="28"/>
      <c r="CD175" s="28"/>
      <c r="CE175" s="28"/>
      <c r="CF175" s="28"/>
      <c r="CG175" s="28"/>
      <c r="CH175" s="28"/>
      <c r="CI175" s="28"/>
      <c r="CJ175" s="28"/>
      <c r="CK175" s="28"/>
      <c r="CL175" s="28"/>
      <c r="CM175" s="28"/>
      <c r="CN175" s="28"/>
      <c r="CO175" s="28"/>
    </row>
    <row r="176" spans="2:93">
      <c r="B176" s="29"/>
    </row>
    <row r="177" spans="2:2">
      <c r="B177" s="29"/>
    </row>
    <row r="178" spans="2:2">
      <c r="B178" s="29"/>
    </row>
    <row r="179" spans="2:2">
      <c r="B179" s="29"/>
    </row>
    <row r="180" spans="2:2">
      <c r="B180" s="29"/>
    </row>
    <row r="181" spans="2:2">
      <c r="B181" s="29"/>
    </row>
    <row r="182" spans="2:2">
      <c r="B182" s="28"/>
    </row>
    <row r="183" spans="2:2">
      <c r="B183" s="28"/>
    </row>
    <row r="184" spans="2:2">
      <c r="B184" s="28"/>
    </row>
    <row r="185" spans="2:2">
      <c r="B185" s="28"/>
    </row>
    <row r="186" spans="2:2">
      <c r="B186" s="28"/>
    </row>
    <row r="187" spans="2:2">
      <c r="B187" s="28"/>
    </row>
    <row r="188" spans="2:2">
      <c r="B188" s="28"/>
    </row>
    <row r="189" spans="2:2">
      <c r="B189" s="28"/>
    </row>
    <row r="190" spans="2:2">
      <c r="B190" s="28"/>
    </row>
    <row r="191" spans="2:2">
      <c r="B191" s="28"/>
    </row>
    <row r="192" spans="2:2">
      <c r="B192" s="28"/>
    </row>
    <row r="193" spans="2:2">
      <c r="B193" s="28"/>
    </row>
    <row r="194" spans="2:2">
      <c r="B194" s="28"/>
    </row>
    <row r="195" spans="2:2">
      <c r="B195" s="28"/>
    </row>
    <row r="196" spans="2:2">
      <c r="B196" s="28"/>
    </row>
    <row r="197" spans="2:2">
      <c r="B197" s="28"/>
    </row>
    <row r="198" spans="2:2">
      <c r="B198" s="28"/>
    </row>
    <row r="199" spans="2:2">
      <c r="B199" s="28"/>
    </row>
    <row r="200" spans="2:2">
      <c r="B200" s="28"/>
    </row>
    <row r="201" spans="2:2">
      <c r="B201" s="28"/>
    </row>
    <row r="202" spans="2:2">
      <c r="B202" s="28"/>
    </row>
    <row r="203" spans="2:2">
      <c r="B203" s="28"/>
    </row>
    <row r="204" spans="2:2">
      <c r="B204" s="28"/>
    </row>
    <row r="205" spans="2:2">
      <c r="B205" s="28"/>
    </row>
    <row r="206" spans="2:2">
      <c r="B206" s="28"/>
    </row>
    <row r="207" spans="2:2">
      <c r="B207" s="28"/>
    </row>
    <row r="208" spans="2:2">
      <c r="B208" s="28"/>
    </row>
    <row r="209" spans="2:2">
      <c r="B209" s="28"/>
    </row>
    <row r="210" spans="2:2">
      <c r="B210" s="28"/>
    </row>
    <row r="211" spans="2:2">
      <c r="B211" s="28"/>
    </row>
    <row r="212" spans="2:2">
      <c r="B212" s="28"/>
    </row>
    <row r="213" spans="2:2">
      <c r="B213" s="28"/>
    </row>
    <row r="214" spans="2:2">
      <c r="B214" s="28"/>
    </row>
    <row r="215" spans="2:2">
      <c r="B215" s="28"/>
    </row>
    <row r="216" spans="2:2">
      <c r="B216" s="28"/>
    </row>
    <row r="217" spans="2:2">
      <c r="B217" s="28"/>
    </row>
    <row r="218" spans="2:2">
      <c r="B218" s="28"/>
    </row>
    <row r="219" spans="2:2">
      <c r="B219" s="28"/>
    </row>
    <row r="220" spans="2:2">
      <c r="B220" s="28"/>
    </row>
    <row r="221" spans="2:2">
      <c r="B221" s="28"/>
    </row>
    <row r="222" spans="2:2">
      <c r="B222" s="28"/>
    </row>
    <row r="223" spans="2:2">
      <c r="B223" s="28"/>
    </row>
    <row r="239" spans="4:5">
      <c r="D239" s="28"/>
      <c r="E239" s="28"/>
    </row>
  </sheetData>
  <phoneticPr fontId="5"/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theme="1"/>
  </sheetPr>
  <dimension ref="A1:Z48"/>
  <sheetViews>
    <sheetView workbookViewId="0">
      <selection activeCell="G78" sqref="G78"/>
    </sheetView>
  </sheetViews>
  <sheetFormatPr defaultColWidth="9" defaultRowHeight="17.25"/>
  <cols>
    <col min="1" max="8" width="9" style="42"/>
    <col min="9" max="9" width="1.6640625" style="42" customWidth="1"/>
    <col min="10" max="17" width="9" style="42"/>
    <col min="18" max="18" width="2" style="42" customWidth="1"/>
    <col min="19" max="16384" width="9" style="42"/>
  </cols>
  <sheetData>
    <row r="1" spans="1:26">
      <c r="A1" s="42" t="s">
        <v>243</v>
      </c>
      <c r="J1" s="42" t="s">
        <v>267</v>
      </c>
      <c r="S1" s="42" t="s">
        <v>271</v>
      </c>
    </row>
    <row r="2" spans="1:26">
      <c r="A2" s="47" t="s">
        <v>244</v>
      </c>
      <c r="B2" s="47" t="s">
        <v>245</v>
      </c>
      <c r="C2" s="47" t="s">
        <v>268</v>
      </c>
      <c r="D2" s="47" t="s">
        <v>269</v>
      </c>
      <c r="E2" s="47" t="s">
        <v>246</v>
      </c>
      <c r="F2" s="47" t="s">
        <v>247</v>
      </c>
      <c r="G2" s="47" t="s">
        <v>248</v>
      </c>
      <c r="J2" s="47" t="s">
        <v>244</v>
      </c>
      <c r="K2" s="47" t="s">
        <v>245</v>
      </c>
      <c r="L2" s="47" t="s">
        <v>268</v>
      </c>
      <c r="M2" s="47" t="s">
        <v>269</v>
      </c>
      <c r="N2" s="47" t="s">
        <v>246</v>
      </c>
      <c r="O2" s="47" t="s">
        <v>247</v>
      </c>
      <c r="P2" s="47" t="s">
        <v>248</v>
      </c>
      <c r="S2" s="47" t="s">
        <v>244</v>
      </c>
      <c r="T2" s="47" t="s">
        <v>245</v>
      </c>
      <c r="U2" s="47" t="s">
        <v>268</v>
      </c>
      <c r="V2" s="47" t="s">
        <v>269</v>
      </c>
      <c r="W2" s="47" t="s">
        <v>246</v>
      </c>
      <c r="X2" s="47" t="s">
        <v>247</v>
      </c>
      <c r="Y2" s="47" t="s">
        <v>248</v>
      </c>
    </row>
    <row r="3" spans="1:26">
      <c r="A3" s="48" t="s">
        <v>249</v>
      </c>
      <c r="B3" s="48" t="s">
        <v>253</v>
      </c>
      <c r="C3" s="48" t="s">
        <v>233</v>
      </c>
      <c r="D3" s="48" t="s">
        <v>234</v>
      </c>
      <c r="E3" s="49">
        <v>162495</v>
      </c>
      <c r="F3" s="49">
        <v>90689</v>
      </c>
      <c r="G3" s="50">
        <v>0.56000000000000005</v>
      </c>
      <c r="J3" s="48" t="s">
        <v>270</v>
      </c>
      <c r="K3" s="48" t="s">
        <v>250</v>
      </c>
      <c r="L3" s="48" t="s">
        <v>233</v>
      </c>
      <c r="M3" s="48" t="s">
        <v>251</v>
      </c>
      <c r="N3" s="49">
        <v>162495</v>
      </c>
      <c r="O3" s="49">
        <v>47186</v>
      </c>
      <c r="P3" s="50">
        <v>0.28999999999999998</v>
      </c>
      <c r="S3" s="48" t="s">
        <v>272</v>
      </c>
      <c r="T3" s="48" t="s">
        <v>250</v>
      </c>
      <c r="U3" s="48" t="s">
        <v>233</v>
      </c>
      <c r="V3" s="48" t="s">
        <v>251</v>
      </c>
      <c r="W3" s="49">
        <v>162495</v>
      </c>
      <c r="X3" s="49">
        <v>39480</v>
      </c>
      <c r="Y3" s="50">
        <v>0.24</v>
      </c>
    </row>
    <row r="4" spans="1:26">
      <c r="A4" s="48" t="s">
        <v>249</v>
      </c>
      <c r="B4" s="48" t="s">
        <v>250</v>
      </c>
      <c r="C4" s="48" t="s">
        <v>233</v>
      </c>
      <c r="D4" s="48" t="s">
        <v>251</v>
      </c>
      <c r="E4" s="49">
        <v>162495</v>
      </c>
      <c r="F4" s="49">
        <v>91153</v>
      </c>
      <c r="G4" s="50">
        <v>0.56000000000000005</v>
      </c>
      <c r="J4" s="48" t="s">
        <v>270</v>
      </c>
      <c r="K4" s="48" t="s">
        <v>252</v>
      </c>
      <c r="L4" s="48" t="s">
        <v>233</v>
      </c>
      <c r="M4" s="48" t="s">
        <v>239</v>
      </c>
      <c r="N4" s="49">
        <v>162495</v>
      </c>
      <c r="O4" s="49">
        <v>47414</v>
      </c>
      <c r="P4" s="50">
        <v>0.28999999999999998</v>
      </c>
      <c r="S4" s="48" t="s">
        <v>272</v>
      </c>
      <c r="T4" s="48" t="s">
        <v>252</v>
      </c>
      <c r="U4" s="48" t="s">
        <v>233</v>
      </c>
      <c r="V4" s="48" t="s">
        <v>239</v>
      </c>
      <c r="W4" s="49">
        <v>162495</v>
      </c>
      <c r="X4" s="49">
        <v>39406</v>
      </c>
      <c r="Y4" s="50">
        <v>0.24</v>
      </c>
    </row>
    <row r="5" spans="1:26">
      <c r="A5" s="48" t="s">
        <v>249</v>
      </c>
      <c r="B5" s="48" t="s">
        <v>252</v>
      </c>
      <c r="C5" s="48" t="s">
        <v>233</v>
      </c>
      <c r="D5" s="48" t="s">
        <v>239</v>
      </c>
      <c r="E5" s="49">
        <v>162495</v>
      </c>
      <c r="F5" s="49">
        <v>91374</v>
      </c>
      <c r="G5" s="50">
        <v>0.56000000000000005</v>
      </c>
      <c r="J5" s="48" t="s">
        <v>270</v>
      </c>
      <c r="K5" s="48" t="s">
        <v>253</v>
      </c>
      <c r="L5" s="48" t="s">
        <v>233</v>
      </c>
      <c r="M5" s="48" t="s">
        <v>234</v>
      </c>
      <c r="N5" s="49">
        <v>162495</v>
      </c>
      <c r="O5" s="49">
        <v>43144</v>
      </c>
      <c r="P5" s="50">
        <v>0.27</v>
      </c>
      <c r="S5" s="48" t="s">
        <v>272</v>
      </c>
      <c r="T5" s="48" t="s">
        <v>253</v>
      </c>
      <c r="U5" s="48" t="s">
        <v>233</v>
      </c>
      <c r="V5" s="48" t="s">
        <v>234</v>
      </c>
      <c r="W5" s="49">
        <v>162495</v>
      </c>
      <c r="X5" s="49">
        <v>36025</v>
      </c>
      <c r="Y5" s="50">
        <v>0.22</v>
      </c>
    </row>
    <row r="6" spans="1:26">
      <c r="A6" s="48" t="s">
        <v>249</v>
      </c>
      <c r="B6" s="48" t="s">
        <v>256</v>
      </c>
      <c r="C6" s="48" t="s">
        <v>233</v>
      </c>
      <c r="D6" s="48" t="s">
        <v>257</v>
      </c>
      <c r="E6" s="49">
        <v>162495</v>
      </c>
      <c r="F6" s="49">
        <v>88922</v>
      </c>
      <c r="G6" s="50">
        <v>0.55000000000000004</v>
      </c>
      <c r="J6" s="48" t="s">
        <v>270</v>
      </c>
      <c r="K6" s="48" t="s">
        <v>254</v>
      </c>
      <c r="L6" s="48" t="s">
        <v>233</v>
      </c>
      <c r="M6" s="48" t="s">
        <v>255</v>
      </c>
      <c r="N6" s="49">
        <v>162495</v>
      </c>
      <c r="O6" s="49">
        <v>43190</v>
      </c>
      <c r="P6" s="50">
        <v>0.27</v>
      </c>
      <c r="S6" s="48" t="s">
        <v>272</v>
      </c>
      <c r="T6" s="48" t="s">
        <v>254</v>
      </c>
      <c r="U6" s="48" t="s">
        <v>233</v>
      </c>
      <c r="V6" s="48" t="s">
        <v>255</v>
      </c>
      <c r="W6" s="49">
        <v>162495</v>
      </c>
      <c r="X6" s="49">
        <v>36012</v>
      </c>
      <c r="Y6" s="50">
        <v>0.22</v>
      </c>
    </row>
    <row r="7" spans="1:26">
      <c r="A7" s="48" t="s">
        <v>249</v>
      </c>
      <c r="B7" s="48" t="s">
        <v>258</v>
      </c>
      <c r="C7" s="48" t="s">
        <v>233</v>
      </c>
      <c r="D7" s="48" t="s">
        <v>259</v>
      </c>
      <c r="E7" s="49">
        <v>162495</v>
      </c>
      <c r="F7" s="49">
        <v>89246</v>
      </c>
      <c r="G7" s="50">
        <v>0.55000000000000004</v>
      </c>
      <c r="J7" s="48" t="s">
        <v>270</v>
      </c>
      <c r="K7" s="48" t="s">
        <v>256</v>
      </c>
      <c r="L7" s="48" t="s">
        <v>233</v>
      </c>
      <c r="M7" s="48" t="s">
        <v>257</v>
      </c>
      <c r="N7" s="49">
        <v>162495</v>
      </c>
      <c r="O7" s="49">
        <v>41775</v>
      </c>
      <c r="P7" s="50">
        <v>0.26</v>
      </c>
      <c r="S7" s="48" t="s">
        <v>272</v>
      </c>
      <c r="T7" s="48" t="s">
        <v>256</v>
      </c>
      <c r="U7" s="48" t="s">
        <v>233</v>
      </c>
      <c r="V7" s="48" t="s">
        <v>257</v>
      </c>
      <c r="W7" s="49">
        <v>162495</v>
      </c>
      <c r="X7" s="49">
        <v>34911</v>
      </c>
      <c r="Y7" s="50">
        <v>0.21</v>
      </c>
    </row>
    <row r="8" spans="1:26">
      <c r="A8" s="48" t="s">
        <v>249</v>
      </c>
      <c r="B8" s="48" t="s">
        <v>254</v>
      </c>
      <c r="C8" s="48" t="s">
        <v>233</v>
      </c>
      <c r="D8" s="48" t="s">
        <v>255</v>
      </c>
      <c r="E8" s="49">
        <v>162495</v>
      </c>
      <c r="F8" s="49">
        <v>89818</v>
      </c>
      <c r="G8" s="50">
        <v>0.55000000000000004</v>
      </c>
      <c r="J8" s="48" t="s">
        <v>270</v>
      </c>
      <c r="K8" s="48" t="s">
        <v>258</v>
      </c>
      <c r="L8" s="48" t="s">
        <v>233</v>
      </c>
      <c r="M8" s="48" t="s">
        <v>259</v>
      </c>
      <c r="N8" s="49">
        <v>162495</v>
      </c>
      <c r="O8" s="49">
        <v>41741</v>
      </c>
      <c r="P8" s="50">
        <v>0.26</v>
      </c>
      <c r="S8" s="48" t="s">
        <v>272</v>
      </c>
      <c r="T8" s="48" t="s">
        <v>258</v>
      </c>
      <c r="U8" s="48" t="s">
        <v>233</v>
      </c>
      <c r="V8" s="48" t="s">
        <v>259</v>
      </c>
      <c r="W8" s="49">
        <v>162495</v>
      </c>
      <c r="X8" s="49">
        <v>34715</v>
      </c>
      <c r="Y8" s="50">
        <v>0.21</v>
      </c>
    </row>
    <row r="12" spans="1:26" ht="34.5">
      <c r="A12" s="47" t="s">
        <v>244</v>
      </c>
      <c r="B12" s="47" t="s">
        <v>245</v>
      </c>
      <c r="C12" s="47" t="s">
        <v>260</v>
      </c>
      <c r="D12" s="47" t="s">
        <v>268</v>
      </c>
      <c r="E12" s="47" t="s">
        <v>269</v>
      </c>
      <c r="F12" s="47" t="s">
        <v>246</v>
      </c>
      <c r="G12" s="47" t="s">
        <v>247</v>
      </c>
      <c r="H12" s="47" t="s">
        <v>248</v>
      </c>
      <c r="J12" s="47" t="s">
        <v>244</v>
      </c>
      <c r="K12" s="47" t="s">
        <v>245</v>
      </c>
      <c r="L12" s="47" t="s">
        <v>260</v>
      </c>
      <c r="M12" s="47" t="s">
        <v>268</v>
      </c>
      <c r="N12" s="47" t="s">
        <v>269</v>
      </c>
      <c r="O12" s="47" t="s">
        <v>246</v>
      </c>
      <c r="P12" s="47" t="s">
        <v>247</v>
      </c>
      <c r="Q12" s="47" t="s">
        <v>248</v>
      </c>
      <c r="S12" s="47" t="s">
        <v>244</v>
      </c>
      <c r="T12" s="47" t="s">
        <v>245</v>
      </c>
      <c r="U12" s="47" t="s">
        <v>260</v>
      </c>
      <c r="V12" s="47" t="s">
        <v>268</v>
      </c>
      <c r="W12" s="47" t="s">
        <v>269</v>
      </c>
      <c r="X12" s="47" t="s">
        <v>246</v>
      </c>
      <c r="Y12" s="47" t="s">
        <v>247</v>
      </c>
      <c r="Z12" s="47" t="s">
        <v>248</v>
      </c>
    </row>
    <row r="13" spans="1:26" hidden="1">
      <c r="A13" s="48" t="s">
        <v>249</v>
      </c>
      <c r="B13" s="48" t="s">
        <v>253</v>
      </c>
      <c r="C13" s="48" t="s">
        <v>261</v>
      </c>
      <c r="D13" s="48" t="s">
        <v>233</v>
      </c>
      <c r="E13" s="48" t="s">
        <v>234</v>
      </c>
      <c r="F13" s="49">
        <v>126908</v>
      </c>
      <c r="G13" s="49">
        <v>78368</v>
      </c>
      <c r="H13" s="50">
        <v>0.62</v>
      </c>
      <c r="J13" s="48" t="s">
        <v>270</v>
      </c>
      <c r="K13" s="48" t="s">
        <v>252</v>
      </c>
      <c r="L13" s="48" t="s">
        <v>261</v>
      </c>
      <c r="M13" s="48" t="s">
        <v>233</v>
      </c>
      <c r="N13" s="48" t="s">
        <v>239</v>
      </c>
      <c r="O13" s="49">
        <v>3543</v>
      </c>
      <c r="P13" s="49">
        <v>789</v>
      </c>
      <c r="Q13" s="50">
        <v>0.22</v>
      </c>
      <c r="S13" s="48" t="s">
        <v>272</v>
      </c>
      <c r="T13" s="48" t="s">
        <v>252</v>
      </c>
      <c r="U13" s="48" t="s">
        <v>261</v>
      </c>
      <c r="V13" s="48" t="s">
        <v>233</v>
      </c>
      <c r="W13" s="48" t="s">
        <v>239</v>
      </c>
      <c r="X13" s="49">
        <v>263</v>
      </c>
      <c r="Y13" s="49">
        <v>41</v>
      </c>
      <c r="Z13" s="50">
        <v>0.16</v>
      </c>
    </row>
    <row r="14" spans="1:26" hidden="1">
      <c r="A14" s="48" t="s">
        <v>249</v>
      </c>
      <c r="B14" s="48" t="s">
        <v>254</v>
      </c>
      <c r="C14" s="48" t="s">
        <v>261</v>
      </c>
      <c r="D14" s="48" t="s">
        <v>233</v>
      </c>
      <c r="E14" s="48" t="s">
        <v>255</v>
      </c>
      <c r="F14" s="49">
        <v>124945</v>
      </c>
      <c r="G14" s="49">
        <v>77411</v>
      </c>
      <c r="H14" s="50">
        <v>0.62</v>
      </c>
      <c r="J14" s="48" t="s">
        <v>270</v>
      </c>
      <c r="K14" s="48" t="s">
        <v>250</v>
      </c>
      <c r="L14" s="48" t="s">
        <v>261</v>
      </c>
      <c r="M14" s="48" t="s">
        <v>233</v>
      </c>
      <c r="N14" s="48" t="s">
        <v>251</v>
      </c>
      <c r="O14" s="49">
        <v>2015</v>
      </c>
      <c r="P14" s="49">
        <v>440</v>
      </c>
      <c r="Q14" s="50">
        <v>0.22</v>
      </c>
      <c r="S14" s="48" t="s">
        <v>272</v>
      </c>
      <c r="T14" s="48" t="s">
        <v>250</v>
      </c>
      <c r="U14" s="48" t="s">
        <v>261</v>
      </c>
      <c r="V14" s="48" t="s">
        <v>233</v>
      </c>
      <c r="W14" s="48" t="s">
        <v>251</v>
      </c>
      <c r="X14" s="49">
        <v>197</v>
      </c>
      <c r="Y14" s="49">
        <v>31</v>
      </c>
      <c r="Z14" s="50">
        <v>0.16</v>
      </c>
    </row>
    <row r="15" spans="1:26" hidden="1">
      <c r="A15" s="48" t="s">
        <v>249</v>
      </c>
      <c r="B15" s="48" t="s">
        <v>252</v>
      </c>
      <c r="C15" s="48" t="s">
        <v>261</v>
      </c>
      <c r="D15" s="48" t="s">
        <v>233</v>
      </c>
      <c r="E15" s="48" t="s">
        <v>239</v>
      </c>
      <c r="F15" s="49">
        <v>132922</v>
      </c>
      <c r="G15" s="49">
        <v>80599</v>
      </c>
      <c r="H15" s="50">
        <v>0.61</v>
      </c>
      <c r="J15" s="48" t="s">
        <v>270</v>
      </c>
      <c r="K15" s="48" t="s">
        <v>256</v>
      </c>
      <c r="L15" s="48" t="s">
        <v>261</v>
      </c>
      <c r="M15" s="48" t="s">
        <v>233</v>
      </c>
      <c r="N15" s="48" t="s">
        <v>257</v>
      </c>
      <c r="O15" s="49">
        <v>23647</v>
      </c>
      <c r="P15" s="49">
        <v>4911</v>
      </c>
      <c r="Q15" s="50">
        <v>0.21</v>
      </c>
      <c r="S15" s="48" t="s">
        <v>272</v>
      </c>
      <c r="T15" s="48" t="s">
        <v>254</v>
      </c>
      <c r="U15" s="48" t="s">
        <v>261</v>
      </c>
      <c r="V15" s="48" t="s">
        <v>233</v>
      </c>
      <c r="W15" s="48" t="s">
        <v>255</v>
      </c>
      <c r="X15" s="49">
        <v>5656</v>
      </c>
      <c r="Y15" s="49">
        <v>736</v>
      </c>
      <c r="Z15" s="50">
        <v>0.13</v>
      </c>
    </row>
    <row r="16" spans="1:26" hidden="1">
      <c r="A16" s="48" t="s">
        <v>249</v>
      </c>
      <c r="B16" s="48" t="s">
        <v>258</v>
      </c>
      <c r="C16" s="48" t="s">
        <v>261</v>
      </c>
      <c r="D16" s="48" t="s">
        <v>233</v>
      </c>
      <c r="E16" s="48" t="s">
        <v>259</v>
      </c>
      <c r="F16" s="49">
        <v>129595</v>
      </c>
      <c r="G16" s="49">
        <v>78677</v>
      </c>
      <c r="H16" s="50">
        <v>0.61</v>
      </c>
      <c r="J16" s="48" t="s">
        <v>270</v>
      </c>
      <c r="K16" s="48" t="s">
        <v>258</v>
      </c>
      <c r="L16" s="48" t="s">
        <v>261</v>
      </c>
      <c r="M16" s="48" t="s">
        <v>233</v>
      </c>
      <c r="N16" s="48" t="s">
        <v>259</v>
      </c>
      <c r="O16" s="49">
        <v>22868</v>
      </c>
      <c r="P16" s="49">
        <v>4729</v>
      </c>
      <c r="Q16" s="50">
        <v>0.21</v>
      </c>
      <c r="S16" s="48" t="s">
        <v>272</v>
      </c>
      <c r="T16" s="48" t="s">
        <v>256</v>
      </c>
      <c r="U16" s="48" t="s">
        <v>261</v>
      </c>
      <c r="V16" s="48" t="s">
        <v>233</v>
      </c>
      <c r="W16" s="48" t="s">
        <v>257</v>
      </c>
      <c r="X16" s="49">
        <v>5800</v>
      </c>
      <c r="Y16" s="49">
        <v>718</v>
      </c>
      <c r="Z16" s="50">
        <v>0.12</v>
      </c>
    </row>
    <row r="17" spans="1:26" hidden="1">
      <c r="A17" s="48" t="s">
        <v>249</v>
      </c>
      <c r="B17" s="48" t="s">
        <v>256</v>
      </c>
      <c r="C17" s="48" t="s">
        <v>261</v>
      </c>
      <c r="D17" s="48" t="s">
        <v>233</v>
      </c>
      <c r="E17" s="48" t="s">
        <v>257</v>
      </c>
      <c r="F17" s="49">
        <v>128769</v>
      </c>
      <c r="G17" s="49">
        <v>78273</v>
      </c>
      <c r="H17" s="50">
        <v>0.61</v>
      </c>
      <c r="J17" s="48" t="s">
        <v>270</v>
      </c>
      <c r="K17" s="48" t="s">
        <v>253</v>
      </c>
      <c r="L17" s="48" t="s">
        <v>261</v>
      </c>
      <c r="M17" s="48" t="s">
        <v>233</v>
      </c>
      <c r="N17" s="48" t="s">
        <v>234</v>
      </c>
      <c r="O17" s="49">
        <v>22310</v>
      </c>
      <c r="P17" s="49">
        <v>4663</v>
      </c>
      <c r="Q17" s="50">
        <v>0.21</v>
      </c>
      <c r="S17" s="48" t="s">
        <v>272</v>
      </c>
      <c r="T17" s="48" t="s">
        <v>258</v>
      </c>
      <c r="U17" s="48" t="s">
        <v>261</v>
      </c>
      <c r="V17" s="48" t="s">
        <v>233</v>
      </c>
      <c r="W17" s="48" t="s">
        <v>259</v>
      </c>
      <c r="X17" s="49">
        <v>5459</v>
      </c>
      <c r="Y17" s="49">
        <v>661</v>
      </c>
      <c r="Z17" s="50">
        <v>0.12</v>
      </c>
    </row>
    <row r="18" spans="1:26" hidden="1">
      <c r="A18" s="48" t="s">
        <v>249</v>
      </c>
      <c r="B18" s="48" t="s">
        <v>250</v>
      </c>
      <c r="C18" s="48" t="s">
        <v>261</v>
      </c>
      <c r="D18" s="48" t="s">
        <v>233</v>
      </c>
      <c r="E18" s="48" t="s">
        <v>251</v>
      </c>
      <c r="F18" s="49">
        <v>134333</v>
      </c>
      <c r="G18" s="49">
        <v>80886</v>
      </c>
      <c r="H18" s="50">
        <v>0.6</v>
      </c>
      <c r="J18" s="48" t="s">
        <v>270</v>
      </c>
      <c r="K18" s="48" t="s">
        <v>254</v>
      </c>
      <c r="L18" s="48" t="s">
        <v>261</v>
      </c>
      <c r="M18" s="48" t="s">
        <v>233</v>
      </c>
      <c r="N18" s="48" t="s">
        <v>255</v>
      </c>
      <c r="O18" s="49">
        <v>22206</v>
      </c>
      <c r="P18" s="49">
        <v>4675</v>
      </c>
      <c r="Q18" s="50">
        <v>0.21</v>
      </c>
      <c r="S18" s="48" t="s">
        <v>272</v>
      </c>
      <c r="T18" s="48" t="s">
        <v>253</v>
      </c>
      <c r="U18" s="48" t="s">
        <v>261</v>
      </c>
      <c r="V18" s="48" t="s">
        <v>233</v>
      </c>
      <c r="W18" s="48" t="s">
        <v>234</v>
      </c>
      <c r="X18" s="49">
        <v>5326</v>
      </c>
      <c r="Y18" s="49">
        <v>659</v>
      </c>
      <c r="Z18" s="50">
        <v>0.12</v>
      </c>
    </row>
    <row r="19" spans="1:26">
      <c r="A19" s="48" t="s">
        <v>249</v>
      </c>
      <c r="B19" s="48" t="s">
        <v>253</v>
      </c>
      <c r="C19" s="48" t="s">
        <v>262</v>
      </c>
      <c r="D19" s="48" t="s">
        <v>233</v>
      </c>
      <c r="E19" s="48" t="s">
        <v>234</v>
      </c>
      <c r="F19" s="49">
        <v>16049</v>
      </c>
      <c r="G19" s="49">
        <v>6121</v>
      </c>
      <c r="H19" s="50">
        <v>0.38</v>
      </c>
      <c r="J19" s="48" t="s">
        <v>270</v>
      </c>
      <c r="K19" s="48" t="s">
        <v>250</v>
      </c>
      <c r="L19" s="48" t="s">
        <v>262</v>
      </c>
      <c r="M19" s="48" t="s">
        <v>233</v>
      </c>
      <c r="N19" s="48" t="s">
        <v>251</v>
      </c>
      <c r="O19" s="49">
        <v>79147</v>
      </c>
      <c r="P19" s="49">
        <v>24309</v>
      </c>
      <c r="Q19" s="50">
        <v>0.31</v>
      </c>
      <c r="S19" s="48" t="s">
        <v>272</v>
      </c>
      <c r="T19" s="48" t="s">
        <v>250</v>
      </c>
      <c r="U19" s="48" t="s">
        <v>262</v>
      </c>
      <c r="V19" s="48" t="s">
        <v>233</v>
      </c>
      <c r="W19" s="48" t="s">
        <v>251</v>
      </c>
      <c r="X19" s="49">
        <v>5272</v>
      </c>
      <c r="Y19" s="49">
        <v>1205</v>
      </c>
      <c r="Z19" s="50">
        <v>0.23</v>
      </c>
    </row>
    <row r="20" spans="1:26">
      <c r="A20" s="48" t="s">
        <v>249</v>
      </c>
      <c r="B20" s="48" t="s">
        <v>252</v>
      </c>
      <c r="C20" s="48" t="s">
        <v>262</v>
      </c>
      <c r="D20" s="48" t="s">
        <v>233</v>
      </c>
      <c r="E20" s="48" t="s">
        <v>239</v>
      </c>
      <c r="F20" s="49">
        <v>15165</v>
      </c>
      <c r="G20" s="49">
        <v>5787</v>
      </c>
      <c r="H20" s="50">
        <v>0.38</v>
      </c>
      <c r="J20" s="48" t="s">
        <v>270</v>
      </c>
      <c r="K20" s="48" t="s">
        <v>252</v>
      </c>
      <c r="L20" s="48" t="s">
        <v>262</v>
      </c>
      <c r="M20" s="48" t="s">
        <v>233</v>
      </c>
      <c r="N20" s="48" t="s">
        <v>239</v>
      </c>
      <c r="O20" s="49">
        <v>77611</v>
      </c>
      <c r="P20" s="49">
        <v>24049</v>
      </c>
      <c r="Q20" s="50">
        <v>0.31</v>
      </c>
      <c r="S20" s="48" t="s">
        <v>272</v>
      </c>
      <c r="T20" s="48" t="s">
        <v>252</v>
      </c>
      <c r="U20" s="48" t="s">
        <v>262</v>
      </c>
      <c r="V20" s="48" t="s">
        <v>233</v>
      </c>
      <c r="W20" s="48" t="s">
        <v>239</v>
      </c>
      <c r="X20" s="49">
        <v>6540</v>
      </c>
      <c r="Y20" s="49">
        <v>1440</v>
      </c>
      <c r="Z20" s="50">
        <v>0.22</v>
      </c>
    </row>
    <row r="21" spans="1:26">
      <c r="A21" s="48" t="s">
        <v>249</v>
      </c>
      <c r="B21" s="48" t="s">
        <v>250</v>
      </c>
      <c r="C21" s="48" t="s">
        <v>262</v>
      </c>
      <c r="D21" s="48" t="s">
        <v>233</v>
      </c>
      <c r="E21" s="48" t="s">
        <v>251</v>
      </c>
      <c r="F21" s="49">
        <v>14845</v>
      </c>
      <c r="G21" s="49">
        <v>5680</v>
      </c>
      <c r="H21" s="50">
        <v>0.38</v>
      </c>
      <c r="J21" s="48" t="s">
        <v>270</v>
      </c>
      <c r="K21" s="48" t="s">
        <v>253</v>
      </c>
      <c r="L21" s="48" t="s">
        <v>262</v>
      </c>
      <c r="M21" s="48" t="s">
        <v>233</v>
      </c>
      <c r="N21" s="48" t="s">
        <v>234</v>
      </c>
      <c r="O21" s="49">
        <v>59354</v>
      </c>
      <c r="P21" s="49">
        <v>18299</v>
      </c>
      <c r="Q21" s="50">
        <v>0.31</v>
      </c>
      <c r="S21" s="48" t="s">
        <v>272</v>
      </c>
      <c r="T21" s="48" t="s">
        <v>253</v>
      </c>
      <c r="U21" s="48" t="s">
        <v>262</v>
      </c>
      <c r="V21" s="48" t="s">
        <v>233</v>
      </c>
      <c r="W21" s="48" t="s">
        <v>234</v>
      </c>
      <c r="X21" s="49">
        <v>28306</v>
      </c>
      <c r="Y21" s="49">
        <v>5674</v>
      </c>
      <c r="Z21" s="50">
        <v>0.2</v>
      </c>
    </row>
    <row r="22" spans="1:26">
      <c r="A22" s="48" t="s">
        <v>249</v>
      </c>
      <c r="B22" s="48" t="s">
        <v>254</v>
      </c>
      <c r="C22" s="48" t="s">
        <v>262</v>
      </c>
      <c r="D22" s="48" t="s">
        <v>233</v>
      </c>
      <c r="E22" s="48" t="s">
        <v>255</v>
      </c>
      <c r="F22" s="49">
        <v>16326</v>
      </c>
      <c r="G22" s="49">
        <v>5951</v>
      </c>
      <c r="H22" s="50">
        <v>0.36</v>
      </c>
      <c r="J22" s="48" t="s">
        <v>270</v>
      </c>
      <c r="K22" s="48" t="s">
        <v>254</v>
      </c>
      <c r="L22" s="48" t="s">
        <v>262</v>
      </c>
      <c r="M22" s="48" t="s">
        <v>233</v>
      </c>
      <c r="N22" s="48" t="s">
        <v>255</v>
      </c>
      <c r="O22" s="49">
        <v>57134</v>
      </c>
      <c r="P22" s="49">
        <v>17756</v>
      </c>
      <c r="Q22" s="50">
        <v>0.31</v>
      </c>
      <c r="S22" s="48" t="s">
        <v>272</v>
      </c>
      <c r="T22" s="48" t="s">
        <v>258</v>
      </c>
      <c r="U22" s="48" t="s">
        <v>262</v>
      </c>
      <c r="V22" s="48" t="s">
        <v>233</v>
      </c>
      <c r="W22" s="48" t="s">
        <v>259</v>
      </c>
      <c r="X22" s="49">
        <v>28301</v>
      </c>
      <c r="Y22" s="49">
        <v>5616</v>
      </c>
      <c r="Z22" s="50">
        <v>0.2</v>
      </c>
    </row>
    <row r="23" spans="1:26">
      <c r="A23" s="48" t="s">
        <v>249</v>
      </c>
      <c r="B23" s="48" t="s">
        <v>258</v>
      </c>
      <c r="C23" s="48" t="s">
        <v>262</v>
      </c>
      <c r="D23" s="48" t="s">
        <v>233</v>
      </c>
      <c r="E23" s="48" t="s">
        <v>259</v>
      </c>
      <c r="F23" s="49">
        <v>14429</v>
      </c>
      <c r="G23" s="49">
        <v>5164</v>
      </c>
      <c r="H23" s="50">
        <v>0.36</v>
      </c>
      <c r="J23" s="48" t="s">
        <v>270</v>
      </c>
      <c r="K23" s="48" t="s">
        <v>258</v>
      </c>
      <c r="L23" s="48" t="s">
        <v>262</v>
      </c>
      <c r="M23" s="48" t="s">
        <v>233</v>
      </c>
      <c r="N23" s="48" t="s">
        <v>259</v>
      </c>
      <c r="O23" s="49">
        <v>57694</v>
      </c>
      <c r="P23" s="49">
        <v>17416</v>
      </c>
      <c r="Q23" s="50">
        <v>0.3</v>
      </c>
      <c r="S23" s="48" t="s">
        <v>272</v>
      </c>
      <c r="T23" s="48" t="s">
        <v>256</v>
      </c>
      <c r="U23" s="48" t="s">
        <v>262</v>
      </c>
      <c r="V23" s="48" t="s">
        <v>233</v>
      </c>
      <c r="W23" s="48" t="s">
        <v>257</v>
      </c>
      <c r="X23" s="49">
        <v>28002</v>
      </c>
      <c r="Y23" s="49">
        <v>5552</v>
      </c>
      <c r="Z23" s="50">
        <v>0.2</v>
      </c>
    </row>
    <row r="24" spans="1:26">
      <c r="A24" s="48" t="s">
        <v>249</v>
      </c>
      <c r="B24" s="48" t="s">
        <v>256</v>
      </c>
      <c r="C24" s="48" t="s">
        <v>262</v>
      </c>
      <c r="D24" s="48" t="s">
        <v>233</v>
      </c>
      <c r="E24" s="48" t="s">
        <v>257</v>
      </c>
      <c r="F24" s="49">
        <v>14897</v>
      </c>
      <c r="G24" s="49">
        <v>5224</v>
      </c>
      <c r="H24" s="50">
        <v>0.35</v>
      </c>
      <c r="J24" s="48" t="s">
        <v>270</v>
      </c>
      <c r="K24" s="48" t="s">
        <v>256</v>
      </c>
      <c r="L24" s="48" t="s">
        <v>262</v>
      </c>
      <c r="M24" s="48" t="s">
        <v>233</v>
      </c>
      <c r="N24" s="48" t="s">
        <v>257</v>
      </c>
      <c r="O24" s="49">
        <v>57130</v>
      </c>
      <c r="P24" s="49">
        <v>17364</v>
      </c>
      <c r="Q24" s="50">
        <v>0.3</v>
      </c>
      <c r="S24" s="48" t="s">
        <v>272</v>
      </c>
      <c r="T24" s="48" t="s">
        <v>254</v>
      </c>
      <c r="U24" s="48" t="s">
        <v>262</v>
      </c>
      <c r="V24" s="48" t="s">
        <v>233</v>
      </c>
      <c r="W24" s="48" t="s">
        <v>255</v>
      </c>
      <c r="X24" s="49">
        <v>27944</v>
      </c>
      <c r="Y24" s="49">
        <v>5647</v>
      </c>
      <c r="Z24" s="50">
        <v>0.2</v>
      </c>
    </row>
    <row r="25" spans="1:26" hidden="1">
      <c r="A25" s="48" t="s">
        <v>249</v>
      </c>
      <c r="B25" s="48" t="s">
        <v>250</v>
      </c>
      <c r="C25" s="48" t="s">
        <v>263</v>
      </c>
      <c r="D25" s="48" t="s">
        <v>233</v>
      </c>
      <c r="E25" s="48" t="s">
        <v>251</v>
      </c>
      <c r="F25" s="49">
        <v>7276</v>
      </c>
      <c r="G25" s="49">
        <v>2598</v>
      </c>
      <c r="H25" s="50">
        <v>0.36</v>
      </c>
      <c r="J25" s="48" t="s">
        <v>270</v>
      </c>
      <c r="K25" s="48" t="s">
        <v>252</v>
      </c>
      <c r="L25" s="48" t="s">
        <v>263</v>
      </c>
      <c r="M25" s="48" t="s">
        <v>233</v>
      </c>
      <c r="N25" s="48" t="s">
        <v>239</v>
      </c>
      <c r="O25" s="49">
        <v>39043</v>
      </c>
      <c r="P25" s="49">
        <v>11264</v>
      </c>
      <c r="Q25" s="50">
        <v>0.28999999999999998</v>
      </c>
      <c r="S25" s="48" t="s">
        <v>272</v>
      </c>
      <c r="T25" s="48" t="s">
        <v>252</v>
      </c>
      <c r="U25" s="48" t="s">
        <v>263</v>
      </c>
      <c r="V25" s="48" t="s">
        <v>233</v>
      </c>
      <c r="W25" s="48" t="s">
        <v>239</v>
      </c>
      <c r="X25" s="49">
        <v>32245</v>
      </c>
      <c r="Y25" s="49">
        <v>8032</v>
      </c>
      <c r="Z25" s="50">
        <v>0.25</v>
      </c>
    </row>
    <row r="26" spans="1:26" hidden="1">
      <c r="A26" s="48" t="s">
        <v>249</v>
      </c>
      <c r="B26" s="48" t="s">
        <v>252</v>
      </c>
      <c r="C26" s="48" t="s">
        <v>263</v>
      </c>
      <c r="D26" s="48" t="s">
        <v>233</v>
      </c>
      <c r="E26" s="48" t="s">
        <v>239</v>
      </c>
      <c r="F26" s="49">
        <v>7790</v>
      </c>
      <c r="G26" s="49">
        <v>2757</v>
      </c>
      <c r="H26" s="50">
        <v>0.35</v>
      </c>
      <c r="J26" s="48" t="s">
        <v>270</v>
      </c>
      <c r="K26" s="48" t="s">
        <v>250</v>
      </c>
      <c r="L26" s="48" t="s">
        <v>263</v>
      </c>
      <c r="M26" s="48" t="s">
        <v>233</v>
      </c>
      <c r="N26" s="48" t="s">
        <v>251</v>
      </c>
      <c r="O26" s="49">
        <v>38793</v>
      </c>
      <c r="P26" s="49">
        <v>11152</v>
      </c>
      <c r="Q26" s="50">
        <v>0.28999999999999998</v>
      </c>
      <c r="S26" s="48" t="s">
        <v>272</v>
      </c>
      <c r="T26" s="48" t="s">
        <v>250</v>
      </c>
      <c r="U26" s="48" t="s">
        <v>263</v>
      </c>
      <c r="V26" s="48" t="s">
        <v>233</v>
      </c>
      <c r="W26" s="48" t="s">
        <v>251</v>
      </c>
      <c r="X26" s="49">
        <v>30686</v>
      </c>
      <c r="Y26" s="49">
        <v>7613</v>
      </c>
      <c r="Z26" s="50">
        <v>0.25</v>
      </c>
    </row>
    <row r="27" spans="1:26" hidden="1">
      <c r="A27" s="48" t="s">
        <v>249</v>
      </c>
      <c r="B27" s="48" t="s">
        <v>253</v>
      </c>
      <c r="C27" s="48" t="s">
        <v>263</v>
      </c>
      <c r="D27" s="48" t="s">
        <v>233</v>
      </c>
      <c r="E27" s="48" t="s">
        <v>234</v>
      </c>
      <c r="F27" s="49">
        <v>9664</v>
      </c>
      <c r="G27" s="49">
        <v>3220</v>
      </c>
      <c r="H27" s="50">
        <v>0.33</v>
      </c>
      <c r="J27" s="48" t="s">
        <v>270</v>
      </c>
      <c r="K27" s="48" t="s">
        <v>253</v>
      </c>
      <c r="L27" s="48" t="s">
        <v>263</v>
      </c>
      <c r="M27" s="48" t="s">
        <v>233</v>
      </c>
      <c r="N27" s="48" t="s">
        <v>234</v>
      </c>
      <c r="O27" s="49">
        <v>36928</v>
      </c>
      <c r="P27" s="49">
        <v>10034</v>
      </c>
      <c r="Q27" s="50">
        <v>0.27</v>
      </c>
      <c r="S27" s="48" t="s">
        <v>272</v>
      </c>
      <c r="T27" s="48" t="s">
        <v>253</v>
      </c>
      <c r="U27" s="48" t="s">
        <v>263</v>
      </c>
      <c r="V27" s="48" t="s">
        <v>233</v>
      </c>
      <c r="W27" s="48" t="s">
        <v>234</v>
      </c>
      <c r="X27" s="49">
        <v>36676</v>
      </c>
      <c r="Y27" s="49">
        <v>8404</v>
      </c>
      <c r="Z27" s="50">
        <v>0.23</v>
      </c>
    </row>
    <row r="28" spans="1:26" hidden="1">
      <c r="A28" s="48" t="s">
        <v>249</v>
      </c>
      <c r="B28" s="48" t="s">
        <v>254</v>
      </c>
      <c r="C28" s="48" t="s">
        <v>263</v>
      </c>
      <c r="D28" s="48" t="s">
        <v>233</v>
      </c>
      <c r="E28" s="48" t="s">
        <v>255</v>
      </c>
      <c r="F28" s="49">
        <v>10229</v>
      </c>
      <c r="G28" s="49">
        <v>3299</v>
      </c>
      <c r="H28" s="50">
        <v>0.32</v>
      </c>
      <c r="J28" s="48" t="s">
        <v>270</v>
      </c>
      <c r="K28" s="48" t="s">
        <v>254</v>
      </c>
      <c r="L28" s="48" t="s">
        <v>263</v>
      </c>
      <c r="M28" s="48" t="s">
        <v>233</v>
      </c>
      <c r="N28" s="48" t="s">
        <v>255</v>
      </c>
      <c r="O28" s="49">
        <v>36779</v>
      </c>
      <c r="P28" s="49">
        <v>10044</v>
      </c>
      <c r="Q28" s="50">
        <v>0.27</v>
      </c>
      <c r="S28" s="48" t="s">
        <v>272</v>
      </c>
      <c r="T28" s="48" t="s">
        <v>254</v>
      </c>
      <c r="U28" s="48" t="s">
        <v>263</v>
      </c>
      <c r="V28" s="48" t="s">
        <v>233</v>
      </c>
      <c r="W28" s="48" t="s">
        <v>255</v>
      </c>
      <c r="X28" s="49">
        <v>36076</v>
      </c>
      <c r="Y28" s="49">
        <v>8198</v>
      </c>
      <c r="Z28" s="50">
        <v>0.23</v>
      </c>
    </row>
    <row r="29" spans="1:26" hidden="1">
      <c r="A29" s="48" t="s">
        <v>249</v>
      </c>
      <c r="B29" s="48" t="s">
        <v>258</v>
      </c>
      <c r="C29" s="48" t="s">
        <v>263</v>
      </c>
      <c r="D29" s="48" t="s">
        <v>233</v>
      </c>
      <c r="E29" s="48" t="s">
        <v>259</v>
      </c>
      <c r="F29" s="49">
        <v>8851</v>
      </c>
      <c r="G29" s="49">
        <v>2766</v>
      </c>
      <c r="H29" s="50">
        <v>0.31</v>
      </c>
      <c r="J29" s="48" t="s">
        <v>270</v>
      </c>
      <c r="K29" s="48" t="s">
        <v>258</v>
      </c>
      <c r="L29" s="48" t="s">
        <v>263</v>
      </c>
      <c r="M29" s="48" t="s">
        <v>233</v>
      </c>
      <c r="N29" s="48" t="s">
        <v>259</v>
      </c>
      <c r="O29" s="49">
        <v>36802</v>
      </c>
      <c r="P29" s="49">
        <v>9593</v>
      </c>
      <c r="Q29" s="50">
        <v>0.26</v>
      </c>
      <c r="S29" s="48" t="s">
        <v>272</v>
      </c>
      <c r="T29" s="48" t="s">
        <v>256</v>
      </c>
      <c r="U29" s="48" t="s">
        <v>263</v>
      </c>
      <c r="V29" s="48" t="s">
        <v>233</v>
      </c>
      <c r="W29" s="48" t="s">
        <v>257</v>
      </c>
      <c r="X29" s="49">
        <v>36568</v>
      </c>
      <c r="Y29" s="49">
        <v>8216</v>
      </c>
      <c r="Z29" s="50">
        <v>0.22</v>
      </c>
    </row>
    <row r="30" spans="1:26" hidden="1">
      <c r="A30" s="48" t="s">
        <v>249</v>
      </c>
      <c r="B30" s="48" t="s">
        <v>256</v>
      </c>
      <c r="C30" s="48" t="s">
        <v>263</v>
      </c>
      <c r="D30" s="48" t="s">
        <v>233</v>
      </c>
      <c r="E30" s="48" t="s">
        <v>257</v>
      </c>
      <c r="F30" s="49">
        <v>9128</v>
      </c>
      <c r="G30" s="49">
        <v>2773</v>
      </c>
      <c r="H30" s="50">
        <v>0.3</v>
      </c>
      <c r="J30" s="48" t="s">
        <v>270</v>
      </c>
      <c r="K30" s="48" t="s">
        <v>256</v>
      </c>
      <c r="L30" s="48" t="s">
        <v>263</v>
      </c>
      <c r="M30" s="48" t="s">
        <v>233</v>
      </c>
      <c r="N30" s="48" t="s">
        <v>257</v>
      </c>
      <c r="O30" s="49">
        <v>36362</v>
      </c>
      <c r="P30" s="49">
        <v>9540</v>
      </c>
      <c r="Q30" s="50">
        <v>0.26</v>
      </c>
      <c r="S30" s="48" t="s">
        <v>272</v>
      </c>
      <c r="T30" s="48" t="s">
        <v>258</v>
      </c>
      <c r="U30" s="48" t="s">
        <v>263</v>
      </c>
      <c r="V30" s="48" t="s">
        <v>233</v>
      </c>
      <c r="W30" s="48" t="s">
        <v>259</v>
      </c>
      <c r="X30" s="49">
        <v>36535</v>
      </c>
      <c r="Y30" s="49">
        <v>8157</v>
      </c>
      <c r="Z30" s="50">
        <v>0.22</v>
      </c>
    </row>
    <row r="31" spans="1:26" hidden="1">
      <c r="A31" s="48" t="s">
        <v>249</v>
      </c>
      <c r="B31" s="48" t="s">
        <v>252</v>
      </c>
      <c r="C31" s="48" t="s">
        <v>264</v>
      </c>
      <c r="D31" s="48" t="s">
        <v>233</v>
      </c>
      <c r="E31" s="48" t="s">
        <v>239</v>
      </c>
      <c r="F31" s="49">
        <v>4669</v>
      </c>
      <c r="G31" s="49">
        <v>1672</v>
      </c>
      <c r="H31" s="50">
        <v>0.36</v>
      </c>
      <c r="J31" s="48" t="s">
        <v>270</v>
      </c>
      <c r="K31" s="48" t="s">
        <v>252</v>
      </c>
      <c r="L31" s="48" t="s">
        <v>264</v>
      </c>
      <c r="M31" s="48" t="s">
        <v>233</v>
      </c>
      <c r="N31" s="48" t="s">
        <v>239</v>
      </c>
      <c r="O31" s="49">
        <v>24580</v>
      </c>
      <c r="P31" s="49">
        <v>6819</v>
      </c>
      <c r="Q31" s="50">
        <v>0.28000000000000003</v>
      </c>
      <c r="S31" s="48" t="s">
        <v>272</v>
      </c>
      <c r="T31" s="48" t="s">
        <v>250</v>
      </c>
      <c r="U31" s="48" t="s">
        <v>264</v>
      </c>
      <c r="V31" s="48" t="s">
        <v>233</v>
      </c>
      <c r="W31" s="48" t="s">
        <v>251</v>
      </c>
      <c r="X31" s="49">
        <v>47392</v>
      </c>
      <c r="Y31" s="49">
        <v>11545</v>
      </c>
      <c r="Z31" s="50">
        <v>0.24</v>
      </c>
    </row>
    <row r="32" spans="1:26" hidden="1">
      <c r="A32" s="48" t="s">
        <v>249</v>
      </c>
      <c r="B32" s="48" t="s">
        <v>250</v>
      </c>
      <c r="C32" s="48" t="s">
        <v>264</v>
      </c>
      <c r="D32" s="48" t="s">
        <v>233</v>
      </c>
      <c r="E32" s="48" t="s">
        <v>251</v>
      </c>
      <c r="F32" s="49">
        <v>4224</v>
      </c>
      <c r="G32" s="49">
        <v>1451</v>
      </c>
      <c r="H32" s="50">
        <v>0.34</v>
      </c>
      <c r="J32" s="48" t="s">
        <v>270</v>
      </c>
      <c r="K32" s="48" t="s">
        <v>250</v>
      </c>
      <c r="L32" s="48" t="s">
        <v>264</v>
      </c>
      <c r="M32" s="48" t="s">
        <v>233</v>
      </c>
      <c r="N32" s="48" t="s">
        <v>251</v>
      </c>
      <c r="O32" s="49">
        <v>24943</v>
      </c>
      <c r="P32" s="49">
        <v>6857</v>
      </c>
      <c r="Q32" s="50">
        <v>0.27</v>
      </c>
      <c r="S32" s="48" t="s">
        <v>272</v>
      </c>
      <c r="T32" s="48" t="s">
        <v>252</v>
      </c>
      <c r="U32" s="48" t="s">
        <v>264</v>
      </c>
      <c r="V32" s="48" t="s">
        <v>233</v>
      </c>
      <c r="W32" s="48" t="s">
        <v>239</v>
      </c>
      <c r="X32" s="49">
        <v>45919</v>
      </c>
      <c r="Y32" s="49">
        <v>11154</v>
      </c>
      <c r="Z32" s="50">
        <v>0.24</v>
      </c>
    </row>
    <row r="33" spans="1:26" hidden="1">
      <c r="A33" s="48" t="s">
        <v>249</v>
      </c>
      <c r="B33" s="48" t="s">
        <v>253</v>
      </c>
      <c r="C33" s="48" t="s">
        <v>264</v>
      </c>
      <c r="D33" s="48" t="s">
        <v>233</v>
      </c>
      <c r="E33" s="48" t="s">
        <v>234</v>
      </c>
      <c r="F33" s="49">
        <v>6278</v>
      </c>
      <c r="G33" s="49" t="s">
        <v>327</v>
      </c>
      <c r="H33" s="50">
        <v>0.33</v>
      </c>
      <c r="J33" s="48" t="s">
        <v>270</v>
      </c>
      <c r="K33" s="48" t="s">
        <v>254</v>
      </c>
      <c r="L33" s="48" t="s">
        <v>264</v>
      </c>
      <c r="M33" s="48" t="s">
        <v>233</v>
      </c>
      <c r="N33" s="48" t="s">
        <v>255</v>
      </c>
      <c r="O33" s="49">
        <v>25153</v>
      </c>
      <c r="P33" s="49">
        <v>6191</v>
      </c>
      <c r="Q33" s="50">
        <v>0.25</v>
      </c>
      <c r="S33" s="48" t="s">
        <v>272</v>
      </c>
      <c r="T33" s="48" t="s">
        <v>253</v>
      </c>
      <c r="U33" s="48" t="s">
        <v>264</v>
      </c>
      <c r="V33" s="48" t="s">
        <v>233</v>
      </c>
      <c r="W33" s="48" t="s">
        <v>234</v>
      </c>
      <c r="X33" s="49">
        <v>37633</v>
      </c>
      <c r="Y33" s="49">
        <v>8819</v>
      </c>
      <c r="Z33" s="50">
        <v>0.23</v>
      </c>
    </row>
    <row r="34" spans="1:26" hidden="1">
      <c r="A34" s="48" t="s">
        <v>249</v>
      </c>
      <c r="B34" s="48" t="s">
        <v>254</v>
      </c>
      <c r="C34" s="48" t="s">
        <v>264</v>
      </c>
      <c r="D34" s="48" t="s">
        <v>233</v>
      </c>
      <c r="E34" s="48" t="s">
        <v>255</v>
      </c>
      <c r="F34" s="49">
        <v>7006</v>
      </c>
      <c r="G34" s="49">
        <v>2186</v>
      </c>
      <c r="H34" s="50">
        <v>0.31</v>
      </c>
      <c r="J34" s="48" t="s">
        <v>270</v>
      </c>
      <c r="K34" s="48" t="s">
        <v>253</v>
      </c>
      <c r="L34" s="48" t="s">
        <v>264</v>
      </c>
      <c r="M34" s="48" t="s">
        <v>233</v>
      </c>
      <c r="N34" s="48" t="s">
        <v>234</v>
      </c>
      <c r="O34" s="49">
        <v>23497</v>
      </c>
      <c r="P34" s="49">
        <v>5802</v>
      </c>
      <c r="Q34" s="50">
        <v>0.25</v>
      </c>
      <c r="S34" s="48" t="s">
        <v>272</v>
      </c>
      <c r="T34" s="48" t="s">
        <v>254</v>
      </c>
      <c r="U34" s="48" t="s">
        <v>264</v>
      </c>
      <c r="V34" s="48" t="s">
        <v>233</v>
      </c>
      <c r="W34" s="48" t="s">
        <v>255</v>
      </c>
      <c r="X34" s="49">
        <v>37454</v>
      </c>
      <c r="Y34" s="49">
        <v>8754</v>
      </c>
      <c r="Z34" s="50">
        <v>0.23</v>
      </c>
    </row>
    <row r="35" spans="1:26" hidden="1">
      <c r="A35" s="48" t="s">
        <v>249</v>
      </c>
      <c r="B35" s="48" t="s">
        <v>256</v>
      </c>
      <c r="C35" s="48" t="s">
        <v>264</v>
      </c>
      <c r="D35" s="48" t="s">
        <v>233</v>
      </c>
      <c r="E35" s="48" t="s">
        <v>257</v>
      </c>
      <c r="F35" s="49">
        <v>6299</v>
      </c>
      <c r="G35" s="49">
        <v>1857</v>
      </c>
      <c r="H35" s="50">
        <v>0.28999999999999998</v>
      </c>
      <c r="J35" s="48" t="s">
        <v>270</v>
      </c>
      <c r="K35" s="48" t="s">
        <v>258</v>
      </c>
      <c r="L35" s="48" t="s">
        <v>264</v>
      </c>
      <c r="M35" s="48" t="s">
        <v>233</v>
      </c>
      <c r="N35" s="48" t="s">
        <v>259</v>
      </c>
      <c r="O35" s="49">
        <v>24666</v>
      </c>
      <c r="P35" s="49">
        <v>5876</v>
      </c>
      <c r="Q35" s="50">
        <v>0.24</v>
      </c>
      <c r="S35" s="48" t="s">
        <v>272</v>
      </c>
      <c r="T35" s="48" t="s">
        <v>258</v>
      </c>
      <c r="U35" s="48" t="s">
        <v>264</v>
      </c>
      <c r="V35" s="48" t="s">
        <v>233</v>
      </c>
      <c r="W35" s="48" t="s">
        <v>259</v>
      </c>
      <c r="X35" s="49">
        <v>36875</v>
      </c>
      <c r="Y35" s="49">
        <v>8437</v>
      </c>
      <c r="Z35" s="50">
        <v>0.23</v>
      </c>
    </row>
    <row r="36" spans="1:26" hidden="1">
      <c r="A36" s="48" t="s">
        <v>249</v>
      </c>
      <c r="B36" s="48" t="s">
        <v>258</v>
      </c>
      <c r="C36" s="48" t="s">
        <v>264</v>
      </c>
      <c r="D36" s="48" t="s">
        <v>233</v>
      </c>
      <c r="E36" s="48" t="s">
        <v>259</v>
      </c>
      <c r="F36" s="49">
        <v>6086</v>
      </c>
      <c r="G36" s="49">
        <v>1792</v>
      </c>
      <c r="H36" s="50">
        <v>0.28999999999999998</v>
      </c>
      <c r="J36" s="48" t="s">
        <v>270</v>
      </c>
      <c r="K36" s="48" t="s">
        <v>256</v>
      </c>
      <c r="L36" s="48" t="s">
        <v>264</v>
      </c>
      <c r="M36" s="48" t="s">
        <v>233</v>
      </c>
      <c r="N36" s="48" t="s">
        <v>257</v>
      </c>
      <c r="O36" s="49">
        <v>24364</v>
      </c>
      <c r="P36" s="49">
        <v>5780</v>
      </c>
      <c r="Q36" s="50">
        <v>0.24</v>
      </c>
      <c r="S36" s="48" t="s">
        <v>272</v>
      </c>
      <c r="T36" s="48" t="s">
        <v>256</v>
      </c>
      <c r="U36" s="48" t="s">
        <v>264</v>
      </c>
      <c r="V36" s="48" t="s">
        <v>233</v>
      </c>
      <c r="W36" s="48" t="s">
        <v>257</v>
      </c>
      <c r="X36" s="49">
        <v>36586</v>
      </c>
      <c r="Y36" s="49">
        <v>8396</v>
      </c>
      <c r="Z36" s="50">
        <v>0.23</v>
      </c>
    </row>
    <row r="37" spans="1:26" hidden="1">
      <c r="A37" s="48" t="s">
        <v>249</v>
      </c>
      <c r="B37" s="48" t="s">
        <v>250</v>
      </c>
      <c r="C37" s="48" t="s">
        <v>265</v>
      </c>
      <c r="D37" s="48" t="s">
        <v>233</v>
      </c>
      <c r="E37" s="48" t="s">
        <v>251</v>
      </c>
      <c r="F37" s="49">
        <v>1193</v>
      </c>
      <c r="G37" s="49">
        <v>371</v>
      </c>
      <c r="H37" s="50">
        <v>0.31</v>
      </c>
      <c r="J37" s="48" t="s">
        <v>270</v>
      </c>
      <c r="K37" s="48" t="s">
        <v>252</v>
      </c>
      <c r="L37" s="48" t="s">
        <v>265</v>
      </c>
      <c r="M37" s="48" t="s">
        <v>233</v>
      </c>
      <c r="N37" s="48" t="s">
        <v>239</v>
      </c>
      <c r="O37" s="49">
        <v>10394</v>
      </c>
      <c r="P37" s="49">
        <v>2708</v>
      </c>
      <c r="Q37" s="50">
        <v>0.26</v>
      </c>
      <c r="S37" s="48" t="s">
        <v>272</v>
      </c>
      <c r="T37" s="48" t="s">
        <v>250</v>
      </c>
      <c r="U37" s="48" t="s">
        <v>265</v>
      </c>
      <c r="V37" s="48" t="s">
        <v>233</v>
      </c>
      <c r="W37" s="48" t="s">
        <v>251</v>
      </c>
      <c r="X37" s="49">
        <v>38167</v>
      </c>
      <c r="Y37" s="49">
        <v>9221</v>
      </c>
      <c r="Z37" s="50">
        <v>0.24</v>
      </c>
    </row>
    <row r="38" spans="1:26" hidden="1">
      <c r="A38" s="48" t="s">
        <v>249</v>
      </c>
      <c r="B38" s="48" t="s">
        <v>252</v>
      </c>
      <c r="C38" s="48" t="s">
        <v>265</v>
      </c>
      <c r="D38" s="48" t="s">
        <v>233</v>
      </c>
      <c r="E38" s="48" t="s">
        <v>239</v>
      </c>
      <c r="F38" s="49">
        <v>1300</v>
      </c>
      <c r="G38" s="49">
        <v>378</v>
      </c>
      <c r="H38" s="50">
        <v>0.28999999999999998</v>
      </c>
      <c r="J38" s="48" t="s">
        <v>270</v>
      </c>
      <c r="K38" s="48" t="s">
        <v>250</v>
      </c>
      <c r="L38" s="48" t="s">
        <v>265</v>
      </c>
      <c r="M38" s="48" t="s">
        <v>233</v>
      </c>
      <c r="N38" s="48" t="s">
        <v>251</v>
      </c>
      <c r="O38" s="49">
        <v>10285</v>
      </c>
      <c r="P38" s="49">
        <v>2622</v>
      </c>
      <c r="Q38" s="50">
        <v>0.25</v>
      </c>
      <c r="S38" s="48" t="s">
        <v>272</v>
      </c>
      <c r="T38" s="48" t="s">
        <v>252</v>
      </c>
      <c r="U38" s="48" t="s">
        <v>265</v>
      </c>
      <c r="V38" s="48" t="s">
        <v>233</v>
      </c>
      <c r="W38" s="48" t="s">
        <v>239</v>
      </c>
      <c r="X38" s="49">
        <v>36926</v>
      </c>
      <c r="Y38" s="49">
        <v>8861</v>
      </c>
      <c r="Z38" s="50">
        <v>0.24</v>
      </c>
    </row>
    <row r="39" spans="1:26" hidden="1">
      <c r="A39" s="48" t="s">
        <v>249</v>
      </c>
      <c r="B39" s="48" t="s">
        <v>254</v>
      </c>
      <c r="C39" s="48" t="s">
        <v>265</v>
      </c>
      <c r="D39" s="48" t="s">
        <v>233</v>
      </c>
      <c r="E39" s="48" t="s">
        <v>255</v>
      </c>
      <c r="F39" s="49">
        <v>2591</v>
      </c>
      <c r="G39" s="49">
        <v>648</v>
      </c>
      <c r="H39" s="50">
        <v>0.25</v>
      </c>
      <c r="J39" s="48" t="s">
        <v>270</v>
      </c>
      <c r="K39" s="48" t="s">
        <v>254</v>
      </c>
      <c r="L39" s="48" t="s">
        <v>265</v>
      </c>
      <c r="M39" s="48" t="s">
        <v>233</v>
      </c>
      <c r="N39" s="48" t="s">
        <v>255</v>
      </c>
      <c r="O39" s="49">
        <v>12798</v>
      </c>
      <c r="P39" s="49">
        <v>2794</v>
      </c>
      <c r="Q39" s="50">
        <v>0.22</v>
      </c>
      <c r="S39" s="48" t="s">
        <v>272</v>
      </c>
      <c r="T39" s="48" t="s">
        <v>254</v>
      </c>
      <c r="U39" s="48" t="s">
        <v>265</v>
      </c>
      <c r="V39" s="48" t="s">
        <v>233</v>
      </c>
      <c r="W39" s="48" t="s">
        <v>255</v>
      </c>
      <c r="X39" s="49">
        <v>28787</v>
      </c>
      <c r="Y39" s="49">
        <v>6494</v>
      </c>
      <c r="Z39" s="50">
        <v>0.23</v>
      </c>
    </row>
    <row r="40" spans="1:26" hidden="1">
      <c r="A40" s="48" t="s">
        <v>249</v>
      </c>
      <c r="B40" s="48" t="s">
        <v>253</v>
      </c>
      <c r="C40" s="48" t="s">
        <v>265</v>
      </c>
      <c r="D40" s="48" t="s">
        <v>233</v>
      </c>
      <c r="E40" s="48" t="s">
        <v>234</v>
      </c>
      <c r="F40" s="49">
        <v>2277</v>
      </c>
      <c r="G40" s="49">
        <v>574</v>
      </c>
      <c r="H40" s="50">
        <v>0.25</v>
      </c>
      <c r="J40" s="48" t="s">
        <v>270</v>
      </c>
      <c r="K40" s="48" t="s">
        <v>253</v>
      </c>
      <c r="L40" s="48" t="s">
        <v>265</v>
      </c>
      <c r="M40" s="48" t="s">
        <v>233</v>
      </c>
      <c r="N40" s="48" t="s">
        <v>234</v>
      </c>
      <c r="O40" s="49">
        <v>12122</v>
      </c>
      <c r="P40" s="49">
        <v>2648</v>
      </c>
      <c r="Q40" s="50">
        <v>0.22</v>
      </c>
      <c r="S40" s="48" t="s">
        <v>272</v>
      </c>
      <c r="T40" s="48" t="s">
        <v>253</v>
      </c>
      <c r="U40" s="48" t="s">
        <v>265</v>
      </c>
      <c r="V40" s="48" t="s">
        <v>233</v>
      </c>
      <c r="W40" s="48" t="s">
        <v>234</v>
      </c>
      <c r="X40" s="49">
        <v>28624</v>
      </c>
      <c r="Y40" s="49">
        <v>6422</v>
      </c>
      <c r="Z40" s="50">
        <v>0.22</v>
      </c>
    </row>
    <row r="41" spans="1:26" hidden="1">
      <c r="A41" s="48" t="s">
        <v>249</v>
      </c>
      <c r="B41" s="48" t="s">
        <v>258</v>
      </c>
      <c r="C41" s="48" t="s">
        <v>265</v>
      </c>
      <c r="D41" s="48" t="s">
        <v>233</v>
      </c>
      <c r="E41" s="48" t="s">
        <v>259</v>
      </c>
      <c r="F41" s="49">
        <v>2204</v>
      </c>
      <c r="G41" s="49">
        <v>521</v>
      </c>
      <c r="H41" s="50">
        <v>0.24</v>
      </c>
      <c r="J41" s="48" t="s">
        <v>270</v>
      </c>
      <c r="K41" s="48" t="s">
        <v>256</v>
      </c>
      <c r="L41" s="48" t="s">
        <v>265</v>
      </c>
      <c r="M41" s="48" t="s">
        <v>233</v>
      </c>
      <c r="N41" s="48" t="s">
        <v>257</v>
      </c>
      <c r="O41" s="49">
        <v>12506</v>
      </c>
      <c r="P41" s="49">
        <v>2584</v>
      </c>
      <c r="Q41" s="50">
        <v>0.21</v>
      </c>
      <c r="S41" s="48" t="s">
        <v>272</v>
      </c>
      <c r="T41" s="48" t="s">
        <v>256</v>
      </c>
      <c r="U41" s="48" t="s">
        <v>265</v>
      </c>
      <c r="V41" s="48" t="s">
        <v>233</v>
      </c>
      <c r="W41" s="48" t="s">
        <v>257</v>
      </c>
      <c r="X41" s="49">
        <v>28768</v>
      </c>
      <c r="Y41" s="49">
        <v>6139</v>
      </c>
      <c r="Z41" s="50">
        <v>0.21</v>
      </c>
    </row>
    <row r="42" spans="1:26" hidden="1">
      <c r="A42" s="48" t="s">
        <v>249</v>
      </c>
      <c r="B42" s="48" t="s">
        <v>256</v>
      </c>
      <c r="C42" s="48" t="s">
        <v>265</v>
      </c>
      <c r="D42" s="48" t="s">
        <v>233</v>
      </c>
      <c r="E42" s="48" t="s">
        <v>257</v>
      </c>
      <c r="F42" s="49">
        <v>2188</v>
      </c>
      <c r="G42" s="49">
        <v>500</v>
      </c>
      <c r="H42" s="50">
        <v>0.23</v>
      </c>
      <c r="J42" s="48" t="s">
        <v>270</v>
      </c>
      <c r="K42" s="48" t="s">
        <v>258</v>
      </c>
      <c r="L42" s="48" t="s">
        <v>265</v>
      </c>
      <c r="M42" s="48" t="s">
        <v>233</v>
      </c>
      <c r="N42" s="48" t="s">
        <v>259</v>
      </c>
      <c r="O42" s="49">
        <v>12293</v>
      </c>
      <c r="P42" s="49">
        <v>2547</v>
      </c>
      <c r="Q42" s="50">
        <v>0.21</v>
      </c>
      <c r="S42" s="48" t="s">
        <v>272</v>
      </c>
      <c r="T42" s="48" t="s">
        <v>258</v>
      </c>
      <c r="U42" s="48" t="s">
        <v>265</v>
      </c>
      <c r="V42" s="48" t="s">
        <v>233</v>
      </c>
      <c r="W42" s="48" t="s">
        <v>259</v>
      </c>
      <c r="X42" s="49">
        <v>28752</v>
      </c>
      <c r="Y42" s="49">
        <v>6104</v>
      </c>
      <c r="Z42" s="50">
        <v>0.21</v>
      </c>
    </row>
    <row r="43" spans="1:26" hidden="1">
      <c r="A43" s="48" t="s">
        <v>249</v>
      </c>
      <c r="B43" s="48" t="s">
        <v>252</v>
      </c>
      <c r="C43" s="48" t="s">
        <v>266</v>
      </c>
      <c r="D43" s="48" t="s">
        <v>233</v>
      </c>
      <c r="E43" s="48" t="s">
        <v>239</v>
      </c>
      <c r="F43" s="49">
        <v>649</v>
      </c>
      <c r="G43" s="49">
        <v>181</v>
      </c>
      <c r="H43" s="50">
        <v>0.28000000000000003</v>
      </c>
      <c r="J43" s="48" t="s">
        <v>270</v>
      </c>
      <c r="K43" s="48" t="s">
        <v>250</v>
      </c>
      <c r="L43" s="48" t="s">
        <v>266</v>
      </c>
      <c r="M43" s="48" t="s">
        <v>233</v>
      </c>
      <c r="N43" s="48" t="s">
        <v>251</v>
      </c>
      <c r="O43" s="49">
        <v>7312</v>
      </c>
      <c r="P43" s="49">
        <v>1806</v>
      </c>
      <c r="Q43" s="50">
        <v>0.25</v>
      </c>
      <c r="S43" s="48" t="s">
        <v>272</v>
      </c>
      <c r="T43" s="48" t="s">
        <v>250</v>
      </c>
      <c r="U43" s="48" t="s">
        <v>266</v>
      </c>
      <c r="V43" s="48" t="s">
        <v>233</v>
      </c>
      <c r="W43" s="48" t="s">
        <v>251</v>
      </c>
      <c r="X43" s="49">
        <v>40781</v>
      </c>
      <c r="Y43" s="49">
        <v>9865</v>
      </c>
      <c r="Z43" s="50">
        <v>0.24</v>
      </c>
    </row>
    <row r="44" spans="1:26" hidden="1">
      <c r="A44" s="48" t="s">
        <v>249</v>
      </c>
      <c r="B44" s="48" t="s">
        <v>250</v>
      </c>
      <c r="C44" s="48" t="s">
        <v>266</v>
      </c>
      <c r="D44" s="48" t="s">
        <v>233</v>
      </c>
      <c r="E44" s="48" t="s">
        <v>251</v>
      </c>
      <c r="F44" s="49">
        <v>624</v>
      </c>
      <c r="G44" s="49">
        <v>167</v>
      </c>
      <c r="H44" s="50">
        <v>0.27</v>
      </c>
      <c r="J44" s="48" t="s">
        <v>270</v>
      </c>
      <c r="K44" s="48" t="s">
        <v>252</v>
      </c>
      <c r="L44" s="48" t="s">
        <v>266</v>
      </c>
      <c r="M44" s="48" t="s">
        <v>233</v>
      </c>
      <c r="N44" s="48" t="s">
        <v>239</v>
      </c>
      <c r="O44" s="49">
        <v>7324</v>
      </c>
      <c r="P44" s="49">
        <v>1785</v>
      </c>
      <c r="Q44" s="50">
        <v>0.24</v>
      </c>
      <c r="S44" s="48" t="s">
        <v>272</v>
      </c>
      <c r="T44" s="48" t="s">
        <v>252</v>
      </c>
      <c r="U44" s="48" t="s">
        <v>266</v>
      </c>
      <c r="V44" s="48" t="s">
        <v>233</v>
      </c>
      <c r="W44" s="48" t="s">
        <v>239</v>
      </c>
      <c r="X44" s="49">
        <v>40602</v>
      </c>
      <c r="Y44" s="49">
        <v>9878</v>
      </c>
      <c r="Z44" s="50">
        <v>0.24</v>
      </c>
    </row>
    <row r="45" spans="1:26" hidden="1">
      <c r="A45" s="48" t="s">
        <v>249</v>
      </c>
      <c r="B45" s="48" t="s">
        <v>258</v>
      </c>
      <c r="C45" s="48" t="s">
        <v>266</v>
      </c>
      <c r="D45" s="48" t="s">
        <v>233</v>
      </c>
      <c r="E45" s="48" t="s">
        <v>259</v>
      </c>
      <c r="F45" s="49">
        <v>1330</v>
      </c>
      <c r="G45" s="49">
        <v>326</v>
      </c>
      <c r="H45" s="50">
        <v>0.25</v>
      </c>
      <c r="J45" s="48" t="s">
        <v>270</v>
      </c>
      <c r="K45" s="48" t="s">
        <v>254</v>
      </c>
      <c r="L45" s="48" t="s">
        <v>266</v>
      </c>
      <c r="M45" s="48" t="s">
        <v>233</v>
      </c>
      <c r="N45" s="48" t="s">
        <v>255</v>
      </c>
      <c r="O45" s="49">
        <v>8425</v>
      </c>
      <c r="P45" s="49">
        <v>1730</v>
      </c>
      <c r="Q45" s="50">
        <v>0.21</v>
      </c>
      <c r="S45" s="48" t="s">
        <v>272</v>
      </c>
      <c r="T45" s="48" t="s">
        <v>254</v>
      </c>
      <c r="U45" s="48" t="s">
        <v>266</v>
      </c>
      <c r="V45" s="48" t="s">
        <v>233</v>
      </c>
      <c r="W45" s="48" t="s">
        <v>255</v>
      </c>
      <c r="X45" s="49">
        <v>26578</v>
      </c>
      <c r="Y45" s="49">
        <v>6183</v>
      </c>
      <c r="Z45" s="50">
        <v>0.23</v>
      </c>
    </row>
    <row r="46" spans="1:26" hidden="1">
      <c r="A46" s="48" t="s">
        <v>249</v>
      </c>
      <c r="B46" s="48" t="s">
        <v>253</v>
      </c>
      <c r="C46" s="48" t="s">
        <v>266</v>
      </c>
      <c r="D46" s="48" t="s">
        <v>233</v>
      </c>
      <c r="E46" s="48" t="s">
        <v>234</v>
      </c>
      <c r="F46" s="49">
        <v>1319</v>
      </c>
      <c r="G46" s="49">
        <v>328</v>
      </c>
      <c r="H46" s="50">
        <v>0.25</v>
      </c>
      <c r="J46" s="48" t="s">
        <v>270</v>
      </c>
      <c r="K46" s="48" t="s">
        <v>253</v>
      </c>
      <c r="L46" s="48" t="s">
        <v>266</v>
      </c>
      <c r="M46" s="48" t="s">
        <v>233</v>
      </c>
      <c r="N46" s="48" t="s">
        <v>234</v>
      </c>
      <c r="O46" s="49">
        <v>8284</v>
      </c>
      <c r="P46" s="49">
        <v>1698</v>
      </c>
      <c r="Q46" s="50">
        <v>0.2</v>
      </c>
      <c r="S46" s="48" t="s">
        <v>272</v>
      </c>
      <c r="T46" s="48" t="s">
        <v>253</v>
      </c>
      <c r="U46" s="48" t="s">
        <v>266</v>
      </c>
      <c r="V46" s="48" t="s">
        <v>233</v>
      </c>
      <c r="W46" s="48" t="s">
        <v>234</v>
      </c>
      <c r="X46" s="49">
        <v>25930</v>
      </c>
      <c r="Y46" s="49">
        <v>6047</v>
      </c>
      <c r="Z46" s="50">
        <v>0.23</v>
      </c>
    </row>
    <row r="47" spans="1:26" hidden="1">
      <c r="A47" s="48" t="s">
        <v>249</v>
      </c>
      <c r="B47" s="48" t="s">
        <v>256</v>
      </c>
      <c r="C47" s="48" t="s">
        <v>266</v>
      </c>
      <c r="D47" s="48" t="s">
        <v>233</v>
      </c>
      <c r="E47" s="48" t="s">
        <v>257</v>
      </c>
      <c r="F47" s="49">
        <v>1214</v>
      </c>
      <c r="G47" s="49">
        <v>295</v>
      </c>
      <c r="H47" s="50">
        <v>0.24</v>
      </c>
      <c r="J47" s="48" t="s">
        <v>270</v>
      </c>
      <c r="K47" s="48" t="s">
        <v>256</v>
      </c>
      <c r="L47" s="48" t="s">
        <v>266</v>
      </c>
      <c r="M47" s="48" t="s">
        <v>233</v>
      </c>
      <c r="N47" s="48" t="s">
        <v>257</v>
      </c>
      <c r="O47" s="49">
        <v>8486</v>
      </c>
      <c r="P47" s="49">
        <v>1596</v>
      </c>
      <c r="Q47" s="50">
        <v>0.19</v>
      </c>
      <c r="S47" s="48" t="s">
        <v>272</v>
      </c>
      <c r="T47" s="48" t="s">
        <v>256</v>
      </c>
      <c r="U47" s="48" t="s">
        <v>266</v>
      </c>
      <c r="V47" s="48" t="s">
        <v>233</v>
      </c>
      <c r="W47" s="48" t="s">
        <v>257</v>
      </c>
      <c r="X47" s="49">
        <v>26771</v>
      </c>
      <c r="Y47" s="49">
        <v>5890</v>
      </c>
      <c r="Z47" s="50">
        <v>0.22</v>
      </c>
    </row>
    <row r="48" spans="1:26" hidden="1">
      <c r="A48" s="48" t="s">
        <v>249</v>
      </c>
      <c r="B48" s="48" t="s">
        <v>254</v>
      </c>
      <c r="C48" s="48" t="s">
        <v>266</v>
      </c>
      <c r="D48" s="48" t="s">
        <v>233</v>
      </c>
      <c r="E48" s="48" t="s">
        <v>255</v>
      </c>
      <c r="F48" s="49">
        <v>1398</v>
      </c>
      <c r="G48" s="49">
        <v>323</v>
      </c>
      <c r="H48" s="50">
        <v>0.23</v>
      </c>
      <c r="J48" s="48" t="s">
        <v>270</v>
      </c>
      <c r="K48" s="48" t="s">
        <v>258</v>
      </c>
      <c r="L48" s="48" t="s">
        <v>266</v>
      </c>
      <c r="M48" s="48" t="s">
        <v>233</v>
      </c>
      <c r="N48" s="48" t="s">
        <v>259</v>
      </c>
      <c r="O48" s="49">
        <v>8172</v>
      </c>
      <c r="P48" s="49">
        <v>1580</v>
      </c>
      <c r="Q48" s="50">
        <v>0.19</v>
      </c>
      <c r="S48" s="48" t="s">
        <v>272</v>
      </c>
      <c r="T48" s="48" t="s">
        <v>258</v>
      </c>
      <c r="U48" s="48" t="s">
        <v>266</v>
      </c>
      <c r="V48" s="48" t="s">
        <v>233</v>
      </c>
      <c r="W48" s="48" t="s">
        <v>259</v>
      </c>
      <c r="X48" s="49">
        <v>26573</v>
      </c>
      <c r="Y48" s="49">
        <v>5740</v>
      </c>
      <c r="Z48" s="50">
        <v>0.22</v>
      </c>
    </row>
  </sheetData>
  <autoFilter ref="J12:Q48">
    <filterColumn colId="2">
      <filters>
        <filter val="2"/>
      </filters>
    </filterColumn>
  </autoFilter>
  <phoneticPr fontId="5"/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32"/>
  <sheetViews>
    <sheetView workbookViewId="0">
      <selection activeCell="C5" sqref="C5"/>
    </sheetView>
  </sheetViews>
  <sheetFormatPr defaultRowHeight="17.25"/>
  <cols>
    <col min="3" max="3" width="12.44140625" customWidth="1"/>
    <col min="4" max="4" width="14" customWidth="1"/>
    <col min="9" max="9" width="1.6640625" customWidth="1"/>
    <col min="12" max="12" width="13.109375" customWidth="1"/>
    <col min="13" max="13" width="15" customWidth="1"/>
    <col min="18" max="18" width="2" customWidth="1"/>
    <col min="21" max="21" width="14.109375" customWidth="1"/>
    <col min="22" max="22" width="13.109375" customWidth="1"/>
  </cols>
  <sheetData>
    <row r="1" spans="1:26" s="42" customFormat="1">
      <c r="A1" s="42" t="s">
        <v>243</v>
      </c>
      <c r="J1" s="42" t="s">
        <v>287</v>
      </c>
      <c r="S1" s="42" t="s">
        <v>288</v>
      </c>
    </row>
    <row r="2" spans="1:26" s="42" customFormat="1"/>
    <row r="3" spans="1:26">
      <c r="A3" s="47" t="s">
        <v>244</v>
      </c>
      <c r="B3" s="47" t="s">
        <v>245</v>
      </c>
      <c r="C3" s="47" t="s">
        <v>268</v>
      </c>
      <c r="D3" s="47" t="s">
        <v>269</v>
      </c>
      <c r="E3" s="47" t="s">
        <v>246</v>
      </c>
      <c r="F3" s="47" t="s">
        <v>247</v>
      </c>
      <c r="G3" s="47" t="s">
        <v>248</v>
      </c>
      <c r="J3" s="47" t="s">
        <v>244</v>
      </c>
      <c r="K3" s="47" t="s">
        <v>245</v>
      </c>
      <c r="L3" s="47" t="s">
        <v>268</v>
      </c>
      <c r="M3" s="47" t="s">
        <v>269</v>
      </c>
      <c r="N3" s="47" t="s">
        <v>246</v>
      </c>
      <c r="O3" s="47" t="s">
        <v>247</v>
      </c>
      <c r="P3" s="47" t="s">
        <v>248</v>
      </c>
      <c r="S3" s="47" t="s">
        <v>244</v>
      </c>
      <c r="T3" s="47" t="s">
        <v>245</v>
      </c>
      <c r="U3" s="47" t="s">
        <v>268</v>
      </c>
      <c r="V3" s="47" t="s">
        <v>269</v>
      </c>
      <c r="W3" s="47" t="s">
        <v>246</v>
      </c>
      <c r="X3" s="47" t="s">
        <v>247</v>
      </c>
      <c r="Y3" s="47" t="s">
        <v>248</v>
      </c>
    </row>
    <row r="4" spans="1:26">
      <c r="A4" s="48" t="s">
        <v>249</v>
      </c>
      <c r="B4" s="48" t="s">
        <v>273</v>
      </c>
      <c r="C4" s="48" t="s">
        <v>274</v>
      </c>
      <c r="D4" s="48" t="s">
        <v>251</v>
      </c>
      <c r="E4" s="49">
        <v>162495</v>
      </c>
      <c r="F4" s="49">
        <v>90876</v>
      </c>
      <c r="G4" s="50">
        <v>0.56000000000000005</v>
      </c>
      <c r="J4" s="48" t="s">
        <v>270</v>
      </c>
      <c r="K4" s="48" t="s">
        <v>252</v>
      </c>
      <c r="L4" s="48" t="s">
        <v>233</v>
      </c>
      <c r="M4" s="48" t="s">
        <v>239</v>
      </c>
      <c r="N4" s="49">
        <v>162495</v>
      </c>
      <c r="O4" s="49">
        <v>47414</v>
      </c>
      <c r="P4" s="50">
        <v>0.28999999999999998</v>
      </c>
      <c r="S4" s="48" t="s">
        <v>272</v>
      </c>
      <c r="T4" s="48" t="s">
        <v>273</v>
      </c>
      <c r="U4" s="48" t="s">
        <v>274</v>
      </c>
      <c r="V4" s="48" t="s">
        <v>251</v>
      </c>
      <c r="W4" s="49">
        <v>162495</v>
      </c>
      <c r="X4" s="49">
        <v>38378</v>
      </c>
      <c r="Y4" s="50">
        <v>0.24</v>
      </c>
    </row>
    <row r="5" spans="1:26">
      <c r="A5" s="48" t="s">
        <v>249</v>
      </c>
      <c r="B5" s="48" t="s">
        <v>250</v>
      </c>
      <c r="C5" s="48" t="s">
        <v>233</v>
      </c>
      <c r="D5" s="48" t="s">
        <v>251</v>
      </c>
      <c r="E5" s="49">
        <v>162495</v>
      </c>
      <c r="F5" s="49">
        <v>91153</v>
      </c>
      <c r="G5" s="50">
        <v>0.56000000000000005</v>
      </c>
      <c r="J5" s="48" t="s">
        <v>270</v>
      </c>
      <c r="K5" s="48" t="s">
        <v>273</v>
      </c>
      <c r="L5" s="48" t="s">
        <v>274</v>
      </c>
      <c r="M5" s="48" t="s">
        <v>251</v>
      </c>
      <c r="N5" s="49">
        <v>162495</v>
      </c>
      <c r="O5" s="49">
        <v>46439</v>
      </c>
      <c r="P5" s="50">
        <v>0.28999999999999998</v>
      </c>
      <c r="S5" s="48" t="s">
        <v>272</v>
      </c>
      <c r="T5" s="48" t="s">
        <v>252</v>
      </c>
      <c r="U5" s="48" t="s">
        <v>233</v>
      </c>
      <c r="V5" s="48" t="s">
        <v>239</v>
      </c>
      <c r="W5" s="49">
        <v>162495</v>
      </c>
      <c r="X5" s="49">
        <v>39406</v>
      </c>
      <c r="Y5" s="50">
        <v>0.24</v>
      </c>
    </row>
    <row r="6" spans="1:26">
      <c r="A6" s="48" t="s">
        <v>249</v>
      </c>
      <c r="B6" s="48" t="s">
        <v>253</v>
      </c>
      <c r="C6" s="48" t="s">
        <v>233</v>
      </c>
      <c r="D6" s="48" t="s">
        <v>234</v>
      </c>
      <c r="E6" s="49">
        <v>162495</v>
      </c>
      <c r="F6" s="49">
        <v>90689</v>
      </c>
      <c r="G6" s="50">
        <v>0.56000000000000005</v>
      </c>
      <c r="J6" s="48" t="s">
        <v>270</v>
      </c>
      <c r="K6" s="48" t="s">
        <v>250</v>
      </c>
      <c r="L6" s="48" t="s">
        <v>233</v>
      </c>
      <c r="M6" s="48" t="s">
        <v>251</v>
      </c>
      <c r="N6" s="49">
        <v>162495</v>
      </c>
      <c r="O6" s="49">
        <v>47186</v>
      </c>
      <c r="P6" s="50">
        <v>0.28999999999999998</v>
      </c>
      <c r="S6" s="48" t="s">
        <v>272</v>
      </c>
      <c r="T6" s="48" t="s">
        <v>250</v>
      </c>
      <c r="U6" s="48" t="s">
        <v>233</v>
      </c>
      <c r="V6" s="48" t="s">
        <v>251</v>
      </c>
      <c r="W6" s="49">
        <v>162495</v>
      </c>
      <c r="X6" s="49">
        <v>39480</v>
      </c>
      <c r="Y6" s="50">
        <v>0.24</v>
      </c>
    </row>
    <row r="7" spans="1:26">
      <c r="A7" s="48" t="s">
        <v>249</v>
      </c>
      <c r="B7" s="48" t="s">
        <v>252</v>
      </c>
      <c r="C7" s="48" t="s">
        <v>233</v>
      </c>
      <c r="D7" s="48" t="s">
        <v>239</v>
      </c>
      <c r="E7" s="49">
        <v>162495</v>
      </c>
      <c r="F7" s="49">
        <v>91374</v>
      </c>
      <c r="G7" s="50">
        <v>0.56000000000000005</v>
      </c>
      <c r="J7" s="48" t="s">
        <v>270</v>
      </c>
      <c r="K7" s="48" t="s">
        <v>276</v>
      </c>
      <c r="L7" s="48" t="s">
        <v>274</v>
      </c>
      <c r="M7" s="48" t="s">
        <v>239</v>
      </c>
      <c r="N7" s="49">
        <v>162495</v>
      </c>
      <c r="O7" s="49">
        <v>45052</v>
      </c>
      <c r="P7" s="50">
        <v>0.28000000000000003</v>
      </c>
      <c r="S7" s="48" t="s">
        <v>272</v>
      </c>
      <c r="T7" s="48" t="s">
        <v>276</v>
      </c>
      <c r="U7" s="48" t="s">
        <v>274</v>
      </c>
      <c r="V7" s="48" t="s">
        <v>239</v>
      </c>
      <c r="W7" s="49">
        <v>162495</v>
      </c>
      <c r="X7" s="49">
        <v>37231</v>
      </c>
      <c r="Y7" s="50">
        <v>0.23</v>
      </c>
    </row>
    <row r="8" spans="1:26">
      <c r="A8" s="48" t="s">
        <v>249</v>
      </c>
      <c r="B8" s="48" t="s">
        <v>258</v>
      </c>
      <c r="C8" s="48" t="s">
        <v>233</v>
      </c>
      <c r="D8" s="48" t="s">
        <v>259</v>
      </c>
      <c r="E8" s="49">
        <v>162495</v>
      </c>
      <c r="F8" s="49">
        <v>89246</v>
      </c>
      <c r="G8" s="50">
        <v>0.55000000000000004</v>
      </c>
      <c r="J8" s="48" t="s">
        <v>270</v>
      </c>
      <c r="K8" s="48" t="s">
        <v>278</v>
      </c>
      <c r="L8" s="48" t="s">
        <v>274</v>
      </c>
      <c r="M8" s="48" t="s">
        <v>255</v>
      </c>
      <c r="N8" s="49">
        <v>162495</v>
      </c>
      <c r="O8" s="49">
        <v>43509</v>
      </c>
      <c r="P8" s="50">
        <v>0.27</v>
      </c>
      <c r="S8" s="48" t="s">
        <v>272</v>
      </c>
      <c r="T8" s="48" t="s">
        <v>254</v>
      </c>
      <c r="U8" s="48" t="s">
        <v>233</v>
      </c>
      <c r="V8" s="48" t="s">
        <v>255</v>
      </c>
      <c r="W8" s="49">
        <v>162495</v>
      </c>
      <c r="X8" s="49">
        <v>36012</v>
      </c>
      <c r="Y8" s="50">
        <v>0.22</v>
      </c>
    </row>
    <row r="9" spans="1:26">
      <c r="A9" s="48" t="s">
        <v>249</v>
      </c>
      <c r="B9" s="48" t="s">
        <v>256</v>
      </c>
      <c r="C9" s="48" t="s">
        <v>233</v>
      </c>
      <c r="D9" s="48" t="s">
        <v>257</v>
      </c>
      <c r="E9" s="49">
        <v>162495</v>
      </c>
      <c r="F9" s="49">
        <v>88922</v>
      </c>
      <c r="G9" s="50">
        <v>0.55000000000000004</v>
      </c>
      <c r="J9" s="48" t="s">
        <v>270</v>
      </c>
      <c r="K9" s="48" t="s">
        <v>254</v>
      </c>
      <c r="L9" s="48" t="s">
        <v>233</v>
      </c>
      <c r="M9" s="48" t="s">
        <v>255</v>
      </c>
      <c r="N9" s="49">
        <v>162495</v>
      </c>
      <c r="O9" s="49">
        <v>43190</v>
      </c>
      <c r="P9" s="50">
        <v>0.27</v>
      </c>
      <c r="S9" s="48" t="s">
        <v>272</v>
      </c>
      <c r="T9" s="48" t="s">
        <v>278</v>
      </c>
      <c r="U9" s="48" t="s">
        <v>274</v>
      </c>
      <c r="V9" s="48" t="s">
        <v>255</v>
      </c>
      <c r="W9" s="49">
        <v>162495</v>
      </c>
      <c r="X9" s="49">
        <v>35828</v>
      </c>
      <c r="Y9" s="50">
        <v>0.22</v>
      </c>
    </row>
    <row r="10" spans="1:26">
      <c r="A10" s="48" t="s">
        <v>249</v>
      </c>
      <c r="B10" s="48" t="s">
        <v>254</v>
      </c>
      <c r="C10" s="48" t="s">
        <v>233</v>
      </c>
      <c r="D10" s="48" t="s">
        <v>255</v>
      </c>
      <c r="E10" s="49">
        <v>162495</v>
      </c>
      <c r="F10" s="49">
        <v>89818</v>
      </c>
      <c r="G10" s="50">
        <v>0.55000000000000004</v>
      </c>
      <c r="J10" s="48" t="s">
        <v>270</v>
      </c>
      <c r="K10" s="48" t="s">
        <v>279</v>
      </c>
      <c r="L10" s="48" t="s">
        <v>274</v>
      </c>
      <c r="M10" s="48" t="s">
        <v>280</v>
      </c>
      <c r="N10" s="49">
        <v>162495</v>
      </c>
      <c r="O10" s="49">
        <v>43176</v>
      </c>
      <c r="P10" s="50">
        <v>0.27</v>
      </c>
      <c r="S10" s="48" t="s">
        <v>272</v>
      </c>
      <c r="T10" s="48" t="s">
        <v>279</v>
      </c>
      <c r="U10" s="48" t="s">
        <v>274</v>
      </c>
      <c r="V10" s="48" t="s">
        <v>280</v>
      </c>
      <c r="W10" s="49">
        <v>162495</v>
      </c>
      <c r="X10" s="49">
        <v>35668</v>
      </c>
      <c r="Y10" s="50">
        <v>0.22</v>
      </c>
    </row>
    <row r="11" spans="1:26">
      <c r="A11" s="48" t="s">
        <v>249</v>
      </c>
      <c r="B11" s="48" t="s">
        <v>275</v>
      </c>
      <c r="C11" s="48" t="s">
        <v>274</v>
      </c>
      <c r="D11" s="48" t="s">
        <v>257</v>
      </c>
      <c r="E11" s="49">
        <v>162495</v>
      </c>
      <c r="F11" s="49">
        <v>87844</v>
      </c>
      <c r="G11" s="50">
        <v>0.54</v>
      </c>
      <c r="J11" s="48" t="s">
        <v>270</v>
      </c>
      <c r="K11" s="48" t="s">
        <v>253</v>
      </c>
      <c r="L11" s="48" t="s">
        <v>233</v>
      </c>
      <c r="M11" s="48" t="s">
        <v>234</v>
      </c>
      <c r="N11" s="49">
        <v>162495</v>
      </c>
      <c r="O11" s="49">
        <v>43144</v>
      </c>
      <c r="P11" s="50">
        <v>0.27</v>
      </c>
      <c r="S11" s="48" t="s">
        <v>272</v>
      </c>
      <c r="T11" s="48" t="s">
        <v>253</v>
      </c>
      <c r="U11" s="48" t="s">
        <v>233</v>
      </c>
      <c r="V11" s="48" t="s">
        <v>234</v>
      </c>
      <c r="W11" s="49">
        <v>162495</v>
      </c>
      <c r="X11" s="49">
        <v>36025</v>
      </c>
      <c r="Y11" s="50">
        <v>0.22</v>
      </c>
    </row>
    <row r="12" spans="1:26">
      <c r="A12" s="48" t="s">
        <v>249</v>
      </c>
      <c r="B12" s="48" t="s">
        <v>276</v>
      </c>
      <c r="C12" s="48" t="s">
        <v>274</v>
      </c>
      <c r="D12" s="48" t="s">
        <v>239</v>
      </c>
      <c r="E12" s="49">
        <v>162495</v>
      </c>
      <c r="F12" s="49">
        <v>87641</v>
      </c>
      <c r="G12" s="50">
        <v>0.54</v>
      </c>
      <c r="J12" s="48" t="s">
        <v>270</v>
      </c>
      <c r="K12" s="48" t="s">
        <v>258</v>
      </c>
      <c r="L12" s="48" t="s">
        <v>233</v>
      </c>
      <c r="M12" s="48" t="s">
        <v>259</v>
      </c>
      <c r="N12" s="49">
        <v>162495</v>
      </c>
      <c r="O12" s="49">
        <v>41741</v>
      </c>
      <c r="P12" s="50">
        <v>0.26</v>
      </c>
      <c r="S12" s="48" t="s">
        <v>272</v>
      </c>
      <c r="T12" s="48" t="s">
        <v>281</v>
      </c>
      <c r="U12" s="48" t="s">
        <v>206</v>
      </c>
      <c r="V12" s="48" t="s">
        <v>255</v>
      </c>
      <c r="W12" s="49">
        <v>162495</v>
      </c>
      <c r="X12" s="49">
        <v>33424</v>
      </c>
      <c r="Y12" s="50">
        <v>0.21</v>
      </c>
    </row>
    <row r="13" spans="1:26">
      <c r="A13" s="48" t="s">
        <v>249</v>
      </c>
      <c r="B13" s="48" t="s">
        <v>277</v>
      </c>
      <c r="C13" s="48" t="s">
        <v>274</v>
      </c>
      <c r="D13" s="48" t="s">
        <v>259</v>
      </c>
      <c r="E13" s="49">
        <v>162495</v>
      </c>
      <c r="F13" s="49">
        <v>85637</v>
      </c>
      <c r="G13" s="50">
        <v>0.53</v>
      </c>
      <c r="J13" s="48" t="s">
        <v>270</v>
      </c>
      <c r="K13" s="48" t="s">
        <v>256</v>
      </c>
      <c r="L13" s="48" t="s">
        <v>233</v>
      </c>
      <c r="M13" s="48" t="s">
        <v>257</v>
      </c>
      <c r="N13" s="49">
        <v>162495</v>
      </c>
      <c r="O13" s="49">
        <v>41775</v>
      </c>
      <c r="P13" s="50">
        <v>0.26</v>
      </c>
      <c r="S13" s="48" t="s">
        <v>272</v>
      </c>
      <c r="T13" s="48" t="s">
        <v>282</v>
      </c>
      <c r="U13" s="48" t="s">
        <v>206</v>
      </c>
      <c r="V13" s="48" t="s">
        <v>280</v>
      </c>
      <c r="W13" s="49">
        <v>162495</v>
      </c>
      <c r="X13" s="49">
        <v>33901</v>
      </c>
      <c r="Y13" s="50">
        <v>0.21</v>
      </c>
    </row>
    <row r="14" spans="1:26">
      <c r="A14" s="48" t="s">
        <v>249</v>
      </c>
      <c r="B14" s="48" t="s">
        <v>278</v>
      </c>
      <c r="C14" s="48" t="s">
        <v>274</v>
      </c>
      <c r="D14" s="48" t="s">
        <v>255</v>
      </c>
      <c r="E14" s="49">
        <v>162495</v>
      </c>
      <c r="F14" s="49">
        <v>83815</v>
      </c>
      <c r="G14" s="50">
        <v>0.52</v>
      </c>
      <c r="H14" s="42"/>
      <c r="J14" s="48" t="s">
        <v>270</v>
      </c>
      <c r="K14" s="48" t="s">
        <v>275</v>
      </c>
      <c r="L14" s="48" t="s">
        <v>274</v>
      </c>
      <c r="M14" s="48" t="s">
        <v>257</v>
      </c>
      <c r="N14" s="49">
        <v>162495</v>
      </c>
      <c r="O14" s="49">
        <v>41515</v>
      </c>
      <c r="P14" s="50">
        <v>0.26</v>
      </c>
      <c r="Q14" s="42"/>
      <c r="S14" s="48" t="s">
        <v>272</v>
      </c>
      <c r="T14" s="48" t="s">
        <v>256</v>
      </c>
      <c r="U14" s="48" t="s">
        <v>233</v>
      </c>
      <c r="V14" s="48" t="s">
        <v>257</v>
      </c>
      <c r="W14" s="49">
        <v>162495</v>
      </c>
      <c r="X14" s="49">
        <v>34911</v>
      </c>
      <c r="Y14" s="50">
        <v>0.21</v>
      </c>
      <c r="Z14" s="42"/>
    </row>
    <row r="15" spans="1:26">
      <c r="A15" s="48" t="s">
        <v>249</v>
      </c>
      <c r="B15" s="48" t="s">
        <v>279</v>
      </c>
      <c r="C15" s="48" t="s">
        <v>274</v>
      </c>
      <c r="D15" s="48" t="s">
        <v>280</v>
      </c>
      <c r="E15" s="49">
        <v>162495</v>
      </c>
      <c r="F15" s="49">
        <v>72970</v>
      </c>
      <c r="G15" s="50">
        <v>0.45</v>
      </c>
      <c r="H15" s="42"/>
      <c r="J15" s="48" t="s">
        <v>270</v>
      </c>
      <c r="K15" s="48" t="s">
        <v>277</v>
      </c>
      <c r="L15" s="48" t="s">
        <v>274</v>
      </c>
      <c r="M15" s="48" t="s">
        <v>259</v>
      </c>
      <c r="N15" s="49">
        <v>162495</v>
      </c>
      <c r="O15" s="49">
        <v>41636</v>
      </c>
      <c r="P15" s="50">
        <v>0.26</v>
      </c>
      <c r="Q15" s="42"/>
      <c r="S15" s="48" t="s">
        <v>272</v>
      </c>
      <c r="T15" s="48" t="s">
        <v>275</v>
      </c>
      <c r="U15" s="48" t="s">
        <v>274</v>
      </c>
      <c r="V15" s="48" t="s">
        <v>257</v>
      </c>
      <c r="W15" s="49">
        <v>162495</v>
      </c>
      <c r="X15" s="49">
        <v>34840</v>
      </c>
      <c r="Y15" s="50">
        <v>0.21</v>
      </c>
      <c r="Z15" s="42"/>
    </row>
    <row r="16" spans="1:26">
      <c r="A16" s="48" t="s">
        <v>249</v>
      </c>
      <c r="B16" s="48" t="s">
        <v>281</v>
      </c>
      <c r="C16" s="48" t="s">
        <v>206</v>
      </c>
      <c r="D16" s="48" t="s">
        <v>255</v>
      </c>
      <c r="E16" s="49">
        <v>162495</v>
      </c>
      <c r="F16" s="49">
        <v>64583</v>
      </c>
      <c r="G16" s="50">
        <v>0.4</v>
      </c>
      <c r="H16" s="42"/>
      <c r="J16" s="48" t="s">
        <v>270</v>
      </c>
      <c r="K16" s="48" t="s">
        <v>282</v>
      </c>
      <c r="L16" s="48" t="s">
        <v>206</v>
      </c>
      <c r="M16" s="48" t="s">
        <v>280</v>
      </c>
      <c r="N16" s="49">
        <v>162495</v>
      </c>
      <c r="O16" s="49">
        <v>40629</v>
      </c>
      <c r="P16" s="50">
        <v>0.25</v>
      </c>
      <c r="Q16" s="42"/>
      <c r="S16" s="48" t="s">
        <v>272</v>
      </c>
      <c r="T16" s="48" t="s">
        <v>258</v>
      </c>
      <c r="U16" s="48" t="s">
        <v>233</v>
      </c>
      <c r="V16" s="48" t="s">
        <v>259</v>
      </c>
      <c r="W16" s="49">
        <v>162495</v>
      </c>
      <c r="X16" s="49">
        <v>34715</v>
      </c>
      <c r="Y16" s="50">
        <v>0.21</v>
      </c>
      <c r="Z16" s="42"/>
    </row>
    <row r="17" spans="1:26">
      <c r="A17" s="48" t="s">
        <v>249</v>
      </c>
      <c r="B17" s="48" t="s">
        <v>282</v>
      </c>
      <c r="C17" s="48" t="s">
        <v>206</v>
      </c>
      <c r="D17" s="48" t="s">
        <v>280</v>
      </c>
      <c r="E17" s="49">
        <v>162495</v>
      </c>
      <c r="F17" s="49">
        <v>63706</v>
      </c>
      <c r="G17" s="50">
        <v>0.39</v>
      </c>
      <c r="H17" s="42"/>
      <c r="J17" s="48" t="s">
        <v>270</v>
      </c>
      <c r="K17" s="48" t="s">
        <v>285</v>
      </c>
      <c r="L17" s="48" t="s">
        <v>206</v>
      </c>
      <c r="M17" s="48" t="s">
        <v>251</v>
      </c>
      <c r="N17" s="49">
        <v>162495</v>
      </c>
      <c r="O17" s="49">
        <v>39133</v>
      </c>
      <c r="P17" s="50">
        <v>0.24</v>
      </c>
      <c r="Q17" s="42"/>
      <c r="S17" s="48" t="s">
        <v>272</v>
      </c>
      <c r="T17" s="48" t="s">
        <v>277</v>
      </c>
      <c r="U17" s="48" t="s">
        <v>274</v>
      </c>
      <c r="V17" s="48" t="s">
        <v>259</v>
      </c>
      <c r="W17" s="49">
        <v>162495</v>
      </c>
      <c r="X17" s="49">
        <v>34790</v>
      </c>
      <c r="Y17" s="50">
        <v>0.21</v>
      </c>
      <c r="Z17" s="42"/>
    </row>
    <row r="18" spans="1:26">
      <c r="A18" s="48" t="s">
        <v>249</v>
      </c>
      <c r="B18" s="48" t="s">
        <v>283</v>
      </c>
      <c r="C18" s="48" t="s">
        <v>206</v>
      </c>
      <c r="D18" s="48" t="s">
        <v>239</v>
      </c>
      <c r="E18" s="49">
        <v>162495</v>
      </c>
      <c r="F18" s="49">
        <v>63539</v>
      </c>
      <c r="G18" s="50">
        <v>0.39</v>
      </c>
      <c r="H18" s="42"/>
      <c r="J18" s="48" t="s">
        <v>270</v>
      </c>
      <c r="K18" s="48" t="s">
        <v>283</v>
      </c>
      <c r="L18" s="48" t="s">
        <v>206</v>
      </c>
      <c r="M18" s="48" t="s">
        <v>239</v>
      </c>
      <c r="N18" s="49">
        <v>162495</v>
      </c>
      <c r="O18" s="49">
        <v>39603</v>
      </c>
      <c r="P18" s="50">
        <v>0.24</v>
      </c>
      <c r="Q18" s="42"/>
      <c r="S18" s="48" t="s">
        <v>272</v>
      </c>
      <c r="T18" s="48" t="s">
        <v>284</v>
      </c>
      <c r="U18" s="48" t="s">
        <v>206</v>
      </c>
      <c r="V18" s="48" t="s">
        <v>259</v>
      </c>
      <c r="W18" s="49">
        <v>162495</v>
      </c>
      <c r="X18" s="49">
        <v>32408</v>
      </c>
      <c r="Y18" s="50">
        <v>0.2</v>
      </c>
      <c r="Z18" s="42"/>
    </row>
    <row r="19" spans="1:26">
      <c r="A19" s="48" t="s">
        <v>249</v>
      </c>
      <c r="B19" s="48" t="s">
        <v>284</v>
      </c>
      <c r="C19" s="48" t="s">
        <v>206</v>
      </c>
      <c r="D19" s="48" t="s">
        <v>259</v>
      </c>
      <c r="E19" s="49">
        <v>162495</v>
      </c>
      <c r="F19" s="49">
        <v>61102</v>
      </c>
      <c r="G19" s="50">
        <v>0.38</v>
      </c>
      <c r="H19" s="42"/>
      <c r="J19" s="48" t="s">
        <v>270</v>
      </c>
      <c r="K19" s="48" t="s">
        <v>281</v>
      </c>
      <c r="L19" s="48" t="s">
        <v>206</v>
      </c>
      <c r="M19" s="48" t="s">
        <v>255</v>
      </c>
      <c r="N19" s="49">
        <v>162495</v>
      </c>
      <c r="O19" s="49">
        <v>39521</v>
      </c>
      <c r="P19" s="50">
        <v>0.24</v>
      </c>
      <c r="Q19" s="42"/>
      <c r="S19" s="48" t="s">
        <v>272</v>
      </c>
      <c r="T19" s="48" t="s">
        <v>285</v>
      </c>
      <c r="U19" s="48" t="s">
        <v>206</v>
      </c>
      <c r="V19" s="48" t="s">
        <v>251</v>
      </c>
      <c r="W19" s="49">
        <v>162495</v>
      </c>
      <c r="X19" s="49">
        <v>33217</v>
      </c>
      <c r="Y19" s="50">
        <v>0.2</v>
      </c>
      <c r="Z19" s="42"/>
    </row>
    <row r="20" spans="1:26">
      <c r="A20" s="48" t="s">
        <v>249</v>
      </c>
      <c r="B20" s="48" t="s">
        <v>285</v>
      </c>
      <c r="C20" s="48" t="s">
        <v>206</v>
      </c>
      <c r="D20" s="48" t="s">
        <v>251</v>
      </c>
      <c r="E20" s="49">
        <v>162495</v>
      </c>
      <c r="F20" s="49">
        <v>58669</v>
      </c>
      <c r="G20" s="50">
        <v>0.36</v>
      </c>
      <c r="H20" s="42"/>
      <c r="J20" s="48" t="s">
        <v>270</v>
      </c>
      <c r="K20" s="48" t="s">
        <v>284</v>
      </c>
      <c r="L20" s="48" t="s">
        <v>206</v>
      </c>
      <c r="M20" s="48" t="s">
        <v>259</v>
      </c>
      <c r="N20" s="49">
        <v>162495</v>
      </c>
      <c r="O20" s="49">
        <v>37100</v>
      </c>
      <c r="P20" s="50">
        <v>0.23</v>
      </c>
      <c r="Q20" s="42"/>
      <c r="S20" s="48" t="s">
        <v>272</v>
      </c>
      <c r="T20" s="48" t="s">
        <v>286</v>
      </c>
      <c r="U20" s="48" t="s">
        <v>206</v>
      </c>
      <c r="V20" s="48" t="s">
        <v>257</v>
      </c>
      <c r="W20" s="49">
        <v>162495</v>
      </c>
      <c r="X20" s="49">
        <v>32424</v>
      </c>
      <c r="Y20" s="50">
        <v>0.2</v>
      </c>
      <c r="Z20" s="42"/>
    </row>
    <row r="21" spans="1:26">
      <c r="A21" s="48" t="s">
        <v>249</v>
      </c>
      <c r="B21" s="48" t="s">
        <v>286</v>
      </c>
      <c r="C21" s="48" t="s">
        <v>206</v>
      </c>
      <c r="D21" s="48" t="s">
        <v>257</v>
      </c>
      <c r="E21" s="49">
        <v>162495</v>
      </c>
      <c r="F21" s="49">
        <v>53784</v>
      </c>
      <c r="G21" s="50">
        <v>0.33</v>
      </c>
      <c r="H21" s="42"/>
      <c r="J21" s="48" t="s">
        <v>270</v>
      </c>
      <c r="K21" s="48" t="s">
        <v>286</v>
      </c>
      <c r="L21" s="48" t="s">
        <v>206</v>
      </c>
      <c r="M21" s="48" t="s">
        <v>257</v>
      </c>
      <c r="N21" s="49">
        <v>162495</v>
      </c>
      <c r="O21" s="49">
        <v>35901</v>
      </c>
      <c r="P21" s="50">
        <v>0.22</v>
      </c>
      <c r="Q21" s="42"/>
      <c r="S21" s="48" t="s">
        <v>272</v>
      </c>
      <c r="T21" s="48" t="s">
        <v>283</v>
      </c>
      <c r="U21" s="48" t="s">
        <v>206</v>
      </c>
      <c r="V21" s="48" t="s">
        <v>239</v>
      </c>
      <c r="W21" s="49">
        <v>162495</v>
      </c>
      <c r="X21" s="49">
        <v>30608</v>
      </c>
      <c r="Y21" s="50">
        <v>0.19</v>
      </c>
      <c r="Z21" s="42"/>
    </row>
    <row r="22" spans="1:26">
      <c r="A22" s="42"/>
      <c r="B22" s="42"/>
      <c r="C22" s="42"/>
      <c r="D22" s="42"/>
      <c r="E22" s="42"/>
      <c r="F22" s="42"/>
      <c r="G22" s="42"/>
      <c r="H22" s="42"/>
      <c r="J22" s="42"/>
      <c r="K22" s="42"/>
      <c r="L22" s="42"/>
      <c r="M22" s="42"/>
      <c r="N22" s="42"/>
      <c r="O22" s="42"/>
      <c r="P22" s="42"/>
      <c r="Q22" s="42"/>
      <c r="S22" s="42"/>
      <c r="T22" s="42"/>
      <c r="U22" s="42"/>
      <c r="V22" s="42"/>
      <c r="W22" s="42"/>
      <c r="X22" s="42"/>
      <c r="Y22" s="42"/>
      <c r="Z22" s="42"/>
    </row>
    <row r="23" spans="1:26">
      <c r="A23" s="42"/>
      <c r="B23" s="42"/>
      <c r="C23" s="42"/>
      <c r="D23" s="42"/>
      <c r="E23" s="42"/>
      <c r="F23" s="42"/>
      <c r="G23" s="42"/>
      <c r="H23" s="42"/>
      <c r="J23" s="42"/>
      <c r="K23" s="42"/>
      <c r="L23" s="42"/>
      <c r="M23" s="42"/>
      <c r="N23" s="42"/>
      <c r="O23" s="42"/>
      <c r="P23" s="42"/>
      <c r="Q23" s="42"/>
      <c r="S23" s="42"/>
      <c r="T23" s="42"/>
      <c r="U23" s="42"/>
      <c r="V23" s="42"/>
      <c r="W23" s="42"/>
      <c r="X23" s="42"/>
      <c r="Y23" s="42"/>
      <c r="Z23" s="42"/>
    </row>
    <row r="24" spans="1:26">
      <c r="A24" s="47" t="s">
        <v>244</v>
      </c>
      <c r="B24" s="47" t="s">
        <v>245</v>
      </c>
      <c r="C24" s="47" t="s">
        <v>260</v>
      </c>
      <c r="D24" s="47" t="s">
        <v>268</v>
      </c>
      <c r="E24" s="47" t="s">
        <v>269</v>
      </c>
      <c r="F24" s="47" t="s">
        <v>246</v>
      </c>
      <c r="G24" s="47" t="s">
        <v>247</v>
      </c>
      <c r="H24" s="47" t="s">
        <v>248</v>
      </c>
      <c r="J24" s="47" t="s">
        <v>244</v>
      </c>
      <c r="K24" s="47" t="s">
        <v>245</v>
      </c>
      <c r="L24" s="47" t="s">
        <v>260</v>
      </c>
      <c r="M24" s="47" t="s">
        <v>268</v>
      </c>
      <c r="N24" s="47" t="s">
        <v>269</v>
      </c>
      <c r="O24" s="47" t="s">
        <v>246</v>
      </c>
      <c r="P24" s="47" t="s">
        <v>247</v>
      </c>
      <c r="Q24" s="47" t="s">
        <v>248</v>
      </c>
      <c r="S24" s="47" t="s">
        <v>244</v>
      </c>
      <c r="T24" s="47" t="s">
        <v>245</v>
      </c>
      <c r="U24" s="47" t="s">
        <v>260</v>
      </c>
      <c r="V24" s="47" t="s">
        <v>268</v>
      </c>
      <c r="W24" s="47" t="s">
        <v>269</v>
      </c>
      <c r="X24" s="47" t="s">
        <v>246</v>
      </c>
      <c r="Y24" s="47" t="s">
        <v>247</v>
      </c>
      <c r="Z24" s="47" t="s">
        <v>248</v>
      </c>
    </row>
    <row r="25" spans="1:26">
      <c r="A25" s="48" t="s">
        <v>249</v>
      </c>
      <c r="B25" s="48" t="s">
        <v>281</v>
      </c>
      <c r="C25" s="48" t="s">
        <v>261</v>
      </c>
      <c r="D25" s="48" t="s">
        <v>206</v>
      </c>
      <c r="E25" s="48" t="s">
        <v>255</v>
      </c>
      <c r="F25" s="49">
        <v>60418</v>
      </c>
      <c r="G25" s="49">
        <v>42806</v>
      </c>
      <c r="H25" s="50">
        <v>0.71</v>
      </c>
      <c r="J25" s="48" t="s">
        <v>270</v>
      </c>
      <c r="K25" s="48" t="s">
        <v>281</v>
      </c>
      <c r="L25" s="48" t="s">
        <v>261</v>
      </c>
      <c r="M25" s="48" t="s">
        <v>206</v>
      </c>
      <c r="N25" s="48" t="s">
        <v>255</v>
      </c>
      <c r="O25" s="49">
        <v>18759</v>
      </c>
      <c r="P25" s="49">
        <v>4050</v>
      </c>
      <c r="Q25" s="50">
        <v>0.22</v>
      </c>
      <c r="S25" s="48" t="s">
        <v>272</v>
      </c>
      <c r="T25" s="48" t="s">
        <v>273</v>
      </c>
      <c r="U25" s="48" t="s">
        <v>261</v>
      </c>
      <c r="V25" s="48" t="s">
        <v>274</v>
      </c>
      <c r="W25" s="48" t="s">
        <v>251</v>
      </c>
      <c r="X25" s="49">
        <v>34</v>
      </c>
      <c r="Y25" s="49">
        <v>8</v>
      </c>
      <c r="Z25" s="50">
        <v>0.24</v>
      </c>
    </row>
    <row r="26" spans="1:26">
      <c r="A26" s="48" t="s">
        <v>249</v>
      </c>
      <c r="B26" s="48" t="s">
        <v>282</v>
      </c>
      <c r="C26" s="48" t="s">
        <v>261</v>
      </c>
      <c r="D26" s="48" t="s">
        <v>206</v>
      </c>
      <c r="E26" s="48" t="s">
        <v>280</v>
      </c>
      <c r="F26" s="49">
        <v>56869</v>
      </c>
      <c r="G26" s="49">
        <v>40424</v>
      </c>
      <c r="H26" s="50">
        <v>0.71</v>
      </c>
      <c r="J26" s="48" t="s">
        <v>270</v>
      </c>
      <c r="K26" s="48" t="s">
        <v>283</v>
      </c>
      <c r="L26" s="48" t="s">
        <v>261</v>
      </c>
      <c r="M26" s="48" t="s">
        <v>206</v>
      </c>
      <c r="N26" s="48" t="s">
        <v>239</v>
      </c>
      <c r="O26" s="49">
        <v>13712</v>
      </c>
      <c r="P26" s="49">
        <v>2954</v>
      </c>
      <c r="Q26" s="50">
        <v>0.22</v>
      </c>
      <c r="S26" s="48" t="s">
        <v>272</v>
      </c>
      <c r="T26" s="48" t="s">
        <v>252</v>
      </c>
      <c r="U26" s="48" t="s">
        <v>261</v>
      </c>
      <c r="V26" s="48" t="s">
        <v>233</v>
      </c>
      <c r="W26" s="48" t="s">
        <v>239</v>
      </c>
      <c r="X26" s="49">
        <v>263</v>
      </c>
      <c r="Y26" s="49">
        <v>41</v>
      </c>
      <c r="Z26" s="50">
        <v>0.16</v>
      </c>
    </row>
    <row r="27" spans="1:26">
      <c r="A27" s="48" t="s">
        <v>249</v>
      </c>
      <c r="B27" s="48" t="s">
        <v>285</v>
      </c>
      <c r="C27" s="48" t="s">
        <v>261</v>
      </c>
      <c r="D27" s="48" t="s">
        <v>206</v>
      </c>
      <c r="E27" s="48" t="s">
        <v>251</v>
      </c>
      <c r="F27" s="49">
        <v>50116</v>
      </c>
      <c r="G27" s="49">
        <v>35434</v>
      </c>
      <c r="H27" s="50">
        <v>0.71</v>
      </c>
      <c r="J27" s="48" t="s">
        <v>270</v>
      </c>
      <c r="K27" s="48" t="s">
        <v>252</v>
      </c>
      <c r="L27" s="48" t="s">
        <v>261</v>
      </c>
      <c r="M27" s="48" t="s">
        <v>233</v>
      </c>
      <c r="N27" s="48" t="s">
        <v>239</v>
      </c>
      <c r="O27" s="49">
        <v>3543</v>
      </c>
      <c r="P27" s="49">
        <v>789</v>
      </c>
      <c r="Q27" s="50">
        <v>0.22</v>
      </c>
      <c r="S27" s="48" t="s">
        <v>272</v>
      </c>
      <c r="T27" s="48" t="s">
        <v>250</v>
      </c>
      <c r="U27" s="48" t="s">
        <v>261</v>
      </c>
      <c r="V27" s="48" t="s">
        <v>233</v>
      </c>
      <c r="W27" s="48" t="s">
        <v>251</v>
      </c>
      <c r="X27" s="49">
        <v>197</v>
      </c>
      <c r="Y27" s="49">
        <v>31</v>
      </c>
      <c r="Z27" s="50">
        <v>0.16</v>
      </c>
    </row>
    <row r="28" spans="1:26">
      <c r="A28" s="48" t="s">
        <v>249</v>
      </c>
      <c r="B28" s="48" t="s">
        <v>283</v>
      </c>
      <c r="C28" s="48" t="s">
        <v>261</v>
      </c>
      <c r="D28" s="48" t="s">
        <v>206</v>
      </c>
      <c r="E28" s="48" t="s">
        <v>239</v>
      </c>
      <c r="F28" s="49">
        <v>61101</v>
      </c>
      <c r="G28" s="49">
        <v>42571</v>
      </c>
      <c r="H28" s="50">
        <v>0.7</v>
      </c>
      <c r="J28" s="48" t="s">
        <v>270</v>
      </c>
      <c r="K28" s="48" t="s">
        <v>250</v>
      </c>
      <c r="L28" s="48" t="s">
        <v>261</v>
      </c>
      <c r="M28" s="48" t="s">
        <v>233</v>
      </c>
      <c r="N28" s="48" t="s">
        <v>251</v>
      </c>
      <c r="O28" s="49">
        <v>2015</v>
      </c>
      <c r="P28" s="49">
        <v>440</v>
      </c>
      <c r="Q28" s="50">
        <v>0.22</v>
      </c>
      <c r="S28" s="48" t="s">
        <v>272</v>
      </c>
      <c r="T28" s="48" t="s">
        <v>276</v>
      </c>
      <c r="U28" s="48" t="s">
        <v>261</v>
      </c>
      <c r="V28" s="48" t="s">
        <v>274</v>
      </c>
      <c r="W28" s="48" t="s">
        <v>239</v>
      </c>
      <c r="X28" s="49">
        <v>8112</v>
      </c>
      <c r="Y28" s="49">
        <v>1110</v>
      </c>
      <c r="Z28" s="50">
        <v>0.14000000000000001</v>
      </c>
    </row>
    <row r="29" spans="1:26">
      <c r="A29" s="48" t="s">
        <v>249</v>
      </c>
      <c r="B29" s="48" t="s">
        <v>284</v>
      </c>
      <c r="C29" s="48" t="s">
        <v>261</v>
      </c>
      <c r="D29" s="48" t="s">
        <v>206</v>
      </c>
      <c r="E29" s="48" t="s">
        <v>259</v>
      </c>
      <c r="F29" s="49">
        <v>59794</v>
      </c>
      <c r="G29" s="49">
        <v>41997</v>
      </c>
      <c r="H29" s="50">
        <v>0.7</v>
      </c>
      <c r="J29" s="48" t="s">
        <v>270</v>
      </c>
      <c r="K29" s="48" t="s">
        <v>277</v>
      </c>
      <c r="L29" s="48" t="s">
        <v>261</v>
      </c>
      <c r="M29" s="48" t="s">
        <v>274</v>
      </c>
      <c r="N29" s="48" t="s">
        <v>259</v>
      </c>
      <c r="O29" s="49">
        <v>27624</v>
      </c>
      <c r="P29" s="49">
        <v>5829</v>
      </c>
      <c r="Q29" s="50">
        <v>0.21</v>
      </c>
      <c r="S29" s="48" t="s">
        <v>272</v>
      </c>
      <c r="T29" s="48" t="s">
        <v>279</v>
      </c>
      <c r="U29" s="48" t="s">
        <v>261</v>
      </c>
      <c r="V29" s="48" t="s">
        <v>274</v>
      </c>
      <c r="W29" s="48" t="s">
        <v>280</v>
      </c>
      <c r="X29" s="49">
        <v>24873</v>
      </c>
      <c r="Y29" s="49">
        <v>3127</v>
      </c>
      <c r="Z29" s="50">
        <v>0.13</v>
      </c>
    </row>
    <row r="30" spans="1:26">
      <c r="A30" s="48" t="s">
        <v>249</v>
      </c>
      <c r="B30" s="48" t="s">
        <v>286</v>
      </c>
      <c r="C30" s="48" t="s">
        <v>261</v>
      </c>
      <c r="D30" s="48" t="s">
        <v>206</v>
      </c>
      <c r="E30" s="48" t="s">
        <v>257</v>
      </c>
      <c r="F30" s="49">
        <v>47607</v>
      </c>
      <c r="G30" s="49">
        <v>33445</v>
      </c>
      <c r="H30" s="50">
        <v>0.7</v>
      </c>
      <c r="J30" s="48" t="s">
        <v>270</v>
      </c>
      <c r="K30" s="48" t="s">
        <v>275</v>
      </c>
      <c r="L30" s="48" t="s">
        <v>261</v>
      </c>
      <c r="M30" s="48" t="s">
        <v>274</v>
      </c>
      <c r="N30" s="48" t="s">
        <v>257</v>
      </c>
      <c r="O30" s="49">
        <v>24005</v>
      </c>
      <c r="P30" s="49">
        <v>4943</v>
      </c>
      <c r="Q30" s="50">
        <v>0.21</v>
      </c>
      <c r="S30" s="48" t="s">
        <v>272</v>
      </c>
      <c r="T30" s="48" t="s">
        <v>278</v>
      </c>
      <c r="U30" s="48" t="s">
        <v>261</v>
      </c>
      <c r="V30" s="48" t="s">
        <v>274</v>
      </c>
      <c r="W30" s="48" t="s">
        <v>255</v>
      </c>
      <c r="X30" s="49">
        <v>14055</v>
      </c>
      <c r="Y30" s="49">
        <v>1775</v>
      </c>
      <c r="Z30" s="50">
        <v>0.13</v>
      </c>
    </row>
    <row r="31" spans="1:26">
      <c r="A31" s="48" t="s">
        <v>249</v>
      </c>
      <c r="B31" s="48" t="s">
        <v>279</v>
      </c>
      <c r="C31" s="48" t="s">
        <v>261</v>
      </c>
      <c r="D31" s="48" t="s">
        <v>274</v>
      </c>
      <c r="E31" s="48" t="s">
        <v>280</v>
      </c>
      <c r="F31" s="49">
        <v>73191</v>
      </c>
      <c r="G31" s="49">
        <v>50732</v>
      </c>
      <c r="H31" s="50">
        <v>0.69</v>
      </c>
      <c r="J31" s="48" t="s">
        <v>270</v>
      </c>
      <c r="K31" s="48" t="s">
        <v>256</v>
      </c>
      <c r="L31" s="48" t="s">
        <v>261</v>
      </c>
      <c r="M31" s="48" t="s">
        <v>233</v>
      </c>
      <c r="N31" s="48" t="s">
        <v>257</v>
      </c>
      <c r="O31" s="49">
        <v>23647</v>
      </c>
      <c r="P31" s="49">
        <v>4911</v>
      </c>
      <c r="Q31" s="50">
        <v>0.21</v>
      </c>
      <c r="S31" s="48" t="s">
        <v>272</v>
      </c>
      <c r="T31" s="48" t="s">
        <v>254</v>
      </c>
      <c r="U31" s="48" t="s">
        <v>261</v>
      </c>
      <c r="V31" s="48" t="s">
        <v>233</v>
      </c>
      <c r="W31" s="48" t="s">
        <v>255</v>
      </c>
      <c r="X31" s="49">
        <v>5656</v>
      </c>
      <c r="Y31" s="49">
        <v>736</v>
      </c>
      <c r="Z31" s="50">
        <v>0.13</v>
      </c>
    </row>
    <row r="32" spans="1:26">
      <c r="A32" s="48" t="s">
        <v>249</v>
      </c>
      <c r="B32" s="48" t="s">
        <v>278</v>
      </c>
      <c r="C32" s="48" t="s">
        <v>261</v>
      </c>
      <c r="D32" s="48" t="s">
        <v>274</v>
      </c>
      <c r="E32" s="48" t="s">
        <v>255</v>
      </c>
      <c r="F32" s="49">
        <v>100005</v>
      </c>
      <c r="G32" s="49">
        <v>66004</v>
      </c>
      <c r="H32" s="50">
        <v>0.66</v>
      </c>
      <c r="J32" s="48" t="s">
        <v>270</v>
      </c>
      <c r="K32" s="48" t="s">
        <v>286</v>
      </c>
      <c r="L32" s="48" t="s">
        <v>261</v>
      </c>
      <c r="M32" s="48" t="s">
        <v>206</v>
      </c>
      <c r="N32" s="48" t="s">
        <v>257</v>
      </c>
      <c r="O32" s="49">
        <v>23345</v>
      </c>
      <c r="P32" s="49">
        <v>4799</v>
      </c>
      <c r="Q32" s="50">
        <v>0.21</v>
      </c>
      <c r="S32" s="48" t="s">
        <v>272</v>
      </c>
      <c r="T32" s="48" t="s">
        <v>283</v>
      </c>
      <c r="U32" s="48" t="s">
        <v>261</v>
      </c>
      <c r="V32" s="48" t="s">
        <v>206</v>
      </c>
      <c r="W32" s="48" t="s">
        <v>239</v>
      </c>
      <c r="X32" s="49">
        <v>59300</v>
      </c>
      <c r="Y32" s="49">
        <v>6861</v>
      </c>
      <c r="Z32" s="50">
        <v>0.12</v>
      </c>
    </row>
    <row r="33" spans="1:26">
      <c r="A33" s="48" t="s">
        <v>249</v>
      </c>
      <c r="B33" s="48" t="s">
        <v>277</v>
      </c>
      <c r="C33" s="48" t="s">
        <v>261</v>
      </c>
      <c r="D33" s="48" t="s">
        <v>274</v>
      </c>
      <c r="E33" s="48" t="s">
        <v>259</v>
      </c>
      <c r="F33" s="49">
        <v>115945</v>
      </c>
      <c r="G33" s="49">
        <v>72866</v>
      </c>
      <c r="H33" s="50">
        <v>0.63</v>
      </c>
      <c r="J33" s="48" t="s">
        <v>270</v>
      </c>
      <c r="K33" s="48" t="s">
        <v>284</v>
      </c>
      <c r="L33" s="48" t="s">
        <v>261</v>
      </c>
      <c r="M33" s="48" t="s">
        <v>206</v>
      </c>
      <c r="N33" s="48" t="s">
        <v>259</v>
      </c>
      <c r="O33" s="49">
        <v>23284</v>
      </c>
      <c r="P33" s="49">
        <v>4908</v>
      </c>
      <c r="Q33" s="50">
        <v>0.21</v>
      </c>
      <c r="S33" s="48" t="s">
        <v>272</v>
      </c>
      <c r="T33" s="48" t="s">
        <v>285</v>
      </c>
      <c r="U33" s="48" t="s">
        <v>261</v>
      </c>
      <c r="V33" s="48" t="s">
        <v>206</v>
      </c>
      <c r="W33" s="48" t="s">
        <v>251</v>
      </c>
      <c r="X33" s="49">
        <v>37590</v>
      </c>
      <c r="Y33" s="49">
        <v>4387</v>
      </c>
      <c r="Z33" s="50">
        <v>0.12</v>
      </c>
    </row>
    <row r="34" spans="1:26">
      <c r="A34" s="48" t="s">
        <v>249</v>
      </c>
      <c r="B34" s="48" t="s">
        <v>276</v>
      </c>
      <c r="C34" s="48" t="s">
        <v>261</v>
      </c>
      <c r="D34" s="48" t="s">
        <v>274</v>
      </c>
      <c r="E34" s="48" t="s">
        <v>239</v>
      </c>
      <c r="F34" s="49">
        <v>115623</v>
      </c>
      <c r="G34" s="49">
        <v>73187</v>
      </c>
      <c r="H34" s="50">
        <v>0.63</v>
      </c>
      <c r="J34" s="48" t="s">
        <v>270</v>
      </c>
      <c r="K34" s="48" t="s">
        <v>258</v>
      </c>
      <c r="L34" s="48" t="s">
        <v>261</v>
      </c>
      <c r="M34" s="48" t="s">
        <v>233</v>
      </c>
      <c r="N34" s="48" t="s">
        <v>259</v>
      </c>
      <c r="O34" s="49">
        <v>22868</v>
      </c>
      <c r="P34" s="49">
        <v>4729</v>
      </c>
      <c r="Q34" s="50">
        <v>0.21</v>
      </c>
      <c r="S34" s="48" t="s">
        <v>272</v>
      </c>
      <c r="T34" s="48" t="s">
        <v>282</v>
      </c>
      <c r="U34" s="48" t="s">
        <v>261</v>
      </c>
      <c r="V34" s="48" t="s">
        <v>206</v>
      </c>
      <c r="W34" s="48" t="s">
        <v>280</v>
      </c>
      <c r="X34" s="49">
        <v>36991</v>
      </c>
      <c r="Y34" s="49">
        <v>4474</v>
      </c>
      <c r="Z34" s="50">
        <v>0.12</v>
      </c>
    </row>
    <row r="35" spans="1:26">
      <c r="A35" s="48" t="s">
        <v>249</v>
      </c>
      <c r="B35" s="48" t="s">
        <v>253</v>
      </c>
      <c r="C35" s="48" t="s">
        <v>261</v>
      </c>
      <c r="D35" s="48" t="s">
        <v>233</v>
      </c>
      <c r="E35" s="48" t="s">
        <v>234</v>
      </c>
      <c r="F35" s="49">
        <v>126908</v>
      </c>
      <c r="G35" s="49">
        <v>78368</v>
      </c>
      <c r="H35" s="50">
        <v>0.62</v>
      </c>
      <c r="J35" s="48" t="s">
        <v>270</v>
      </c>
      <c r="K35" s="48" t="s">
        <v>278</v>
      </c>
      <c r="L35" s="48" t="s">
        <v>261</v>
      </c>
      <c r="M35" s="48" t="s">
        <v>274</v>
      </c>
      <c r="N35" s="48" t="s">
        <v>255</v>
      </c>
      <c r="O35" s="49">
        <v>22622</v>
      </c>
      <c r="P35" s="49">
        <v>4846</v>
      </c>
      <c r="Q35" s="50">
        <v>0.21</v>
      </c>
      <c r="S35" s="48" t="s">
        <v>272</v>
      </c>
      <c r="T35" s="48" t="s">
        <v>281</v>
      </c>
      <c r="U35" s="48" t="s">
        <v>261</v>
      </c>
      <c r="V35" s="48" t="s">
        <v>206</v>
      </c>
      <c r="W35" s="48" t="s">
        <v>255</v>
      </c>
      <c r="X35" s="49">
        <v>34868</v>
      </c>
      <c r="Y35" s="49">
        <v>4257</v>
      </c>
      <c r="Z35" s="50">
        <v>0.12</v>
      </c>
    </row>
    <row r="36" spans="1:26">
      <c r="A36" s="48" t="s">
        <v>249</v>
      </c>
      <c r="B36" s="48" t="s">
        <v>254</v>
      </c>
      <c r="C36" s="48" t="s">
        <v>261</v>
      </c>
      <c r="D36" s="48" t="s">
        <v>233</v>
      </c>
      <c r="E36" s="48" t="s">
        <v>255</v>
      </c>
      <c r="F36" s="49">
        <v>124945</v>
      </c>
      <c r="G36" s="49">
        <v>77411</v>
      </c>
      <c r="H36" s="50">
        <v>0.62</v>
      </c>
      <c r="J36" s="48" t="s">
        <v>270</v>
      </c>
      <c r="K36" s="48" t="s">
        <v>253</v>
      </c>
      <c r="L36" s="48" t="s">
        <v>261</v>
      </c>
      <c r="M36" s="48" t="s">
        <v>233</v>
      </c>
      <c r="N36" s="48" t="s">
        <v>234</v>
      </c>
      <c r="O36" s="49">
        <v>22310</v>
      </c>
      <c r="P36" s="49">
        <v>4663</v>
      </c>
      <c r="Q36" s="50">
        <v>0.21</v>
      </c>
      <c r="S36" s="48" t="s">
        <v>272</v>
      </c>
      <c r="T36" s="48" t="s">
        <v>284</v>
      </c>
      <c r="U36" s="48" t="s">
        <v>261</v>
      </c>
      <c r="V36" s="48" t="s">
        <v>206</v>
      </c>
      <c r="W36" s="48" t="s">
        <v>259</v>
      </c>
      <c r="X36" s="49">
        <v>33445</v>
      </c>
      <c r="Y36" s="49">
        <v>3920</v>
      </c>
      <c r="Z36" s="50">
        <v>0.12</v>
      </c>
    </row>
    <row r="37" spans="1:26">
      <c r="A37" s="48" t="s">
        <v>249</v>
      </c>
      <c r="B37" s="48" t="s">
        <v>252</v>
      </c>
      <c r="C37" s="48" t="s">
        <v>261</v>
      </c>
      <c r="D37" s="48" t="s">
        <v>233</v>
      </c>
      <c r="E37" s="48" t="s">
        <v>239</v>
      </c>
      <c r="F37" s="49">
        <v>132922</v>
      </c>
      <c r="G37" s="49">
        <v>80599</v>
      </c>
      <c r="H37" s="50">
        <v>0.61</v>
      </c>
      <c r="J37" s="48" t="s">
        <v>270</v>
      </c>
      <c r="K37" s="48" t="s">
        <v>254</v>
      </c>
      <c r="L37" s="48" t="s">
        <v>261</v>
      </c>
      <c r="M37" s="48" t="s">
        <v>233</v>
      </c>
      <c r="N37" s="48" t="s">
        <v>255</v>
      </c>
      <c r="O37" s="49">
        <v>22206</v>
      </c>
      <c r="P37" s="49">
        <v>4675</v>
      </c>
      <c r="Q37" s="50">
        <v>0.21</v>
      </c>
      <c r="S37" s="48" t="s">
        <v>272</v>
      </c>
      <c r="T37" s="48" t="s">
        <v>277</v>
      </c>
      <c r="U37" s="48" t="s">
        <v>261</v>
      </c>
      <c r="V37" s="48" t="s">
        <v>274</v>
      </c>
      <c r="W37" s="48" t="s">
        <v>259</v>
      </c>
      <c r="X37" s="49">
        <v>10935</v>
      </c>
      <c r="Y37" s="49">
        <v>1310</v>
      </c>
      <c r="Z37" s="50">
        <v>0.12</v>
      </c>
    </row>
    <row r="38" spans="1:26">
      <c r="A38" s="48" t="s">
        <v>249</v>
      </c>
      <c r="B38" s="48" t="s">
        <v>258</v>
      </c>
      <c r="C38" s="48" t="s">
        <v>261</v>
      </c>
      <c r="D38" s="48" t="s">
        <v>233</v>
      </c>
      <c r="E38" s="48" t="s">
        <v>259</v>
      </c>
      <c r="F38" s="49">
        <v>129595</v>
      </c>
      <c r="G38" s="49">
        <v>78677</v>
      </c>
      <c r="H38" s="50">
        <v>0.61</v>
      </c>
      <c r="J38" s="48" t="s">
        <v>270</v>
      </c>
      <c r="K38" s="48" t="s">
        <v>279</v>
      </c>
      <c r="L38" s="48" t="s">
        <v>261</v>
      </c>
      <c r="M38" s="48" t="s">
        <v>274</v>
      </c>
      <c r="N38" s="48" t="s">
        <v>280</v>
      </c>
      <c r="O38" s="49">
        <v>10725</v>
      </c>
      <c r="P38" s="49">
        <v>2274</v>
      </c>
      <c r="Q38" s="50">
        <v>0.21</v>
      </c>
      <c r="S38" s="48" t="s">
        <v>272</v>
      </c>
      <c r="T38" s="48" t="s">
        <v>275</v>
      </c>
      <c r="U38" s="48" t="s">
        <v>261</v>
      </c>
      <c r="V38" s="48" t="s">
        <v>274</v>
      </c>
      <c r="W38" s="48" t="s">
        <v>257</v>
      </c>
      <c r="X38" s="49">
        <v>6098</v>
      </c>
      <c r="Y38" s="49">
        <v>733</v>
      </c>
      <c r="Z38" s="50">
        <v>0.12</v>
      </c>
    </row>
    <row r="39" spans="1:26">
      <c r="A39" s="48" t="s">
        <v>249</v>
      </c>
      <c r="B39" s="48" t="s">
        <v>256</v>
      </c>
      <c r="C39" s="48" t="s">
        <v>261</v>
      </c>
      <c r="D39" s="48" t="s">
        <v>233</v>
      </c>
      <c r="E39" s="48" t="s">
        <v>257</v>
      </c>
      <c r="F39" s="49">
        <v>128769</v>
      </c>
      <c r="G39" s="49">
        <v>78273</v>
      </c>
      <c r="H39" s="50">
        <v>0.61</v>
      </c>
      <c r="J39" s="48" t="s">
        <v>270</v>
      </c>
      <c r="K39" s="48" t="s">
        <v>282</v>
      </c>
      <c r="L39" s="48" t="s">
        <v>261</v>
      </c>
      <c r="M39" s="48" t="s">
        <v>206</v>
      </c>
      <c r="N39" s="48" t="s">
        <v>280</v>
      </c>
      <c r="O39" s="49">
        <v>9956</v>
      </c>
      <c r="P39" s="49">
        <v>2083</v>
      </c>
      <c r="Q39" s="50">
        <v>0.21</v>
      </c>
      <c r="S39" s="48" t="s">
        <v>272</v>
      </c>
      <c r="T39" s="48" t="s">
        <v>256</v>
      </c>
      <c r="U39" s="48" t="s">
        <v>261</v>
      </c>
      <c r="V39" s="48" t="s">
        <v>233</v>
      </c>
      <c r="W39" s="48" t="s">
        <v>257</v>
      </c>
      <c r="X39" s="49">
        <v>5800</v>
      </c>
      <c r="Y39" s="49">
        <v>718</v>
      </c>
      <c r="Z39" s="50">
        <v>0.12</v>
      </c>
    </row>
    <row r="40" spans="1:26">
      <c r="A40" s="48" t="s">
        <v>249</v>
      </c>
      <c r="B40" s="48" t="s">
        <v>250</v>
      </c>
      <c r="C40" s="48" t="s">
        <v>261</v>
      </c>
      <c r="D40" s="48" t="s">
        <v>233</v>
      </c>
      <c r="E40" s="48" t="s">
        <v>251</v>
      </c>
      <c r="F40" s="49">
        <v>134333</v>
      </c>
      <c r="G40" s="49">
        <v>80886</v>
      </c>
      <c r="H40" s="50">
        <v>0.6</v>
      </c>
      <c r="J40" s="48" t="s">
        <v>270</v>
      </c>
      <c r="K40" s="48" t="s">
        <v>276</v>
      </c>
      <c r="L40" s="48" t="s">
        <v>261</v>
      </c>
      <c r="M40" s="48" t="s">
        <v>274</v>
      </c>
      <c r="N40" s="48" t="s">
        <v>239</v>
      </c>
      <c r="O40" s="49">
        <v>26248</v>
      </c>
      <c r="P40" s="49">
        <v>5319</v>
      </c>
      <c r="Q40" s="50">
        <v>0.2</v>
      </c>
      <c r="S40" s="48" t="s">
        <v>272</v>
      </c>
      <c r="T40" s="48" t="s">
        <v>258</v>
      </c>
      <c r="U40" s="48" t="s">
        <v>261</v>
      </c>
      <c r="V40" s="48" t="s">
        <v>233</v>
      </c>
      <c r="W40" s="48" t="s">
        <v>259</v>
      </c>
      <c r="X40" s="49">
        <v>5459</v>
      </c>
      <c r="Y40" s="49">
        <v>661</v>
      </c>
      <c r="Z40" s="50">
        <v>0.12</v>
      </c>
    </row>
    <row r="41" spans="1:26">
      <c r="A41" s="48" t="s">
        <v>249</v>
      </c>
      <c r="B41" s="48" t="s">
        <v>273</v>
      </c>
      <c r="C41" s="48" t="s">
        <v>261</v>
      </c>
      <c r="D41" s="48" t="s">
        <v>274</v>
      </c>
      <c r="E41" s="48" t="s">
        <v>251</v>
      </c>
      <c r="F41" s="49">
        <v>141377</v>
      </c>
      <c r="G41" s="49">
        <v>83134</v>
      </c>
      <c r="H41" s="50">
        <v>0.59</v>
      </c>
      <c r="J41" s="48" t="s">
        <v>270</v>
      </c>
      <c r="K41" s="48" t="s">
        <v>285</v>
      </c>
      <c r="L41" s="48" t="s">
        <v>261</v>
      </c>
      <c r="M41" s="48" t="s">
        <v>206</v>
      </c>
      <c r="N41" s="48" t="s">
        <v>251</v>
      </c>
      <c r="O41" s="49">
        <v>8026</v>
      </c>
      <c r="P41" s="49">
        <v>1607</v>
      </c>
      <c r="Q41" s="50">
        <v>0.2</v>
      </c>
      <c r="S41" s="48" t="s">
        <v>272</v>
      </c>
      <c r="T41" s="48" t="s">
        <v>253</v>
      </c>
      <c r="U41" s="48" t="s">
        <v>261</v>
      </c>
      <c r="V41" s="48" t="s">
        <v>233</v>
      </c>
      <c r="W41" s="48" t="s">
        <v>234</v>
      </c>
      <c r="X41" s="49">
        <v>5326</v>
      </c>
      <c r="Y41" s="49">
        <v>659</v>
      </c>
      <c r="Z41" s="50">
        <v>0.12</v>
      </c>
    </row>
    <row r="42" spans="1:26">
      <c r="A42" s="48" t="s">
        <v>249</v>
      </c>
      <c r="B42" s="48" t="s">
        <v>275</v>
      </c>
      <c r="C42" s="48" t="s">
        <v>261</v>
      </c>
      <c r="D42" s="48" t="s">
        <v>274</v>
      </c>
      <c r="E42" s="48" t="s">
        <v>257</v>
      </c>
      <c r="F42" s="49">
        <v>133993</v>
      </c>
      <c r="G42" s="49">
        <v>79614</v>
      </c>
      <c r="H42" s="50">
        <v>0.59</v>
      </c>
      <c r="J42" s="48" t="s">
        <v>270</v>
      </c>
      <c r="K42" s="48" t="s">
        <v>273</v>
      </c>
      <c r="L42" s="48" t="s">
        <v>261</v>
      </c>
      <c r="M42" s="48" t="s">
        <v>274</v>
      </c>
      <c r="N42" s="48" t="s">
        <v>251</v>
      </c>
      <c r="O42" s="49">
        <v>3750</v>
      </c>
      <c r="P42" s="49">
        <v>604</v>
      </c>
      <c r="Q42" s="50">
        <v>0.16</v>
      </c>
      <c r="S42" s="48" t="s">
        <v>272</v>
      </c>
      <c r="T42" s="48" t="s">
        <v>286</v>
      </c>
      <c r="U42" s="48" t="s">
        <v>261</v>
      </c>
      <c r="V42" s="48" t="s">
        <v>206</v>
      </c>
      <c r="W42" s="48" t="s">
        <v>257</v>
      </c>
      <c r="X42" s="49">
        <v>27380</v>
      </c>
      <c r="Y42" s="49">
        <v>3038</v>
      </c>
      <c r="Z42" s="50">
        <v>0.11</v>
      </c>
    </row>
    <row r="43" spans="1:26">
      <c r="A43" s="48" t="s">
        <v>249</v>
      </c>
      <c r="B43" s="48" t="s">
        <v>253</v>
      </c>
      <c r="C43" s="48" t="s">
        <v>262</v>
      </c>
      <c r="D43" s="48" t="s">
        <v>233</v>
      </c>
      <c r="E43" s="48" t="s">
        <v>234</v>
      </c>
      <c r="F43" s="49">
        <v>16049</v>
      </c>
      <c r="G43" s="49">
        <v>6121</v>
      </c>
      <c r="H43" s="50">
        <v>0.38</v>
      </c>
      <c r="J43" s="48" t="s">
        <v>270</v>
      </c>
      <c r="K43" s="48" t="s">
        <v>282</v>
      </c>
      <c r="L43" s="48" t="s">
        <v>262</v>
      </c>
      <c r="M43" s="48" t="s">
        <v>206</v>
      </c>
      <c r="N43" s="48" t="s">
        <v>280</v>
      </c>
      <c r="O43" s="49">
        <v>28370</v>
      </c>
      <c r="P43" s="49">
        <v>10150</v>
      </c>
      <c r="Q43" s="50">
        <v>0.36</v>
      </c>
      <c r="S43" s="48" t="s">
        <v>272</v>
      </c>
      <c r="T43" s="48" t="s">
        <v>250</v>
      </c>
      <c r="U43" s="48" t="s">
        <v>262</v>
      </c>
      <c r="V43" s="48" t="s">
        <v>233</v>
      </c>
      <c r="W43" s="48" t="s">
        <v>251</v>
      </c>
      <c r="X43" s="49">
        <v>5272</v>
      </c>
      <c r="Y43" s="49">
        <v>1205</v>
      </c>
      <c r="Z43" s="50">
        <v>0.23</v>
      </c>
    </row>
    <row r="44" spans="1:26">
      <c r="A44" s="48" t="s">
        <v>249</v>
      </c>
      <c r="B44" s="48" t="s">
        <v>252</v>
      </c>
      <c r="C44" s="48" t="s">
        <v>262</v>
      </c>
      <c r="D44" s="48" t="s">
        <v>233</v>
      </c>
      <c r="E44" s="48" t="s">
        <v>239</v>
      </c>
      <c r="F44" s="49">
        <v>15165</v>
      </c>
      <c r="G44" s="49">
        <v>5787</v>
      </c>
      <c r="H44" s="50">
        <v>0.38</v>
      </c>
      <c r="J44" s="48" t="s">
        <v>270</v>
      </c>
      <c r="K44" s="48" t="s">
        <v>285</v>
      </c>
      <c r="L44" s="48" t="s">
        <v>262</v>
      </c>
      <c r="M44" s="48" t="s">
        <v>206</v>
      </c>
      <c r="N44" s="48" t="s">
        <v>251</v>
      </c>
      <c r="O44" s="49">
        <v>23908</v>
      </c>
      <c r="P44" s="49">
        <v>8407</v>
      </c>
      <c r="Q44" s="50">
        <v>0.35</v>
      </c>
      <c r="S44" s="48" t="s">
        <v>272</v>
      </c>
      <c r="T44" s="48" t="s">
        <v>279</v>
      </c>
      <c r="U44" s="48" t="s">
        <v>262</v>
      </c>
      <c r="V44" s="48" t="s">
        <v>274</v>
      </c>
      <c r="W44" s="48" t="s">
        <v>280</v>
      </c>
      <c r="X44" s="49">
        <v>10407</v>
      </c>
      <c r="Y44" s="49">
        <v>2248</v>
      </c>
      <c r="Z44" s="50">
        <v>0.22</v>
      </c>
    </row>
    <row r="45" spans="1:26">
      <c r="A45" s="48" t="s">
        <v>249</v>
      </c>
      <c r="B45" s="48" t="s">
        <v>250</v>
      </c>
      <c r="C45" s="48" t="s">
        <v>262</v>
      </c>
      <c r="D45" s="48" t="s">
        <v>233</v>
      </c>
      <c r="E45" s="48" t="s">
        <v>251</v>
      </c>
      <c r="F45" s="49">
        <v>14845</v>
      </c>
      <c r="G45" s="49">
        <v>5680</v>
      </c>
      <c r="H45" s="50">
        <v>0.38</v>
      </c>
      <c r="J45" s="48" t="s">
        <v>270</v>
      </c>
      <c r="K45" s="48" t="s">
        <v>279</v>
      </c>
      <c r="L45" s="48" t="s">
        <v>262</v>
      </c>
      <c r="M45" s="48" t="s">
        <v>274</v>
      </c>
      <c r="N45" s="48" t="s">
        <v>280</v>
      </c>
      <c r="O45" s="49">
        <v>40365</v>
      </c>
      <c r="P45" s="49">
        <v>13725</v>
      </c>
      <c r="Q45" s="50">
        <v>0.34</v>
      </c>
      <c r="S45" s="48" t="s">
        <v>272</v>
      </c>
      <c r="T45" s="48" t="s">
        <v>282</v>
      </c>
      <c r="U45" s="48" t="s">
        <v>262</v>
      </c>
      <c r="V45" s="48" t="s">
        <v>206</v>
      </c>
      <c r="W45" s="48" t="s">
        <v>280</v>
      </c>
      <c r="X45" s="49">
        <v>9749</v>
      </c>
      <c r="Y45" s="49">
        <v>2134</v>
      </c>
      <c r="Z45" s="50">
        <v>0.22</v>
      </c>
    </row>
    <row r="46" spans="1:26">
      <c r="A46" s="48" t="s">
        <v>249</v>
      </c>
      <c r="B46" s="48" t="s">
        <v>273</v>
      </c>
      <c r="C46" s="48" t="s">
        <v>262</v>
      </c>
      <c r="D46" s="48" t="s">
        <v>274</v>
      </c>
      <c r="E46" s="48" t="s">
        <v>251</v>
      </c>
      <c r="F46" s="49">
        <v>12415</v>
      </c>
      <c r="G46" s="49">
        <v>4709</v>
      </c>
      <c r="H46" s="50">
        <v>0.38</v>
      </c>
      <c r="J46" s="48" t="s">
        <v>270</v>
      </c>
      <c r="K46" s="48" t="s">
        <v>281</v>
      </c>
      <c r="L46" s="48" t="s">
        <v>262</v>
      </c>
      <c r="M46" s="48" t="s">
        <v>206</v>
      </c>
      <c r="N46" s="48" t="s">
        <v>255</v>
      </c>
      <c r="O46" s="49">
        <v>30585</v>
      </c>
      <c r="P46" s="49">
        <v>10504</v>
      </c>
      <c r="Q46" s="50">
        <v>0.34</v>
      </c>
      <c r="S46" s="48" t="s">
        <v>272</v>
      </c>
      <c r="T46" s="48" t="s">
        <v>252</v>
      </c>
      <c r="U46" s="48" t="s">
        <v>262</v>
      </c>
      <c r="V46" s="48" t="s">
        <v>233</v>
      </c>
      <c r="W46" s="48" t="s">
        <v>239</v>
      </c>
      <c r="X46" s="49">
        <v>6540</v>
      </c>
      <c r="Y46" s="49">
        <v>1440</v>
      </c>
      <c r="Z46" s="50">
        <v>0.22</v>
      </c>
    </row>
    <row r="47" spans="1:26">
      <c r="A47" s="48" t="s">
        <v>249</v>
      </c>
      <c r="B47" s="48" t="s">
        <v>254</v>
      </c>
      <c r="C47" s="48" t="s">
        <v>262</v>
      </c>
      <c r="D47" s="48" t="s">
        <v>233</v>
      </c>
      <c r="E47" s="48" t="s">
        <v>255</v>
      </c>
      <c r="F47" s="49">
        <v>16326</v>
      </c>
      <c r="G47" s="49">
        <v>5951</v>
      </c>
      <c r="H47" s="50">
        <v>0.36</v>
      </c>
      <c r="J47" s="48" t="s">
        <v>270</v>
      </c>
      <c r="K47" s="48" t="s">
        <v>283</v>
      </c>
      <c r="L47" s="48" t="s">
        <v>262</v>
      </c>
      <c r="M47" s="48" t="s">
        <v>206</v>
      </c>
      <c r="N47" s="48" t="s">
        <v>239</v>
      </c>
      <c r="O47" s="49">
        <v>37044</v>
      </c>
      <c r="P47" s="49">
        <v>12295</v>
      </c>
      <c r="Q47" s="50">
        <v>0.33</v>
      </c>
      <c r="S47" s="48" t="s">
        <v>272</v>
      </c>
      <c r="T47" s="48" t="s">
        <v>285</v>
      </c>
      <c r="U47" s="48" t="s">
        <v>262</v>
      </c>
      <c r="V47" s="48" t="s">
        <v>206</v>
      </c>
      <c r="W47" s="48" t="s">
        <v>251</v>
      </c>
      <c r="X47" s="49">
        <v>4852</v>
      </c>
      <c r="Y47" s="49">
        <v>1078</v>
      </c>
      <c r="Z47" s="50">
        <v>0.22</v>
      </c>
    </row>
    <row r="48" spans="1:26">
      <c r="A48" s="48" t="s">
        <v>249</v>
      </c>
      <c r="B48" s="48" t="s">
        <v>258</v>
      </c>
      <c r="C48" s="48" t="s">
        <v>262</v>
      </c>
      <c r="D48" s="48" t="s">
        <v>233</v>
      </c>
      <c r="E48" s="48" t="s">
        <v>259</v>
      </c>
      <c r="F48" s="49">
        <v>14429</v>
      </c>
      <c r="G48" s="49">
        <v>5164</v>
      </c>
      <c r="H48" s="50">
        <v>0.36</v>
      </c>
      <c r="J48" s="48" t="s">
        <v>270</v>
      </c>
      <c r="K48" s="48" t="s">
        <v>284</v>
      </c>
      <c r="L48" s="48" t="s">
        <v>262</v>
      </c>
      <c r="M48" s="48" t="s">
        <v>206</v>
      </c>
      <c r="N48" s="48" t="s">
        <v>259</v>
      </c>
      <c r="O48" s="49">
        <v>31255</v>
      </c>
      <c r="P48" s="49">
        <v>10288</v>
      </c>
      <c r="Q48" s="50">
        <v>0.33</v>
      </c>
      <c r="S48" s="48" t="s">
        <v>272</v>
      </c>
      <c r="T48" s="48" t="s">
        <v>284</v>
      </c>
      <c r="U48" s="48" t="s">
        <v>262</v>
      </c>
      <c r="V48" s="48" t="s">
        <v>206</v>
      </c>
      <c r="W48" s="48" t="s">
        <v>259</v>
      </c>
      <c r="X48" s="49">
        <v>23451</v>
      </c>
      <c r="Y48" s="49">
        <v>4828</v>
      </c>
      <c r="Z48" s="50">
        <v>0.21</v>
      </c>
    </row>
    <row r="49" spans="1:26">
      <c r="A49" s="48" t="s">
        <v>249</v>
      </c>
      <c r="B49" s="48" t="s">
        <v>256</v>
      </c>
      <c r="C49" s="48" t="s">
        <v>262</v>
      </c>
      <c r="D49" s="48" t="s">
        <v>233</v>
      </c>
      <c r="E49" s="48" t="s">
        <v>257</v>
      </c>
      <c r="F49" s="49">
        <v>14897</v>
      </c>
      <c r="G49" s="49">
        <v>5224</v>
      </c>
      <c r="H49" s="50">
        <v>0.35</v>
      </c>
      <c r="J49" s="48" t="s">
        <v>270</v>
      </c>
      <c r="K49" s="48" t="s">
        <v>278</v>
      </c>
      <c r="L49" s="48" t="s">
        <v>262</v>
      </c>
      <c r="M49" s="48" t="s">
        <v>274</v>
      </c>
      <c r="N49" s="48" t="s">
        <v>255</v>
      </c>
      <c r="O49" s="49">
        <v>55038</v>
      </c>
      <c r="P49" s="49">
        <v>17453</v>
      </c>
      <c r="Q49" s="50">
        <v>0.32</v>
      </c>
      <c r="S49" s="48" t="s">
        <v>272</v>
      </c>
      <c r="T49" s="48" t="s">
        <v>278</v>
      </c>
      <c r="U49" s="48" t="s">
        <v>262</v>
      </c>
      <c r="V49" s="48" t="s">
        <v>274</v>
      </c>
      <c r="W49" s="48" t="s">
        <v>255</v>
      </c>
      <c r="X49" s="49">
        <v>22560</v>
      </c>
      <c r="Y49" s="49">
        <v>4639</v>
      </c>
      <c r="Z49" s="50">
        <v>0.21</v>
      </c>
    </row>
    <row r="50" spans="1:26">
      <c r="A50" s="48" t="s">
        <v>249</v>
      </c>
      <c r="B50" s="48" t="s">
        <v>278</v>
      </c>
      <c r="C50" s="48" t="s">
        <v>262</v>
      </c>
      <c r="D50" s="48" t="s">
        <v>274</v>
      </c>
      <c r="E50" s="48" t="s">
        <v>255</v>
      </c>
      <c r="F50" s="49">
        <v>22431</v>
      </c>
      <c r="G50" s="49">
        <v>7600</v>
      </c>
      <c r="H50" s="50">
        <v>0.34</v>
      </c>
      <c r="J50" s="48" t="s">
        <v>270</v>
      </c>
      <c r="K50" s="48" t="s">
        <v>286</v>
      </c>
      <c r="L50" s="48" t="s">
        <v>262</v>
      </c>
      <c r="M50" s="48" t="s">
        <v>206</v>
      </c>
      <c r="N50" s="48" t="s">
        <v>257</v>
      </c>
      <c r="O50" s="49">
        <v>26547</v>
      </c>
      <c r="P50" s="49">
        <v>8493</v>
      </c>
      <c r="Q50" s="50">
        <v>0.32</v>
      </c>
      <c r="S50" s="48" t="s">
        <v>272</v>
      </c>
      <c r="T50" s="48" t="s">
        <v>281</v>
      </c>
      <c r="U50" s="48" t="s">
        <v>262</v>
      </c>
      <c r="V50" s="48" t="s">
        <v>206</v>
      </c>
      <c r="W50" s="48" t="s">
        <v>255</v>
      </c>
      <c r="X50" s="49">
        <v>19658</v>
      </c>
      <c r="Y50" s="49">
        <v>4129</v>
      </c>
      <c r="Z50" s="50">
        <v>0.21</v>
      </c>
    </row>
    <row r="51" spans="1:26">
      <c r="A51" s="48" t="s">
        <v>249</v>
      </c>
      <c r="B51" s="48" t="s">
        <v>279</v>
      </c>
      <c r="C51" s="48" t="s">
        <v>262</v>
      </c>
      <c r="D51" s="48" t="s">
        <v>274</v>
      </c>
      <c r="E51" s="48" t="s">
        <v>280</v>
      </c>
      <c r="F51" s="49">
        <v>21518</v>
      </c>
      <c r="G51" s="49">
        <v>7398</v>
      </c>
      <c r="H51" s="50">
        <v>0.34</v>
      </c>
      <c r="J51" s="48" t="s">
        <v>270</v>
      </c>
      <c r="K51" s="48" t="s">
        <v>250</v>
      </c>
      <c r="L51" s="48" t="s">
        <v>262</v>
      </c>
      <c r="M51" s="48" t="s">
        <v>233</v>
      </c>
      <c r="N51" s="48" t="s">
        <v>251</v>
      </c>
      <c r="O51" s="49">
        <v>79147</v>
      </c>
      <c r="P51" s="49">
        <v>24309</v>
      </c>
      <c r="Q51" s="50">
        <v>0.31</v>
      </c>
      <c r="S51" s="48" t="s">
        <v>272</v>
      </c>
      <c r="T51" s="48" t="s">
        <v>276</v>
      </c>
      <c r="U51" s="48" t="s">
        <v>262</v>
      </c>
      <c r="V51" s="48" t="s">
        <v>274</v>
      </c>
      <c r="W51" s="48" t="s">
        <v>239</v>
      </c>
      <c r="X51" s="49">
        <v>9611</v>
      </c>
      <c r="Y51" s="49">
        <v>1972</v>
      </c>
      <c r="Z51" s="50">
        <v>0.21</v>
      </c>
    </row>
    <row r="52" spans="1:26">
      <c r="A52" s="48" t="s">
        <v>249</v>
      </c>
      <c r="B52" s="48" t="s">
        <v>282</v>
      </c>
      <c r="C52" s="48" t="s">
        <v>262</v>
      </c>
      <c r="D52" s="48" t="s">
        <v>206</v>
      </c>
      <c r="E52" s="48" t="s">
        <v>280</v>
      </c>
      <c r="F52" s="49">
        <v>19954</v>
      </c>
      <c r="G52" s="49">
        <v>6788</v>
      </c>
      <c r="H52" s="50">
        <v>0.34</v>
      </c>
      <c r="J52" s="48" t="s">
        <v>270</v>
      </c>
      <c r="K52" s="48" t="s">
        <v>252</v>
      </c>
      <c r="L52" s="48" t="s">
        <v>262</v>
      </c>
      <c r="M52" s="48" t="s">
        <v>233</v>
      </c>
      <c r="N52" s="48" t="s">
        <v>239</v>
      </c>
      <c r="O52" s="49">
        <v>77611</v>
      </c>
      <c r="P52" s="49">
        <v>24049</v>
      </c>
      <c r="Q52" s="50">
        <v>0.31</v>
      </c>
      <c r="S52" s="48" t="s">
        <v>272</v>
      </c>
      <c r="T52" s="48" t="s">
        <v>283</v>
      </c>
      <c r="U52" s="48" t="s">
        <v>262</v>
      </c>
      <c r="V52" s="48" t="s">
        <v>206</v>
      </c>
      <c r="W52" s="48" t="s">
        <v>239</v>
      </c>
      <c r="X52" s="49">
        <v>9188</v>
      </c>
      <c r="Y52" s="49">
        <v>1949</v>
      </c>
      <c r="Z52" s="50">
        <v>0.21</v>
      </c>
    </row>
    <row r="53" spans="1:26">
      <c r="A53" s="48" t="s">
        <v>249</v>
      </c>
      <c r="B53" s="48" t="s">
        <v>283</v>
      </c>
      <c r="C53" s="48" t="s">
        <v>262</v>
      </c>
      <c r="D53" s="48" t="s">
        <v>206</v>
      </c>
      <c r="E53" s="48" t="s">
        <v>239</v>
      </c>
      <c r="F53" s="49">
        <v>17455</v>
      </c>
      <c r="G53" s="49">
        <v>5945</v>
      </c>
      <c r="H53" s="50">
        <v>0.34</v>
      </c>
      <c r="J53" s="48" t="s">
        <v>270</v>
      </c>
      <c r="K53" s="48" t="s">
        <v>253</v>
      </c>
      <c r="L53" s="48" t="s">
        <v>262</v>
      </c>
      <c r="M53" s="48" t="s">
        <v>233</v>
      </c>
      <c r="N53" s="48" t="s">
        <v>234</v>
      </c>
      <c r="O53" s="49">
        <v>59354</v>
      </c>
      <c r="P53" s="49">
        <v>18299</v>
      </c>
      <c r="Q53" s="50">
        <v>0.31</v>
      </c>
      <c r="S53" s="48" t="s">
        <v>272</v>
      </c>
      <c r="T53" s="48" t="s">
        <v>275</v>
      </c>
      <c r="U53" s="48" t="s">
        <v>262</v>
      </c>
      <c r="V53" s="48" t="s">
        <v>274</v>
      </c>
      <c r="W53" s="48" t="s">
        <v>257</v>
      </c>
      <c r="X53" s="49">
        <v>28935</v>
      </c>
      <c r="Y53" s="49">
        <v>5816</v>
      </c>
      <c r="Z53" s="50">
        <v>0.2</v>
      </c>
    </row>
    <row r="54" spans="1:26">
      <c r="A54" s="48" t="s">
        <v>249</v>
      </c>
      <c r="B54" s="48" t="s">
        <v>276</v>
      </c>
      <c r="C54" s="48" t="s">
        <v>262</v>
      </c>
      <c r="D54" s="48" t="s">
        <v>274</v>
      </c>
      <c r="E54" s="48" t="s">
        <v>239</v>
      </c>
      <c r="F54" s="49">
        <v>23079</v>
      </c>
      <c r="G54" s="49">
        <v>7650</v>
      </c>
      <c r="H54" s="50">
        <v>0.33</v>
      </c>
      <c r="J54" s="48" t="s">
        <v>270</v>
      </c>
      <c r="K54" s="48" t="s">
        <v>254</v>
      </c>
      <c r="L54" s="48" t="s">
        <v>262</v>
      </c>
      <c r="M54" s="48" t="s">
        <v>233</v>
      </c>
      <c r="N54" s="48" t="s">
        <v>255</v>
      </c>
      <c r="O54" s="49">
        <v>57134</v>
      </c>
      <c r="P54" s="49">
        <v>17756</v>
      </c>
      <c r="Q54" s="50">
        <v>0.31</v>
      </c>
      <c r="S54" s="48" t="s">
        <v>272</v>
      </c>
      <c r="T54" s="48" t="s">
        <v>253</v>
      </c>
      <c r="U54" s="48" t="s">
        <v>262</v>
      </c>
      <c r="V54" s="48" t="s">
        <v>233</v>
      </c>
      <c r="W54" s="48" t="s">
        <v>234</v>
      </c>
      <c r="X54" s="49">
        <v>28306</v>
      </c>
      <c r="Y54" s="49">
        <v>5674</v>
      </c>
      <c r="Z54" s="50">
        <v>0.2</v>
      </c>
    </row>
    <row r="55" spans="1:26">
      <c r="A55" s="48" t="s">
        <v>249</v>
      </c>
      <c r="B55" s="48" t="s">
        <v>285</v>
      </c>
      <c r="C55" s="48" t="s">
        <v>262</v>
      </c>
      <c r="D55" s="48" t="s">
        <v>206</v>
      </c>
      <c r="E55" s="48" t="s">
        <v>251</v>
      </c>
      <c r="F55" s="49">
        <v>20173</v>
      </c>
      <c r="G55" s="49">
        <v>6651</v>
      </c>
      <c r="H55" s="50">
        <v>0.33</v>
      </c>
      <c r="J55" s="48" t="s">
        <v>270</v>
      </c>
      <c r="K55" s="48" t="s">
        <v>276</v>
      </c>
      <c r="L55" s="48" t="s">
        <v>262</v>
      </c>
      <c r="M55" s="48" t="s">
        <v>274</v>
      </c>
      <c r="N55" s="48" t="s">
        <v>239</v>
      </c>
      <c r="O55" s="49">
        <v>76210</v>
      </c>
      <c r="P55" s="49">
        <v>23174</v>
      </c>
      <c r="Q55" s="50">
        <v>0.3</v>
      </c>
      <c r="S55" s="48" t="s">
        <v>272</v>
      </c>
      <c r="T55" s="48" t="s">
        <v>258</v>
      </c>
      <c r="U55" s="48" t="s">
        <v>262</v>
      </c>
      <c r="V55" s="48" t="s">
        <v>233</v>
      </c>
      <c r="W55" s="48" t="s">
        <v>259</v>
      </c>
      <c r="X55" s="49">
        <v>28301</v>
      </c>
      <c r="Y55" s="49">
        <v>5616</v>
      </c>
      <c r="Z55" s="50">
        <v>0.2</v>
      </c>
    </row>
    <row r="56" spans="1:26">
      <c r="A56" s="48" t="s">
        <v>249</v>
      </c>
      <c r="B56" s="48" t="s">
        <v>281</v>
      </c>
      <c r="C56" s="48" t="s">
        <v>262</v>
      </c>
      <c r="D56" s="48" t="s">
        <v>206</v>
      </c>
      <c r="E56" s="48" t="s">
        <v>255</v>
      </c>
      <c r="F56" s="49">
        <v>19956</v>
      </c>
      <c r="G56" s="49">
        <v>6574</v>
      </c>
      <c r="H56" s="50">
        <v>0.33</v>
      </c>
      <c r="J56" s="48" t="s">
        <v>270</v>
      </c>
      <c r="K56" s="48" t="s">
        <v>275</v>
      </c>
      <c r="L56" s="48" t="s">
        <v>262</v>
      </c>
      <c r="M56" s="48" t="s">
        <v>274</v>
      </c>
      <c r="N56" s="48" t="s">
        <v>257</v>
      </c>
      <c r="O56" s="49">
        <v>63599</v>
      </c>
      <c r="P56" s="49">
        <v>18774</v>
      </c>
      <c r="Q56" s="50">
        <v>0.3</v>
      </c>
      <c r="S56" s="48" t="s">
        <v>272</v>
      </c>
      <c r="T56" s="48" t="s">
        <v>256</v>
      </c>
      <c r="U56" s="48" t="s">
        <v>262</v>
      </c>
      <c r="V56" s="48" t="s">
        <v>233</v>
      </c>
      <c r="W56" s="48" t="s">
        <v>257</v>
      </c>
      <c r="X56" s="49">
        <v>28002</v>
      </c>
      <c r="Y56" s="49">
        <v>5552</v>
      </c>
      <c r="Z56" s="50">
        <v>0.2</v>
      </c>
    </row>
    <row r="57" spans="1:26">
      <c r="A57" s="48" t="s">
        <v>249</v>
      </c>
      <c r="B57" s="48" t="s">
        <v>275</v>
      </c>
      <c r="C57" s="48" t="s">
        <v>262</v>
      </c>
      <c r="D57" s="48" t="s">
        <v>274</v>
      </c>
      <c r="E57" s="48" t="s">
        <v>257</v>
      </c>
      <c r="F57" s="49">
        <v>12503</v>
      </c>
      <c r="G57" s="49">
        <v>4172</v>
      </c>
      <c r="H57" s="50">
        <v>0.33</v>
      </c>
      <c r="J57" s="48" t="s">
        <v>270</v>
      </c>
      <c r="K57" s="48" t="s">
        <v>277</v>
      </c>
      <c r="L57" s="48" t="s">
        <v>262</v>
      </c>
      <c r="M57" s="48" t="s">
        <v>274</v>
      </c>
      <c r="N57" s="48" t="s">
        <v>259</v>
      </c>
      <c r="O57" s="49">
        <v>61004</v>
      </c>
      <c r="P57" s="49">
        <v>18391</v>
      </c>
      <c r="Q57" s="50">
        <v>0.3</v>
      </c>
      <c r="S57" s="48" t="s">
        <v>272</v>
      </c>
      <c r="T57" s="48" t="s">
        <v>254</v>
      </c>
      <c r="U57" s="48" t="s">
        <v>262</v>
      </c>
      <c r="V57" s="48" t="s">
        <v>233</v>
      </c>
      <c r="W57" s="48" t="s">
        <v>255</v>
      </c>
      <c r="X57" s="49">
        <v>27944</v>
      </c>
      <c r="Y57" s="49">
        <v>5647</v>
      </c>
      <c r="Z57" s="50">
        <v>0.2</v>
      </c>
    </row>
    <row r="58" spans="1:26">
      <c r="A58" s="48" t="s">
        <v>249</v>
      </c>
      <c r="B58" s="48" t="s">
        <v>277</v>
      </c>
      <c r="C58" s="48" t="s">
        <v>262</v>
      </c>
      <c r="D58" s="48" t="s">
        <v>274</v>
      </c>
      <c r="E58" s="48" t="s">
        <v>259</v>
      </c>
      <c r="F58" s="49">
        <v>19832</v>
      </c>
      <c r="G58" s="49">
        <v>6328</v>
      </c>
      <c r="H58" s="50">
        <v>0.32</v>
      </c>
      <c r="J58" s="48" t="s">
        <v>270</v>
      </c>
      <c r="K58" s="48" t="s">
        <v>258</v>
      </c>
      <c r="L58" s="48" t="s">
        <v>262</v>
      </c>
      <c r="M58" s="48" t="s">
        <v>233</v>
      </c>
      <c r="N58" s="48" t="s">
        <v>259</v>
      </c>
      <c r="O58" s="49">
        <v>57694</v>
      </c>
      <c r="P58" s="49">
        <v>17416</v>
      </c>
      <c r="Q58" s="50">
        <v>0.3</v>
      </c>
      <c r="S58" s="48" t="s">
        <v>272</v>
      </c>
      <c r="T58" s="48" t="s">
        <v>277</v>
      </c>
      <c r="U58" s="48" t="s">
        <v>262</v>
      </c>
      <c r="V58" s="48" t="s">
        <v>274</v>
      </c>
      <c r="W58" s="48" t="s">
        <v>259</v>
      </c>
      <c r="X58" s="49">
        <v>27374</v>
      </c>
      <c r="Y58" s="49">
        <v>5558</v>
      </c>
      <c r="Z58" s="50">
        <v>0.2</v>
      </c>
    </row>
    <row r="59" spans="1:26">
      <c r="A59" s="48" t="s">
        <v>249</v>
      </c>
      <c r="B59" s="48" t="s">
        <v>284</v>
      </c>
      <c r="C59" s="48" t="s">
        <v>262</v>
      </c>
      <c r="D59" s="48" t="s">
        <v>206</v>
      </c>
      <c r="E59" s="48" t="s">
        <v>259</v>
      </c>
      <c r="F59" s="49">
        <v>19969</v>
      </c>
      <c r="G59" s="49">
        <v>5890</v>
      </c>
      <c r="H59" s="50">
        <v>0.28999999999999998</v>
      </c>
      <c r="J59" s="48" t="s">
        <v>270</v>
      </c>
      <c r="K59" s="48" t="s">
        <v>256</v>
      </c>
      <c r="L59" s="48" t="s">
        <v>262</v>
      </c>
      <c r="M59" s="48" t="s">
        <v>233</v>
      </c>
      <c r="N59" s="48" t="s">
        <v>257</v>
      </c>
      <c r="O59" s="49">
        <v>57130</v>
      </c>
      <c r="P59" s="49">
        <v>17364</v>
      </c>
      <c r="Q59" s="50">
        <v>0.3</v>
      </c>
      <c r="S59" s="48" t="s">
        <v>272</v>
      </c>
      <c r="T59" s="48" t="s">
        <v>286</v>
      </c>
      <c r="U59" s="48" t="s">
        <v>262</v>
      </c>
      <c r="V59" s="48" t="s">
        <v>206</v>
      </c>
      <c r="W59" s="48" t="s">
        <v>257</v>
      </c>
      <c r="X59" s="49">
        <v>24892</v>
      </c>
      <c r="Y59" s="49">
        <v>5020</v>
      </c>
      <c r="Z59" s="50">
        <v>0.2</v>
      </c>
    </row>
    <row r="60" spans="1:26">
      <c r="A60" s="48" t="s">
        <v>249</v>
      </c>
      <c r="B60" s="48" t="s">
        <v>286</v>
      </c>
      <c r="C60" s="48" t="s">
        <v>262</v>
      </c>
      <c r="D60" s="48" t="s">
        <v>206</v>
      </c>
      <c r="E60" s="48" t="s">
        <v>257</v>
      </c>
      <c r="F60" s="49">
        <v>22641</v>
      </c>
      <c r="G60" s="49">
        <v>6268</v>
      </c>
      <c r="H60" s="50">
        <v>0.28000000000000003</v>
      </c>
      <c r="J60" s="48" t="s">
        <v>270</v>
      </c>
      <c r="K60" s="48" t="s">
        <v>273</v>
      </c>
      <c r="L60" s="48" t="s">
        <v>262</v>
      </c>
      <c r="M60" s="48" t="s">
        <v>274</v>
      </c>
      <c r="N60" s="48" t="s">
        <v>251</v>
      </c>
      <c r="O60" s="49">
        <v>98092</v>
      </c>
      <c r="P60" s="49">
        <v>28801</v>
      </c>
      <c r="Q60" s="50">
        <v>0.28999999999999998</v>
      </c>
      <c r="S60" s="48" t="s">
        <v>272</v>
      </c>
      <c r="T60" s="48" t="s">
        <v>273</v>
      </c>
      <c r="U60" s="48" t="s">
        <v>262</v>
      </c>
      <c r="V60" s="48" t="s">
        <v>274</v>
      </c>
      <c r="W60" s="48" t="s">
        <v>251</v>
      </c>
      <c r="X60" s="49">
        <v>4184</v>
      </c>
      <c r="Y60" s="49">
        <v>841</v>
      </c>
      <c r="Z60" s="50">
        <v>0.2</v>
      </c>
    </row>
    <row r="61" spans="1:26">
      <c r="A61" s="48" t="s">
        <v>249</v>
      </c>
      <c r="B61" s="48" t="s">
        <v>250</v>
      </c>
      <c r="C61" s="48" t="s">
        <v>263</v>
      </c>
      <c r="D61" s="48" t="s">
        <v>233</v>
      </c>
      <c r="E61" s="48" t="s">
        <v>251</v>
      </c>
      <c r="F61" s="49">
        <v>7276</v>
      </c>
      <c r="G61" s="49">
        <v>2598</v>
      </c>
      <c r="H61" s="50">
        <v>0.36</v>
      </c>
      <c r="J61" s="48" t="s">
        <v>270</v>
      </c>
      <c r="K61" s="48" t="s">
        <v>282</v>
      </c>
      <c r="L61" s="48" t="s">
        <v>263</v>
      </c>
      <c r="M61" s="48" t="s">
        <v>206</v>
      </c>
      <c r="N61" s="48" t="s">
        <v>280</v>
      </c>
      <c r="O61" s="49">
        <v>23094</v>
      </c>
      <c r="P61" s="49">
        <v>7073</v>
      </c>
      <c r="Q61" s="50">
        <v>0.31</v>
      </c>
      <c r="S61" s="48" t="s">
        <v>272</v>
      </c>
      <c r="T61" s="48" t="s">
        <v>279</v>
      </c>
      <c r="U61" s="48" t="s">
        <v>263</v>
      </c>
      <c r="V61" s="48" t="s">
        <v>274</v>
      </c>
      <c r="W61" s="48" t="s">
        <v>280</v>
      </c>
      <c r="X61" s="49">
        <v>13946</v>
      </c>
      <c r="Y61" s="49">
        <v>3708</v>
      </c>
      <c r="Z61" s="50">
        <v>0.27</v>
      </c>
    </row>
    <row r="62" spans="1:26">
      <c r="A62" s="48" t="s">
        <v>249</v>
      </c>
      <c r="B62" s="48" t="s">
        <v>252</v>
      </c>
      <c r="C62" s="48" t="s">
        <v>263</v>
      </c>
      <c r="D62" s="48" t="s">
        <v>233</v>
      </c>
      <c r="E62" s="48" t="s">
        <v>239</v>
      </c>
      <c r="F62" s="49">
        <v>7790</v>
      </c>
      <c r="G62" s="49">
        <v>2757</v>
      </c>
      <c r="H62" s="50">
        <v>0.35</v>
      </c>
      <c r="J62" s="48" t="s">
        <v>270</v>
      </c>
      <c r="K62" s="48" t="s">
        <v>285</v>
      </c>
      <c r="L62" s="48" t="s">
        <v>263</v>
      </c>
      <c r="M62" s="48" t="s">
        <v>206</v>
      </c>
      <c r="N62" s="48" t="s">
        <v>251</v>
      </c>
      <c r="O62" s="49">
        <v>21393</v>
      </c>
      <c r="P62" s="49">
        <v>6602</v>
      </c>
      <c r="Q62" s="50">
        <v>0.31</v>
      </c>
      <c r="S62" s="48" t="s">
        <v>272</v>
      </c>
      <c r="T62" s="48" t="s">
        <v>282</v>
      </c>
      <c r="U62" s="48" t="s">
        <v>263</v>
      </c>
      <c r="V62" s="48" t="s">
        <v>206</v>
      </c>
      <c r="W62" s="48" t="s">
        <v>280</v>
      </c>
      <c r="X62" s="49">
        <v>10763</v>
      </c>
      <c r="Y62" s="49">
        <v>2896</v>
      </c>
      <c r="Z62" s="50">
        <v>0.27</v>
      </c>
    </row>
    <row r="63" spans="1:26">
      <c r="A63" s="48" t="s">
        <v>249</v>
      </c>
      <c r="B63" s="48" t="s">
        <v>273</v>
      </c>
      <c r="C63" s="48" t="s">
        <v>263</v>
      </c>
      <c r="D63" s="48" t="s">
        <v>274</v>
      </c>
      <c r="E63" s="48" t="s">
        <v>251</v>
      </c>
      <c r="F63" s="49">
        <v>4952</v>
      </c>
      <c r="G63" s="49">
        <v>1754</v>
      </c>
      <c r="H63" s="50">
        <v>0.35</v>
      </c>
      <c r="J63" s="48" t="s">
        <v>270</v>
      </c>
      <c r="K63" s="48" t="s">
        <v>283</v>
      </c>
      <c r="L63" s="48" t="s">
        <v>263</v>
      </c>
      <c r="M63" s="48" t="s">
        <v>206</v>
      </c>
      <c r="N63" s="48" t="s">
        <v>239</v>
      </c>
      <c r="O63" s="49">
        <v>16467</v>
      </c>
      <c r="P63" s="49">
        <v>5142</v>
      </c>
      <c r="Q63" s="50">
        <v>0.31</v>
      </c>
      <c r="S63" s="48" t="s">
        <v>272</v>
      </c>
      <c r="T63" s="48" t="s">
        <v>285</v>
      </c>
      <c r="U63" s="48" t="s">
        <v>263</v>
      </c>
      <c r="V63" s="48" t="s">
        <v>206</v>
      </c>
      <c r="W63" s="48" t="s">
        <v>251</v>
      </c>
      <c r="X63" s="49">
        <v>7548</v>
      </c>
      <c r="Y63" s="49">
        <v>2030</v>
      </c>
      <c r="Z63" s="50">
        <v>0.27</v>
      </c>
    </row>
    <row r="64" spans="1:26">
      <c r="A64" s="48" t="s">
        <v>249</v>
      </c>
      <c r="B64" s="48" t="s">
        <v>253</v>
      </c>
      <c r="C64" s="48" t="s">
        <v>263</v>
      </c>
      <c r="D64" s="48" t="s">
        <v>233</v>
      </c>
      <c r="E64" s="48" t="s">
        <v>234</v>
      </c>
      <c r="F64" s="49">
        <v>9664</v>
      </c>
      <c r="G64" s="49">
        <v>3220</v>
      </c>
      <c r="H64" s="50">
        <v>0.33</v>
      </c>
      <c r="J64" s="48" t="s">
        <v>270</v>
      </c>
      <c r="K64" s="48" t="s">
        <v>279</v>
      </c>
      <c r="L64" s="48" t="s">
        <v>263</v>
      </c>
      <c r="M64" s="48" t="s">
        <v>274</v>
      </c>
      <c r="N64" s="48" t="s">
        <v>280</v>
      </c>
      <c r="O64" s="49">
        <v>27121</v>
      </c>
      <c r="P64" s="49">
        <v>8142</v>
      </c>
      <c r="Q64" s="50">
        <v>0.3</v>
      </c>
      <c r="S64" s="48" t="s">
        <v>272</v>
      </c>
      <c r="T64" s="48" t="s">
        <v>252</v>
      </c>
      <c r="U64" s="48" t="s">
        <v>263</v>
      </c>
      <c r="V64" s="48" t="s">
        <v>233</v>
      </c>
      <c r="W64" s="48" t="s">
        <v>239</v>
      </c>
      <c r="X64" s="49">
        <v>32245</v>
      </c>
      <c r="Y64" s="49">
        <v>8032</v>
      </c>
      <c r="Z64" s="50">
        <v>0.25</v>
      </c>
    </row>
    <row r="65" spans="1:26">
      <c r="A65" s="48" t="s">
        <v>249</v>
      </c>
      <c r="B65" s="48" t="s">
        <v>254</v>
      </c>
      <c r="C65" s="48" t="s">
        <v>263</v>
      </c>
      <c r="D65" s="48" t="s">
        <v>233</v>
      </c>
      <c r="E65" s="48" t="s">
        <v>255</v>
      </c>
      <c r="F65" s="49">
        <v>10229</v>
      </c>
      <c r="G65" s="49">
        <v>3299</v>
      </c>
      <c r="H65" s="50">
        <v>0.32</v>
      </c>
      <c r="J65" s="48" t="s">
        <v>270</v>
      </c>
      <c r="K65" s="48" t="s">
        <v>252</v>
      </c>
      <c r="L65" s="48" t="s">
        <v>263</v>
      </c>
      <c r="M65" s="48" t="s">
        <v>233</v>
      </c>
      <c r="N65" s="48" t="s">
        <v>239</v>
      </c>
      <c r="O65" s="49">
        <v>39043</v>
      </c>
      <c r="P65" s="49">
        <v>11264</v>
      </c>
      <c r="Q65" s="50">
        <v>0.28999999999999998</v>
      </c>
      <c r="S65" s="48" t="s">
        <v>272</v>
      </c>
      <c r="T65" s="48" t="s">
        <v>250</v>
      </c>
      <c r="U65" s="48" t="s">
        <v>263</v>
      </c>
      <c r="V65" s="48" t="s">
        <v>233</v>
      </c>
      <c r="W65" s="48" t="s">
        <v>251</v>
      </c>
      <c r="X65" s="49">
        <v>30686</v>
      </c>
      <c r="Y65" s="49">
        <v>7613</v>
      </c>
      <c r="Z65" s="50">
        <v>0.25</v>
      </c>
    </row>
    <row r="66" spans="1:26">
      <c r="A66" s="48" t="s">
        <v>249</v>
      </c>
      <c r="B66" s="48" t="s">
        <v>258</v>
      </c>
      <c r="C66" s="48" t="s">
        <v>263</v>
      </c>
      <c r="D66" s="48" t="s">
        <v>233</v>
      </c>
      <c r="E66" s="48" t="s">
        <v>259</v>
      </c>
      <c r="F66" s="49">
        <v>8851</v>
      </c>
      <c r="G66" s="49">
        <v>2766</v>
      </c>
      <c r="H66" s="50">
        <v>0.31</v>
      </c>
      <c r="J66" s="48" t="s">
        <v>270</v>
      </c>
      <c r="K66" s="48" t="s">
        <v>250</v>
      </c>
      <c r="L66" s="48" t="s">
        <v>263</v>
      </c>
      <c r="M66" s="48" t="s">
        <v>233</v>
      </c>
      <c r="N66" s="48" t="s">
        <v>251</v>
      </c>
      <c r="O66" s="49">
        <v>38793</v>
      </c>
      <c r="P66" s="49">
        <v>11152</v>
      </c>
      <c r="Q66" s="50">
        <v>0.28999999999999998</v>
      </c>
      <c r="S66" s="48" t="s">
        <v>272</v>
      </c>
      <c r="T66" s="48" t="s">
        <v>281</v>
      </c>
      <c r="U66" s="48" t="s">
        <v>263</v>
      </c>
      <c r="V66" s="48" t="s">
        <v>206</v>
      </c>
      <c r="W66" s="48" t="s">
        <v>255</v>
      </c>
      <c r="X66" s="49">
        <v>20939</v>
      </c>
      <c r="Y66" s="49">
        <v>5136</v>
      </c>
      <c r="Z66" s="50">
        <v>0.25</v>
      </c>
    </row>
    <row r="67" spans="1:26">
      <c r="A67" s="48" t="s">
        <v>249</v>
      </c>
      <c r="B67" s="48" t="s">
        <v>278</v>
      </c>
      <c r="C67" s="48" t="s">
        <v>263</v>
      </c>
      <c r="D67" s="48" t="s">
        <v>274</v>
      </c>
      <c r="E67" s="48" t="s">
        <v>255</v>
      </c>
      <c r="F67" s="49">
        <v>15695</v>
      </c>
      <c r="G67" s="49">
        <v>4653</v>
      </c>
      <c r="H67" s="50">
        <v>0.3</v>
      </c>
      <c r="J67" s="48" t="s">
        <v>270</v>
      </c>
      <c r="K67" s="48" t="s">
        <v>276</v>
      </c>
      <c r="L67" s="48" t="s">
        <v>263</v>
      </c>
      <c r="M67" s="48" t="s">
        <v>274</v>
      </c>
      <c r="N67" s="48" t="s">
        <v>239</v>
      </c>
      <c r="O67" s="49">
        <v>27055</v>
      </c>
      <c r="P67" s="49">
        <v>7913</v>
      </c>
      <c r="Q67" s="50">
        <v>0.28999999999999998</v>
      </c>
      <c r="S67" s="48" t="s">
        <v>272</v>
      </c>
      <c r="T67" s="48" t="s">
        <v>283</v>
      </c>
      <c r="U67" s="48" t="s">
        <v>263</v>
      </c>
      <c r="V67" s="48" t="s">
        <v>206</v>
      </c>
      <c r="W67" s="48" t="s">
        <v>239</v>
      </c>
      <c r="X67" s="49">
        <v>15242</v>
      </c>
      <c r="Y67" s="49">
        <v>3774</v>
      </c>
      <c r="Z67" s="50">
        <v>0.25</v>
      </c>
    </row>
    <row r="68" spans="1:26">
      <c r="A68" s="48" t="s">
        <v>249</v>
      </c>
      <c r="B68" s="48" t="s">
        <v>276</v>
      </c>
      <c r="C68" s="48" t="s">
        <v>263</v>
      </c>
      <c r="D68" s="48" t="s">
        <v>274</v>
      </c>
      <c r="E68" s="48" t="s">
        <v>239</v>
      </c>
      <c r="F68" s="49">
        <v>12153</v>
      </c>
      <c r="G68" s="49">
        <v>3695</v>
      </c>
      <c r="H68" s="50">
        <v>0.3</v>
      </c>
      <c r="J68" s="48" t="s">
        <v>270</v>
      </c>
      <c r="K68" s="48" t="s">
        <v>281</v>
      </c>
      <c r="L68" s="48" t="s">
        <v>263</v>
      </c>
      <c r="M68" s="48" t="s">
        <v>206</v>
      </c>
      <c r="N68" s="48" t="s">
        <v>255</v>
      </c>
      <c r="O68" s="49">
        <v>24230</v>
      </c>
      <c r="P68" s="49">
        <v>6982</v>
      </c>
      <c r="Q68" s="50">
        <v>0.28999999999999998</v>
      </c>
      <c r="S68" s="48" t="s">
        <v>272</v>
      </c>
      <c r="T68" s="48" t="s">
        <v>276</v>
      </c>
      <c r="U68" s="48" t="s">
        <v>263</v>
      </c>
      <c r="V68" s="48" t="s">
        <v>274</v>
      </c>
      <c r="W68" s="48" t="s">
        <v>239</v>
      </c>
      <c r="X68" s="49">
        <v>31219</v>
      </c>
      <c r="Y68" s="49">
        <v>7365</v>
      </c>
      <c r="Z68" s="50">
        <v>0.24</v>
      </c>
    </row>
    <row r="69" spans="1:26">
      <c r="A69" s="48" t="s">
        <v>249</v>
      </c>
      <c r="B69" s="48" t="s">
        <v>256</v>
      </c>
      <c r="C69" s="48" t="s">
        <v>263</v>
      </c>
      <c r="D69" s="48" t="s">
        <v>233</v>
      </c>
      <c r="E69" s="48" t="s">
        <v>257</v>
      </c>
      <c r="F69" s="49">
        <v>9128</v>
      </c>
      <c r="G69" s="49">
        <v>2773</v>
      </c>
      <c r="H69" s="50">
        <v>0.3</v>
      </c>
      <c r="J69" s="48" t="s">
        <v>270</v>
      </c>
      <c r="K69" s="48" t="s">
        <v>273</v>
      </c>
      <c r="L69" s="48" t="s">
        <v>263</v>
      </c>
      <c r="M69" s="48" t="s">
        <v>274</v>
      </c>
      <c r="N69" s="48" t="s">
        <v>251</v>
      </c>
      <c r="O69" s="49">
        <v>35868</v>
      </c>
      <c r="P69" s="49">
        <v>10162</v>
      </c>
      <c r="Q69" s="50">
        <v>0.28000000000000003</v>
      </c>
      <c r="S69" s="48" t="s">
        <v>272</v>
      </c>
      <c r="T69" s="48" t="s">
        <v>278</v>
      </c>
      <c r="U69" s="48" t="s">
        <v>263</v>
      </c>
      <c r="V69" s="48" t="s">
        <v>274</v>
      </c>
      <c r="W69" s="48" t="s">
        <v>255</v>
      </c>
      <c r="X69" s="49">
        <v>30693</v>
      </c>
      <c r="Y69" s="49">
        <v>7285</v>
      </c>
      <c r="Z69" s="50">
        <v>0.24</v>
      </c>
    </row>
    <row r="70" spans="1:26">
      <c r="A70" s="48" t="s">
        <v>249</v>
      </c>
      <c r="B70" s="48" t="s">
        <v>279</v>
      </c>
      <c r="C70" s="48" t="s">
        <v>263</v>
      </c>
      <c r="D70" s="48" t="s">
        <v>274</v>
      </c>
      <c r="E70" s="48" t="s">
        <v>280</v>
      </c>
      <c r="F70" s="49">
        <v>19064</v>
      </c>
      <c r="G70" s="49">
        <v>5539</v>
      </c>
      <c r="H70" s="50">
        <v>0.28999999999999998</v>
      </c>
      <c r="J70" s="48" t="s">
        <v>270</v>
      </c>
      <c r="K70" s="48" t="s">
        <v>278</v>
      </c>
      <c r="L70" s="48" t="s">
        <v>263</v>
      </c>
      <c r="M70" s="48" t="s">
        <v>274</v>
      </c>
      <c r="N70" s="48" t="s">
        <v>255</v>
      </c>
      <c r="O70" s="49">
        <v>31863</v>
      </c>
      <c r="P70" s="49">
        <v>8895</v>
      </c>
      <c r="Q70" s="50">
        <v>0.28000000000000003</v>
      </c>
      <c r="S70" s="48" t="s">
        <v>272</v>
      </c>
      <c r="T70" s="48" t="s">
        <v>284</v>
      </c>
      <c r="U70" s="48" t="s">
        <v>263</v>
      </c>
      <c r="V70" s="48" t="s">
        <v>206</v>
      </c>
      <c r="W70" s="48" t="s">
        <v>259</v>
      </c>
      <c r="X70" s="49">
        <v>24476</v>
      </c>
      <c r="Y70" s="49">
        <v>5765</v>
      </c>
      <c r="Z70" s="50">
        <v>0.24</v>
      </c>
    </row>
    <row r="71" spans="1:26">
      <c r="A71" s="48" t="s">
        <v>249</v>
      </c>
      <c r="B71" s="48" t="s">
        <v>282</v>
      </c>
      <c r="C71" s="48" t="s">
        <v>263</v>
      </c>
      <c r="D71" s="48" t="s">
        <v>206</v>
      </c>
      <c r="E71" s="48" t="s">
        <v>280</v>
      </c>
      <c r="F71" s="49">
        <v>20126</v>
      </c>
      <c r="G71" s="49">
        <v>5587</v>
      </c>
      <c r="H71" s="50">
        <v>0.28000000000000003</v>
      </c>
      <c r="J71" s="48" t="s">
        <v>270</v>
      </c>
      <c r="K71" s="48" t="s">
        <v>253</v>
      </c>
      <c r="L71" s="48" t="s">
        <v>263</v>
      </c>
      <c r="M71" s="48" t="s">
        <v>233</v>
      </c>
      <c r="N71" s="48" t="s">
        <v>234</v>
      </c>
      <c r="O71" s="49">
        <v>36928</v>
      </c>
      <c r="P71" s="49">
        <v>10034</v>
      </c>
      <c r="Q71" s="50">
        <v>0.27</v>
      </c>
      <c r="S71" s="48" t="s">
        <v>272</v>
      </c>
      <c r="T71" s="48" t="s">
        <v>253</v>
      </c>
      <c r="U71" s="48" t="s">
        <v>263</v>
      </c>
      <c r="V71" s="48" t="s">
        <v>233</v>
      </c>
      <c r="W71" s="48" t="s">
        <v>234</v>
      </c>
      <c r="X71" s="49">
        <v>36676</v>
      </c>
      <c r="Y71" s="49">
        <v>8404</v>
      </c>
      <c r="Z71" s="50">
        <v>0.23</v>
      </c>
    </row>
    <row r="72" spans="1:26">
      <c r="A72" s="48" t="s">
        <v>249</v>
      </c>
      <c r="B72" s="48" t="s">
        <v>283</v>
      </c>
      <c r="C72" s="48" t="s">
        <v>263</v>
      </c>
      <c r="D72" s="48" t="s">
        <v>206</v>
      </c>
      <c r="E72" s="48" t="s">
        <v>239</v>
      </c>
      <c r="F72" s="49">
        <v>17292</v>
      </c>
      <c r="G72" s="49">
        <v>4783</v>
      </c>
      <c r="H72" s="50">
        <v>0.28000000000000003</v>
      </c>
      <c r="J72" s="48" t="s">
        <v>270</v>
      </c>
      <c r="K72" s="48" t="s">
        <v>254</v>
      </c>
      <c r="L72" s="48" t="s">
        <v>263</v>
      </c>
      <c r="M72" s="48" t="s">
        <v>233</v>
      </c>
      <c r="N72" s="48" t="s">
        <v>255</v>
      </c>
      <c r="O72" s="49">
        <v>36779</v>
      </c>
      <c r="P72" s="49">
        <v>10044</v>
      </c>
      <c r="Q72" s="50">
        <v>0.27</v>
      </c>
      <c r="S72" s="48" t="s">
        <v>272</v>
      </c>
      <c r="T72" s="48" t="s">
        <v>277</v>
      </c>
      <c r="U72" s="48" t="s">
        <v>263</v>
      </c>
      <c r="V72" s="48" t="s">
        <v>274</v>
      </c>
      <c r="W72" s="48" t="s">
        <v>259</v>
      </c>
      <c r="X72" s="49">
        <v>36435</v>
      </c>
      <c r="Y72" s="49">
        <v>8247</v>
      </c>
      <c r="Z72" s="50">
        <v>0.23</v>
      </c>
    </row>
    <row r="73" spans="1:26">
      <c r="A73" s="48" t="s">
        <v>249</v>
      </c>
      <c r="B73" s="48" t="s">
        <v>275</v>
      </c>
      <c r="C73" s="48" t="s">
        <v>263</v>
      </c>
      <c r="D73" s="48" t="s">
        <v>274</v>
      </c>
      <c r="E73" s="48" t="s">
        <v>257</v>
      </c>
      <c r="F73" s="49">
        <v>7270</v>
      </c>
      <c r="G73" s="49">
        <v>2037</v>
      </c>
      <c r="H73" s="50">
        <v>0.28000000000000003</v>
      </c>
      <c r="J73" s="48" t="s">
        <v>270</v>
      </c>
      <c r="K73" s="48" t="s">
        <v>284</v>
      </c>
      <c r="L73" s="48" t="s">
        <v>263</v>
      </c>
      <c r="M73" s="48" t="s">
        <v>206</v>
      </c>
      <c r="N73" s="48" t="s">
        <v>259</v>
      </c>
      <c r="O73" s="49">
        <v>24724</v>
      </c>
      <c r="P73" s="49">
        <v>6604</v>
      </c>
      <c r="Q73" s="50">
        <v>0.27</v>
      </c>
      <c r="S73" s="48" t="s">
        <v>272</v>
      </c>
      <c r="T73" s="48" t="s">
        <v>254</v>
      </c>
      <c r="U73" s="48" t="s">
        <v>263</v>
      </c>
      <c r="V73" s="48" t="s">
        <v>233</v>
      </c>
      <c r="W73" s="48" t="s">
        <v>255</v>
      </c>
      <c r="X73" s="49">
        <v>36076</v>
      </c>
      <c r="Y73" s="49">
        <v>8198</v>
      </c>
      <c r="Z73" s="50">
        <v>0.23</v>
      </c>
    </row>
    <row r="74" spans="1:26">
      <c r="A74" s="48" t="s">
        <v>249</v>
      </c>
      <c r="B74" s="48" t="s">
        <v>285</v>
      </c>
      <c r="C74" s="48" t="s">
        <v>263</v>
      </c>
      <c r="D74" s="48" t="s">
        <v>206</v>
      </c>
      <c r="E74" s="48" t="s">
        <v>251</v>
      </c>
      <c r="F74" s="49">
        <v>20625</v>
      </c>
      <c r="G74" s="49">
        <v>5555</v>
      </c>
      <c r="H74" s="50">
        <v>0.27</v>
      </c>
      <c r="J74" s="48" t="s">
        <v>270</v>
      </c>
      <c r="K74" s="48" t="s">
        <v>275</v>
      </c>
      <c r="L74" s="48" t="s">
        <v>263</v>
      </c>
      <c r="M74" s="48" t="s">
        <v>274</v>
      </c>
      <c r="N74" s="48" t="s">
        <v>257</v>
      </c>
      <c r="O74" s="49">
        <v>37475</v>
      </c>
      <c r="P74" s="49">
        <v>9612</v>
      </c>
      <c r="Q74" s="50">
        <v>0.26</v>
      </c>
      <c r="S74" s="48" t="s">
        <v>272</v>
      </c>
      <c r="T74" s="48" t="s">
        <v>273</v>
      </c>
      <c r="U74" s="48" t="s">
        <v>263</v>
      </c>
      <c r="V74" s="48" t="s">
        <v>274</v>
      </c>
      <c r="W74" s="48" t="s">
        <v>251</v>
      </c>
      <c r="X74" s="49">
        <v>33390</v>
      </c>
      <c r="Y74" s="49">
        <v>7839</v>
      </c>
      <c r="Z74" s="50">
        <v>0.23</v>
      </c>
    </row>
    <row r="75" spans="1:26">
      <c r="A75" s="48" t="s">
        <v>249</v>
      </c>
      <c r="B75" s="48" t="s">
        <v>281</v>
      </c>
      <c r="C75" s="48" t="s">
        <v>263</v>
      </c>
      <c r="D75" s="48" t="s">
        <v>206</v>
      </c>
      <c r="E75" s="48" t="s">
        <v>255</v>
      </c>
      <c r="F75" s="49">
        <v>19973</v>
      </c>
      <c r="G75" s="49">
        <v>5296</v>
      </c>
      <c r="H75" s="50">
        <v>0.27</v>
      </c>
      <c r="J75" s="48" t="s">
        <v>270</v>
      </c>
      <c r="K75" s="48" t="s">
        <v>258</v>
      </c>
      <c r="L75" s="48" t="s">
        <v>263</v>
      </c>
      <c r="M75" s="48" t="s">
        <v>233</v>
      </c>
      <c r="N75" s="48" t="s">
        <v>259</v>
      </c>
      <c r="O75" s="49">
        <v>36802</v>
      </c>
      <c r="P75" s="49">
        <v>9593</v>
      </c>
      <c r="Q75" s="50">
        <v>0.26</v>
      </c>
      <c r="S75" s="48" t="s">
        <v>272</v>
      </c>
      <c r="T75" s="48" t="s">
        <v>286</v>
      </c>
      <c r="U75" s="48" t="s">
        <v>263</v>
      </c>
      <c r="V75" s="48" t="s">
        <v>206</v>
      </c>
      <c r="W75" s="48" t="s">
        <v>257</v>
      </c>
      <c r="X75" s="49">
        <v>25097</v>
      </c>
      <c r="Y75" s="49">
        <v>5799</v>
      </c>
      <c r="Z75" s="50">
        <v>0.23</v>
      </c>
    </row>
    <row r="76" spans="1:26">
      <c r="A76" s="48" t="s">
        <v>249</v>
      </c>
      <c r="B76" s="48" t="s">
        <v>277</v>
      </c>
      <c r="C76" s="48" t="s">
        <v>263</v>
      </c>
      <c r="D76" s="48" t="s">
        <v>274</v>
      </c>
      <c r="E76" s="48" t="s">
        <v>259</v>
      </c>
      <c r="F76" s="49">
        <v>12122</v>
      </c>
      <c r="G76" s="49">
        <v>3295</v>
      </c>
      <c r="H76" s="50">
        <v>0.27</v>
      </c>
      <c r="J76" s="48" t="s">
        <v>270</v>
      </c>
      <c r="K76" s="48" t="s">
        <v>256</v>
      </c>
      <c r="L76" s="48" t="s">
        <v>263</v>
      </c>
      <c r="M76" s="48" t="s">
        <v>233</v>
      </c>
      <c r="N76" s="48" t="s">
        <v>257</v>
      </c>
      <c r="O76" s="49">
        <v>36362</v>
      </c>
      <c r="P76" s="49">
        <v>9540</v>
      </c>
      <c r="Q76" s="50">
        <v>0.26</v>
      </c>
      <c r="S76" s="48" t="s">
        <v>272</v>
      </c>
      <c r="T76" s="48" t="s">
        <v>275</v>
      </c>
      <c r="U76" s="48" t="s">
        <v>263</v>
      </c>
      <c r="V76" s="48" t="s">
        <v>274</v>
      </c>
      <c r="W76" s="48" t="s">
        <v>257</v>
      </c>
      <c r="X76" s="49">
        <v>38471</v>
      </c>
      <c r="Y76" s="49">
        <v>8605</v>
      </c>
      <c r="Z76" s="50">
        <v>0.22</v>
      </c>
    </row>
    <row r="77" spans="1:26">
      <c r="A77" s="48" t="s">
        <v>249</v>
      </c>
      <c r="B77" s="48" t="s">
        <v>284</v>
      </c>
      <c r="C77" s="48" t="s">
        <v>263</v>
      </c>
      <c r="D77" s="48" t="s">
        <v>206</v>
      </c>
      <c r="E77" s="48" t="s">
        <v>259</v>
      </c>
      <c r="F77" s="49">
        <v>19819</v>
      </c>
      <c r="G77" s="49">
        <v>4679</v>
      </c>
      <c r="H77" s="50">
        <v>0.24</v>
      </c>
      <c r="J77" s="48" t="s">
        <v>270</v>
      </c>
      <c r="K77" s="48" t="s">
        <v>277</v>
      </c>
      <c r="L77" s="48" t="s">
        <v>263</v>
      </c>
      <c r="M77" s="48" t="s">
        <v>274</v>
      </c>
      <c r="N77" s="48" t="s">
        <v>259</v>
      </c>
      <c r="O77" s="49">
        <v>33776</v>
      </c>
      <c r="P77" s="49">
        <v>8671</v>
      </c>
      <c r="Q77" s="50">
        <v>0.26</v>
      </c>
      <c r="S77" s="48" t="s">
        <v>272</v>
      </c>
      <c r="T77" s="48" t="s">
        <v>256</v>
      </c>
      <c r="U77" s="48" t="s">
        <v>263</v>
      </c>
      <c r="V77" s="48" t="s">
        <v>233</v>
      </c>
      <c r="W77" s="48" t="s">
        <v>257</v>
      </c>
      <c r="X77" s="49">
        <v>36568</v>
      </c>
      <c r="Y77" s="49">
        <v>8216</v>
      </c>
      <c r="Z77" s="50">
        <v>0.22</v>
      </c>
    </row>
    <row r="78" spans="1:26">
      <c r="A78" s="48" t="s">
        <v>249</v>
      </c>
      <c r="B78" s="48" t="s">
        <v>286</v>
      </c>
      <c r="C78" s="48" t="s">
        <v>263</v>
      </c>
      <c r="D78" s="48" t="s">
        <v>206</v>
      </c>
      <c r="E78" s="48" t="s">
        <v>257</v>
      </c>
      <c r="F78" s="49">
        <v>22985</v>
      </c>
      <c r="G78" s="49">
        <v>5098</v>
      </c>
      <c r="H78" s="50">
        <v>0.22</v>
      </c>
      <c r="J78" s="48" t="s">
        <v>270</v>
      </c>
      <c r="K78" s="48" t="s">
        <v>286</v>
      </c>
      <c r="L78" s="48" t="s">
        <v>263</v>
      </c>
      <c r="M78" s="48" t="s">
        <v>206</v>
      </c>
      <c r="N78" s="48" t="s">
        <v>257</v>
      </c>
      <c r="O78" s="49">
        <v>26703</v>
      </c>
      <c r="P78" s="49">
        <v>7032</v>
      </c>
      <c r="Q78" s="50">
        <v>0.26</v>
      </c>
      <c r="S78" s="48" t="s">
        <v>272</v>
      </c>
      <c r="T78" s="48" t="s">
        <v>258</v>
      </c>
      <c r="U78" s="48" t="s">
        <v>263</v>
      </c>
      <c r="V78" s="48" t="s">
        <v>233</v>
      </c>
      <c r="W78" s="48" t="s">
        <v>259</v>
      </c>
      <c r="X78" s="49">
        <v>36535</v>
      </c>
      <c r="Y78" s="49">
        <v>8157</v>
      </c>
      <c r="Z78" s="50">
        <v>0.22</v>
      </c>
    </row>
    <row r="79" spans="1:26">
      <c r="A79" s="48" t="s">
        <v>249</v>
      </c>
      <c r="B79" s="48" t="s">
        <v>252</v>
      </c>
      <c r="C79" s="48" t="s">
        <v>264</v>
      </c>
      <c r="D79" s="48" t="s">
        <v>233</v>
      </c>
      <c r="E79" s="48" t="s">
        <v>239</v>
      </c>
      <c r="F79" s="49">
        <v>4669</v>
      </c>
      <c r="G79" s="49">
        <v>1672</v>
      </c>
      <c r="H79" s="50">
        <v>0.36</v>
      </c>
      <c r="J79" s="48" t="s">
        <v>270</v>
      </c>
      <c r="K79" s="48" t="s">
        <v>252</v>
      </c>
      <c r="L79" s="48" t="s">
        <v>264</v>
      </c>
      <c r="M79" s="48" t="s">
        <v>233</v>
      </c>
      <c r="N79" s="48" t="s">
        <v>239</v>
      </c>
      <c r="O79" s="49">
        <v>24580</v>
      </c>
      <c r="P79" s="49">
        <v>6819</v>
      </c>
      <c r="Q79" s="50">
        <v>0.28000000000000003</v>
      </c>
      <c r="S79" s="48" t="s">
        <v>272</v>
      </c>
      <c r="T79" s="48" t="s">
        <v>279</v>
      </c>
      <c r="U79" s="48" t="s">
        <v>264</v>
      </c>
      <c r="V79" s="48" t="s">
        <v>274</v>
      </c>
      <c r="W79" s="48" t="s">
        <v>280</v>
      </c>
      <c r="X79" s="49">
        <v>28910</v>
      </c>
      <c r="Y79" s="49">
        <v>7232</v>
      </c>
      <c r="Z79" s="50">
        <v>0.25</v>
      </c>
    </row>
    <row r="80" spans="1:26">
      <c r="A80" s="48" t="s">
        <v>249</v>
      </c>
      <c r="B80" s="48" t="s">
        <v>273</v>
      </c>
      <c r="C80" s="48" t="s">
        <v>264</v>
      </c>
      <c r="D80" s="48" t="s">
        <v>274</v>
      </c>
      <c r="E80" s="48" t="s">
        <v>251</v>
      </c>
      <c r="F80" s="49">
        <v>3035</v>
      </c>
      <c r="G80" s="49">
        <v>1063</v>
      </c>
      <c r="H80" s="50">
        <v>0.35</v>
      </c>
      <c r="J80" s="48" t="s">
        <v>270</v>
      </c>
      <c r="K80" s="48" t="s">
        <v>273</v>
      </c>
      <c r="L80" s="48" t="s">
        <v>264</v>
      </c>
      <c r="M80" s="48" t="s">
        <v>274</v>
      </c>
      <c r="N80" s="48" t="s">
        <v>251</v>
      </c>
      <c r="O80" s="49">
        <v>17639</v>
      </c>
      <c r="P80" s="49">
        <v>4964</v>
      </c>
      <c r="Q80" s="50">
        <v>0.28000000000000003</v>
      </c>
      <c r="S80" s="48" t="s">
        <v>272</v>
      </c>
      <c r="T80" s="48" t="s">
        <v>283</v>
      </c>
      <c r="U80" s="48" t="s">
        <v>264</v>
      </c>
      <c r="V80" s="48" t="s">
        <v>206</v>
      </c>
      <c r="W80" s="48" t="s">
        <v>239</v>
      </c>
      <c r="X80" s="49">
        <v>24442</v>
      </c>
      <c r="Y80" s="49">
        <v>6073</v>
      </c>
      <c r="Z80" s="50">
        <v>0.25</v>
      </c>
    </row>
    <row r="81" spans="1:26">
      <c r="A81" s="48" t="s">
        <v>249</v>
      </c>
      <c r="B81" s="48" t="s">
        <v>250</v>
      </c>
      <c r="C81" s="48" t="s">
        <v>264</v>
      </c>
      <c r="D81" s="48" t="s">
        <v>233</v>
      </c>
      <c r="E81" s="48" t="s">
        <v>251</v>
      </c>
      <c r="F81" s="49">
        <v>4224</v>
      </c>
      <c r="G81" s="49">
        <v>1451</v>
      </c>
      <c r="H81" s="50">
        <v>0.34</v>
      </c>
      <c r="J81" s="48" t="s">
        <v>270</v>
      </c>
      <c r="K81" s="48" t="s">
        <v>276</v>
      </c>
      <c r="L81" s="48" t="s">
        <v>264</v>
      </c>
      <c r="M81" s="48" t="s">
        <v>274</v>
      </c>
      <c r="N81" s="48" t="s">
        <v>239</v>
      </c>
      <c r="O81" s="49">
        <v>16323</v>
      </c>
      <c r="P81" s="49">
        <v>4639</v>
      </c>
      <c r="Q81" s="50">
        <v>0.28000000000000003</v>
      </c>
      <c r="S81" s="48" t="s">
        <v>272</v>
      </c>
      <c r="T81" s="48" t="s">
        <v>282</v>
      </c>
      <c r="U81" s="48" t="s">
        <v>264</v>
      </c>
      <c r="V81" s="48" t="s">
        <v>206</v>
      </c>
      <c r="W81" s="48" t="s">
        <v>280</v>
      </c>
      <c r="X81" s="49">
        <v>23517</v>
      </c>
      <c r="Y81" s="49">
        <v>5974</v>
      </c>
      <c r="Z81" s="50">
        <v>0.25</v>
      </c>
    </row>
    <row r="82" spans="1:26">
      <c r="A82" s="48" t="s">
        <v>249</v>
      </c>
      <c r="B82" s="48" t="s">
        <v>253</v>
      </c>
      <c r="C82" s="48" t="s">
        <v>264</v>
      </c>
      <c r="D82" s="48" t="s">
        <v>233</v>
      </c>
      <c r="E82" s="48" t="s">
        <v>234</v>
      </c>
      <c r="F82" s="49">
        <v>6278</v>
      </c>
      <c r="G82" s="49">
        <v>2078</v>
      </c>
      <c r="H82" s="50">
        <v>0.33</v>
      </c>
      <c r="J82" s="48" t="s">
        <v>270</v>
      </c>
      <c r="K82" s="48" t="s">
        <v>279</v>
      </c>
      <c r="L82" s="48" t="s">
        <v>264</v>
      </c>
      <c r="M82" s="48" t="s">
        <v>274</v>
      </c>
      <c r="N82" s="48" t="s">
        <v>280</v>
      </c>
      <c r="O82" s="49">
        <v>29535</v>
      </c>
      <c r="P82" s="49">
        <v>7900</v>
      </c>
      <c r="Q82" s="50">
        <v>0.27</v>
      </c>
      <c r="S82" s="48" t="s">
        <v>272</v>
      </c>
      <c r="T82" s="48" t="s">
        <v>285</v>
      </c>
      <c r="U82" s="48" t="s">
        <v>264</v>
      </c>
      <c r="V82" s="48" t="s">
        <v>206</v>
      </c>
      <c r="W82" s="48" t="s">
        <v>251</v>
      </c>
      <c r="X82" s="49">
        <v>21178</v>
      </c>
      <c r="Y82" s="49">
        <v>5385</v>
      </c>
      <c r="Z82" s="50">
        <v>0.25</v>
      </c>
    </row>
    <row r="83" spans="1:26">
      <c r="A83" s="48" t="s">
        <v>249</v>
      </c>
      <c r="B83" s="48" t="s">
        <v>254</v>
      </c>
      <c r="C83" s="48" t="s">
        <v>264</v>
      </c>
      <c r="D83" s="48" t="s">
        <v>233</v>
      </c>
      <c r="E83" s="48" t="s">
        <v>255</v>
      </c>
      <c r="F83" s="49">
        <v>7006</v>
      </c>
      <c r="G83" s="49">
        <v>2186</v>
      </c>
      <c r="H83" s="50">
        <v>0.31</v>
      </c>
      <c r="J83" s="48" t="s">
        <v>270</v>
      </c>
      <c r="K83" s="48" t="s">
        <v>250</v>
      </c>
      <c r="L83" s="48" t="s">
        <v>264</v>
      </c>
      <c r="M83" s="48" t="s">
        <v>233</v>
      </c>
      <c r="N83" s="48" t="s">
        <v>251</v>
      </c>
      <c r="O83" s="49">
        <v>24943</v>
      </c>
      <c r="P83" s="49">
        <v>6857</v>
      </c>
      <c r="Q83" s="50">
        <v>0.27</v>
      </c>
      <c r="S83" s="48" t="s">
        <v>272</v>
      </c>
      <c r="T83" s="48" t="s">
        <v>250</v>
      </c>
      <c r="U83" s="48" t="s">
        <v>264</v>
      </c>
      <c r="V83" s="48" t="s">
        <v>233</v>
      </c>
      <c r="W83" s="48" t="s">
        <v>251</v>
      </c>
      <c r="X83" s="49">
        <v>47392</v>
      </c>
      <c r="Y83" s="49">
        <v>11545</v>
      </c>
      <c r="Z83" s="50">
        <v>0.24</v>
      </c>
    </row>
    <row r="84" spans="1:26">
      <c r="A84" s="48" t="s">
        <v>249</v>
      </c>
      <c r="B84" s="48" t="s">
        <v>276</v>
      </c>
      <c r="C84" s="48" t="s">
        <v>264</v>
      </c>
      <c r="D84" s="48" t="s">
        <v>274</v>
      </c>
      <c r="E84" s="48" t="s">
        <v>239</v>
      </c>
      <c r="F84" s="49">
        <v>7669</v>
      </c>
      <c r="G84" s="49">
        <v>2213</v>
      </c>
      <c r="H84" s="50">
        <v>0.28999999999999998</v>
      </c>
      <c r="J84" s="48" t="s">
        <v>270</v>
      </c>
      <c r="K84" s="48" t="s">
        <v>283</v>
      </c>
      <c r="L84" s="48" t="s">
        <v>264</v>
      </c>
      <c r="M84" s="48" t="s">
        <v>206</v>
      </c>
      <c r="N84" s="48" t="s">
        <v>239</v>
      </c>
      <c r="O84" s="49">
        <v>24223</v>
      </c>
      <c r="P84" s="49">
        <v>6466</v>
      </c>
      <c r="Q84" s="50">
        <v>0.27</v>
      </c>
      <c r="S84" s="48" t="s">
        <v>272</v>
      </c>
      <c r="T84" s="48" t="s">
        <v>276</v>
      </c>
      <c r="U84" s="48" t="s">
        <v>264</v>
      </c>
      <c r="V84" s="48" t="s">
        <v>274</v>
      </c>
      <c r="W84" s="48" t="s">
        <v>239</v>
      </c>
      <c r="X84" s="49">
        <v>47154</v>
      </c>
      <c r="Y84" s="49">
        <v>11237</v>
      </c>
      <c r="Z84" s="50">
        <v>0.24</v>
      </c>
    </row>
    <row r="85" spans="1:26">
      <c r="A85" s="48" t="s">
        <v>249</v>
      </c>
      <c r="B85" s="48" t="s">
        <v>256</v>
      </c>
      <c r="C85" s="48" t="s">
        <v>264</v>
      </c>
      <c r="D85" s="48" t="s">
        <v>233</v>
      </c>
      <c r="E85" s="48" t="s">
        <v>257</v>
      </c>
      <c r="F85" s="49">
        <v>6299</v>
      </c>
      <c r="G85" s="49">
        <v>1857</v>
      </c>
      <c r="H85" s="50">
        <v>0.28999999999999998</v>
      </c>
      <c r="J85" s="48" t="s">
        <v>270</v>
      </c>
      <c r="K85" s="48" t="s">
        <v>285</v>
      </c>
      <c r="L85" s="48" t="s">
        <v>264</v>
      </c>
      <c r="M85" s="48" t="s">
        <v>206</v>
      </c>
      <c r="N85" s="48" t="s">
        <v>251</v>
      </c>
      <c r="O85" s="49">
        <v>32797</v>
      </c>
      <c r="P85" s="49">
        <v>8504</v>
      </c>
      <c r="Q85" s="50">
        <v>0.26</v>
      </c>
      <c r="S85" s="48" t="s">
        <v>272</v>
      </c>
      <c r="T85" s="48" t="s">
        <v>252</v>
      </c>
      <c r="U85" s="48" t="s">
        <v>264</v>
      </c>
      <c r="V85" s="48" t="s">
        <v>233</v>
      </c>
      <c r="W85" s="48" t="s">
        <v>239</v>
      </c>
      <c r="X85" s="49">
        <v>45919</v>
      </c>
      <c r="Y85" s="49">
        <v>11154</v>
      </c>
      <c r="Z85" s="50">
        <v>0.24</v>
      </c>
    </row>
    <row r="86" spans="1:26">
      <c r="A86" s="48" t="s">
        <v>249</v>
      </c>
      <c r="B86" s="48" t="s">
        <v>258</v>
      </c>
      <c r="C86" s="48" t="s">
        <v>264</v>
      </c>
      <c r="D86" s="48" t="s">
        <v>233</v>
      </c>
      <c r="E86" s="48" t="s">
        <v>259</v>
      </c>
      <c r="F86" s="49">
        <v>6086</v>
      </c>
      <c r="G86" s="49">
        <v>1792</v>
      </c>
      <c r="H86" s="50">
        <v>0.28999999999999998</v>
      </c>
      <c r="J86" s="48" t="s">
        <v>270</v>
      </c>
      <c r="K86" s="48" t="s">
        <v>282</v>
      </c>
      <c r="L86" s="48" t="s">
        <v>264</v>
      </c>
      <c r="M86" s="48" t="s">
        <v>206</v>
      </c>
      <c r="N86" s="48" t="s">
        <v>280</v>
      </c>
      <c r="O86" s="49">
        <v>30400</v>
      </c>
      <c r="P86" s="49">
        <v>8005</v>
      </c>
      <c r="Q86" s="50">
        <v>0.26</v>
      </c>
      <c r="S86" s="48" t="s">
        <v>272</v>
      </c>
      <c r="T86" s="48" t="s">
        <v>278</v>
      </c>
      <c r="U86" s="48" t="s">
        <v>264</v>
      </c>
      <c r="V86" s="48" t="s">
        <v>274</v>
      </c>
      <c r="W86" s="48" t="s">
        <v>255</v>
      </c>
      <c r="X86" s="49">
        <v>34512</v>
      </c>
      <c r="Y86" s="49">
        <v>8276</v>
      </c>
      <c r="Z86" s="50">
        <v>0.24</v>
      </c>
    </row>
    <row r="87" spans="1:26">
      <c r="A87" s="48" t="s">
        <v>249</v>
      </c>
      <c r="B87" s="48" t="s">
        <v>278</v>
      </c>
      <c r="C87" s="48" t="s">
        <v>264</v>
      </c>
      <c r="D87" s="48" t="s">
        <v>274</v>
      </c>
      <c r="E87" s="48" t="s">
        <v>255</v>
      </c>
      <c r="F87" s="49">
        <v>12982</v>
      </c>
      <c r="G87" s="49">
        <v>3453</v>
      </c>
      <c r="H87" s="50">
        <v>0.27</v>
      </c>
      <c r="J87" s="48" t="s">
        <v>270</v>
      </c>
      <c r="K87" s="48" t="s">
        <v>278</v>
      </c>
      <c r="L87" s="48" t="s">
        <v>264</v>
      </c>
      <c r="M87" s="48" t="s">
        <v>274</v>
      </c>
      <c r="N87" s="48" t="s">
        <v>255</v>
      </c>
      <c r="O87" s="49">
        <v>23365</v>
      </c>
      <c r="P87" s="49">
        <v>6066</v>
      </c>
      <c r="Q87" s="50">
        <v>0.26</v>
      </c>
      <c r="S87" s="48" t="s">
        <v>272</v>
      </c>
      <c r="T87" s="48" t="s">
        <v>286</v>
      </c>
      <c r="U87" s="48" t="s">
        <v>264</v>
      </c>
      <c r="V87" s="48" t="s">
        <v>206</v>
      </c>
      <c r="W87" s="48" t="s">
        <v>257</v>
      </c>
      <c r="X87" s="49">
        <v>25734</v>
      </c>
      <c r="Y87" s="49">
        <v>6075</v>
      </c>
      <c r="Z87" s="50">
        <v>0.24</v>
      </c>
    </row>
    <row r="88" spans="1:26">
      <c r="A88" s="48" t="s">
        <v>249</v>
      </c>
      <c r="B88" s="48" t="s">
        <v>275</v>
      </c>
      <c r="C88" s="48" t="s">
        <v>264</v>
      </c>
      <c r="D88" s="48" t="s">
        <v>274</v>
      </c>
      <c r="E88" s="48" t="s">
        <v>257</v>
      </c>
      <c r="F88" s="49">
        <v>5340</v>
      </c>
      <c r="G88" s="49">
        <v>1428</v>
      </c>
      <c r="H88" s="50">
        <v>0.27</v>
      </c>
      <c r="J88" s="48" t="s">
        <v>270</v>
      </c>
      <c r="K88" s="48" t="s">
        <v>281</v>
      </c>
      <c r="L88" s="48" t="s">
        <v>264</v>
      </c>
      <c r="M88" s="48" t="s">
        <v>206</v>
      </c>
      <c r="N88" s="48" t="s">
        <v>255</v>
      </c>
      <c r="O88" s="49">
        <v>27059</v>
      </c>
      <c r="P88" s="49">
        <v>6839</v>
      </c>
      <c r="Q88" s="50">
        <v>0.25</v>
      </c>
      <c r="S88" s="48" t="s">
        <v>272</v>
      </c>
      <c r="T88" s="48" t="s">
        <v>284</v>
      </c>
      <c r="U88" s="48" t="s">
        <v>264</v>
      </c>
      <c r="V88" s="48" t="s">
        <v>206</v>
      </c>
      <c r="W88" s="48" t="s">
        <v>259</v>
      </c>
      <c r="X88" s="49">
        <v>25365</v>
      </c>
      <c r="Y88" s="49">
        <v>6036</v>
      </c>
      <c r="Z88" s="50">
        <v>0.24</v>
      </c>
    </row>
    <row r="89" spans="1:26">
      <c r="A89" s="48" t="s">
        <v>249</v>
      </c>
      <c r="B89" s="48" t="s">
        <v>277</v>
      </c>
      <c r="C89" s="48" t="s">
        <v>264</v>
      </c>
      <c r="D89" s="48" t="s">
        <v>274</v>
      </c>
      <c r="E89" s="48" t="s">
        <v>259</v>
      </c>
      <c r="F89" s="49">
        <v>8448</v>
      </c>
      <c r="G89" s="49">
        <v>2145</v>
      </c>
      <c r="H89" s="50">
        <v>0.25</v>
      </c>
      <c r="J89" s="48" t="s">
        <v>270</v>
      </c>
      <c r="K89" s="48" t="s">
        <v>254</v>
      </c>
      <c r="L89" s="48" t="s">
        <v>264</v>
      </c>
      <c r="M89" s="48" t="s">
        <v>233</v>
      </c>
      <c r="N89" s="48" t="s">
        <v>255</v>
      </c>
      <c r="O89" s="49">
        <v>25153</v>
      </c>
      <c r="P89" s="49">
        <v>6191</v>
      </c>
      <c r="Q89" s="50">
        <v>0.25</v>
      </c>
      <c r="S89" s="48" t="s">
        <v>272</v>
      </c>
      <c r="T89" s="48" t="s">
        <v>281</v>
      </c>
      <c r="U89" s="48" t="s">
        <v>264</v>
      </c>
      <c r="V89" s="48" t="s">
        <v>206</v>
      </c>
      <c r="W89" s="48" t="s">
        <v>255</v>
      </c>
      <c r="X89" s="49">
        <v>24686</v>
      </c>
      <c r="Y89" s="49">
        <v>6027</v>
      </c>
      <c r="Z89" s="50">
        <v>0.24</v>
      </c>
    </row>
    <row r="90" spans="1:26">
      <c r="A90" s="48" t="s">
        <v>249</v>
      </c>
      <c r="B90" s="48" t="s">
        <v>279</v>
      </c>
      <c r="C90" s="48" t="s">
        <v>264</v>
      </c>
      <c r="D90" s="48" t="s">
        <v>274</v>
      </c>
      <c r="E90" s="48" t="s">
        <v>280</v>
      </c>
      <c r="F90" s="49">
        <v>20520</v>
      </c>
      <c r="G90" s="49">
        <v>4950</v>
      </c>
      <c r="H90" s="50">
        <v>0.24</v>
      </c>
      <c r="J90" s="48" t="s">
        <v>270</v>
      </c>
      <c r="K90" s="48" t="s">
        <v>253</v>
      </c>
      <c r="L90" s="48" t="s">
        <v>264</v>
      </c>
      <c r="M90" s="48" t="s">
        <v>233</v>
      </c>
      <c r="N90" s="48" t="s">
        <v>234</v>
      </c>
      <c r="O90" s="49">
        <v>23497</v>
      </c>
      <c r="P90" s="49">
        <v>5802</v>
      </c>
      <c r="Q90" s="50">
        <v>0.25</v>
      </c>
      <c r="S90" s="48" t="s">
        <v>272</v>
      </c>
      <c r="T90" s="48" t="s">
        <v>273</v>
      </c>
      <c r="U90" s="48" t="s">
        <v>264</v>
      </c>
      <c r="V90" s="48" t="s">
        <v>274</v>
      </c>
      <c r="W90" s="48" t="s">
        <v>251</v>
      </c>
      <c r="X90" s="49">
        <v>65549</v>
      </c>
      <c r="Y90" s="49">
        <v>15166</v>
      </c>
      <c r="Z90" s="50">
        <v>0.23</v>
      </c>
    </row>
    <row r="91" spans="1:26">
      <c r="A91" s="48" t="s">
        <v>249</v>
      </c>
      <c r="B91" s="48" t="s">
        <v>282</v>
      </c>
      <c r="C91" s="48" t="s">
        <v>264</v>
      </c>
      <c r="D91" s="48" t="s">
        <v>206</v>
      </c>
      <c r="E91" s="48" t="s">
        <v>280</v>
      </c>
      <c r="F91" s="49">
        <v>24305</v>
      </c>
      <c r="G91" s="49">
        <v>5429</v>
      </c>
      <c r="H91" s="50">
        <v>0.22</v>
      </c>
      <c r="J91" s="48" t="s">
        <v>270</v>
      </c>
      <c r="K91" s="48" t="s">
        <v>258</v>
      </c>
      <c r="L91" s="48" t="s">
        <v>264</v>
      </c>
      <c r="M91" s="48" t="s">
        <v>233</v>
      </c>
      <c r="N91" s="48" t="s">
        <v>259</v>
      </c>
      <c r="O91" s="49">
        <v>24666</v>
      </c>
      <c r="P91" s="49">
        <v>5876</v>
      </c>
      <c r="Q91" s="50">
        <v>0.24</v>
      </c>
      <c r="S91" s="48" t="s">
        <v>272</v>
      </c>
      <c r="T91" s="48" t="s">
        <v>253</v>
      </c>
      <c r="U91" s="48" t="s">
        <v>264</v>
      </c>
      <c r="V91" s="48" t="s">
        <v>233</v>
      </c>
      <c r="W91" s="48" t="s">
        <v>234</v>
      </c>
      <c r="X91" s="49">
        <v>37633</v>
      </c>
      <c r="Y91" s="49">
        <v>8819</v>
      </c>
      <c r="Z91" s="50">
        <v>0.23</v>
      </c>
    </row>
    <row r="92" spans="1:26">
      <c r="A92" s="48" t="s">
        <v>249</v>
      </c>
      <c r="B92" s="48" t="s">
        <v>281</v>
      </c>
      <c r="C92" s="48" t="s">
        <v>264</v>
      </c>
      <c r="D92" s="48" t="s">
        <v>206</v>
      </c>
      <c r="E92" s="48" t="s">
        <v>255</v>
      </c>
      <c r="F92" s="49">
        <v>22956</v>
      </c>
      <c r="G92" s="49">
        <v>4994</v>
      </c>
      <c r="H92" s="50">
        <v>0.22</v>
      </c>
      <c r="J92" s="48" t="s">
        <v>270</v>
      </c>
      <c r="K92" s="48" t="s">
        <v>256</v>
      </c>
      <c r="L92" s="48" t="s">
        <v>264</v>
      </c>
      <c r="M92" s="48" t="s">
        <v>233</v>
      </c>
      <c r="N92" s="48" t="s">
        <v>257</v>
      </c>
      <c r="O92" s="49">
        <v>24364</v>
      </c>
      <c r="P92" s="49">
        <v>5780</v>
      </c>
      <c r="Q92" s="50">
        <v>0.24</v>
      </c>
      <c r="S92" s="48" t="s">
        <v>272</v>
      </c>
      <c r="T92" s="48" t="s">
        <v>254</v>
      </c>
      <c r="U92" s="48" t="s">
        <v>264</v>
      </c>
      <c r="V92" s="48" t="s">
        <v>233</v>
      </c>
      <c r="W92" s="48" t="s">
        <v>255</v>
      </c>
      <c r="X92" s="49">
        <v>37454</v>
      </c>
      <c r="Y92" s="49">
        <v>8754</v>
      </c>
      <c r="Z92" s="50">
        <v>0.23</v>
      </c>
    </row>
    <row r="93" spans="1:26">
      <c r="A93" s="48" t="s">
        <v>249</v>
      </c>
      <c r="B93" s="48" t="s">
        <v>285</v>
      </c>
      <c r="C93" s="48" t="s">
        <v>264</v>
      </c>
      <c r="D93" s="48" t="s">
        <v>206</v>
      </c>
      <c r="E93" s="48" t="s">
        <v>251</v>
      </c>
      <c r="F93" s="49">
        <v>25570</v>
      </c>
      <c r="G93" s="49">
        <v>5460</v>
      </c>
      <c r="H93" s="50">
        <v>0.21</v>
      </c>
      <c r="J93" s="48" t="s">
        <v>270</v>
      </c>
      <c r="K93" s="48" t="s">
        <v>275</v>
      </c>
      <c r="L93" s="48" t="s">
        <v>264</v>
      </c>
      <c r="M93" s="48" t="s">
        <v>274</v>
      </c>
      <c r="N93" s="48" t="s">
        <v>257</v>
      </c>
      <c r="O93" s="49">
        <v>21477</v>
      </c>
      <c r="P93" s="49">
        <v>5061</v>
      </c>
      <c r="Q93" s="50">
        <v>0.24</v>
      </c>
      <c r="S93" s="48" t="s">
        <v>272</v>
      </c>
      <c r="T93" s="48" t="s">
        <v>275</v>
      </c>
      <c r="U93" s="48" t="s">
        <v>264</v>
      </c>
      <c r="V93" s="48" t="s">
        <v>274</v>
      </c>
      <c r="W93" s="48" t="s">
        <v>257</v>
      </c>
      <c r="X93" s="49">
        <v>37402</v>
      </c>
      <c r="Y93" s="49">
        <v>8599</v>
      </c>
      <c r="Z93" s="50">
        <v>0.23</v>
      </c>
    </row>
    <row r="94" spans="1:26">
      <c r="A94" s="48" t="s">
        <v>249</v>
      </c>
      <c r="B94" s="48" t="s">
        <v>283</v>
      </c>
      <c r="C94" s="48" t="s">
        <v>264</v>
      </c>
      <c r="D94" s="48" t="s">
        <v>206</v>
      </c>
      <c r="E94" s="48" t="s">
        <v>239</v>
      </c>
      <c r="F94" s="49">
        <v>22731</v>
      </c>
      <c r="G94" s="49">
        <v>4828</v>
      </c>
      <c r="H94" s="50">
        <v>0.21</v>
      </c>
      <c r="J94" s="48" t="s">
        <v>270</v>
      </c>
      <c r="K94" s="48" t="s">
        <v>277</v>
      </c>
      <c r="L94" s="48" t="s">
        <v>264</v>
      </c>
      <c r="M94" s="48" t="s">
        <v>274</v>
      </c>
      <c r="N94" s="48" t="s">
        <v>259</v>
      </c>
      <c r="O94" s="49">
        <v>20053</v>
      </c>
      <c r="P94" s="49">
        <v>4795</v>
      </c>
      <c r="Q94" s="50">
        <v>0.24</v>
      </c>
      <c r="S94" s="48" t="s">
        <v>272</v>
      </c>
      <c r="T94" s="48" t="s">
        <v>258</v>
      </c>
      <c r="U94" s="48" t="s">
        <v>264</v>
      </c>
      <c r="V94" s="48" t="s">
        <v>233</v>
      </c>
      <c r="W94" s="48" t="s">
        <v>259</v>
      </c>
      <c r="X94" s="49">
        <v>36875</v>
      </c>
      <c r="Y94" s="49">
        <v>8437</v>
      </c>
      <c r="Z94" s="50">
        <v>0.23</v>
      </c>
    </row>
    <row r="95" spans="1:26">
      <c r="A95" s="48" t="s">
        <v>249</v>
      </c>
      <c r="B95" s="48" t="s">
        <v>284</v>
      </c>
      <c r="C95" s="48" t="s">
        <v>264</v>
      </c>
      <c r="D95" s="48" t="s">
        <v>206</v>
      </c>
      <c r="E95" s="48" t="s">
        <v>259</v>
      </c>
      <c r="F95" s="49">
        <v>21582</v>
      </c>
      <c r="G95" s="49">
        <v>4267</v>
      </c>
      <c r="H95" s="50">
        <v>0.2</v>
      </c>
      <c r="J95" s="48" t="s">
        <v>270</v>
      </c>
      <c r="K95" s="48" t="s">
        <v>286</v>
      </c>
      <c r="L95" s="48" t="s">
        <v>264</v>
      </c>
      <c r="M95" s="48" t="s">
        <v>206</v>
      </c>
      <c r="N95" s="48" t="s">
        <v>257</v>
      </c>
      <c r="O95" s="49">
        <v>27079</v>
      </c>
      <c r="P95" s="49">
        <v>6233</v>
      </c>
      <c r="Q95" s="50">
        <v>0.23</v>
      </c>
      <c r="S95" s="48" t="s">
        <v>272</v>
      </c>
      <c r="T95" s="48" t="s">
        <v>256</v>
      </c>
      <c r="U95" s="48" t="s">
        <v>264</v>
      </c>
      <c r="V95" s="48" t="s">
        <v>233</v>
      </c>
      <c r="W95" s="48" t="s">
        <v>257</v>
      </c>
      <c r="X95" s="49">
        <v>36586</v>
      </c>
      <c r="Y95" s="49">
        <v>8396</v>
      </c>
      <c r="Z95" s="50">
        <v>0.23</v>
      </c>
    </row>
    <row r="96" spans="1:26">
      <c r="A96" s="48" t="s">
        <v>249</v>
      </c>
      <c r="B96" s="48" t="s">
        <v>286</v>
      </c>
      <c r="C96" s="48" t="s">
        <v>264</v>
      </c>
      <c r="D96" s="48" t="s">
        <v>206</v>
      </c>
      <c r="E96" s="48" t="s">
        <v>257</v>
      </c>
      <c r="F96" s="49">
        <v>24000</v>
      </c>
      <c r="G96" s="49">
        <v>4608</v>
      </c>
      <c r="H96" s="50">
        <v>0.19</v>
      </c>
      <c r="J96" s="48" t="s">
        <v>270</v>
      </c>
      <c r="K96" s="48" t="s">
        <v>284</v>
      </c>
      <c r="L96" s="48" t="s">
        <v>264</v>
      </c>
      <c r="M96" s="48" t="s">
        <v>206</v>
      </c>
      <c r="N96" s="48" t="s">
        <v>259</v>
      </c>
      <c r="O96" s="49">
        <v>25134</v>
      </c>
      <c r="P96" s="49">
        <v>5874</v>
      </c>
      <c r="Q96" s="50">
        <v>0.23</v>
      </c>
      <c r="S96" s="48" t="s">
        <v>272</v>
      </c>
      <c r="T96" s="48" t="s">
        <v>277</v>
      </c>
      <c r="U96" s="48" t="s">
        <v>264</v>
      </c>
      <c r="V96" s="48" t="s">
        <v>274</v>
      </c>
      <c r="W96" s="48" t="s">
        <v>259</v>
      </c>
      <c r="X96" s="49">
        <v>36001</v>
      </c>
      <c r="Y96" s="49">
        <v>8353</v>
      </c>
      <c r="Z96" s="50">
        <v>0.23</v>
      </c>
    </row>
    <row r="97" spans="1:26">
      <c r="A97" s="48" t="s">
        <v>249</v>
      </c>
      <c r="B97" s="48" t="s">
        <v>273</v>
      </c>
      <c r="C97" s="48" t="s">
        <v>265</v>
      </c>
      <c r="D97" s="48" t="s">
        <v>274</v>
      </c>
      <c r="E97" s="48" t="s">
        <v>251</v>
      </c>
      <c r="F97" s="49">
        <v>329</v>
      </c>
      <c r="G97" s="49">
        <v>111</v>
      </c>
      <c r="H97" s="50">
        <v>0.34</v>
      </c>
      <c r="J97" s="48" t="s">
        <v>270</v>
      </c>
      <c r="K97" s="48" t="s">
        <v>276</v>
      </c>
      <c r="L97" s="48" t="s">
        <v>265</v>
      </c>
      <c r="M97" s="48" t="s">
        <v>274</v>
      </c>
      <c r="N97" s="48" t="s">
        <v>239</v>
      </c>
      <c r="O97" s="49">
        <v>6336</v>
      </c>
      <c r="P97" s="49">
        <v>1688</v>
      </c>
      <c r="Q97" s="50">
        <v>0.27</v>
      </c>
      <c r="S97" s="48" t="s">
        <v>272</v>
      </c>
      <c r="T97" s="48" t="s">
        <v>250</v>
      </c>
      <c r="U97" s="48" t="s">
        <v>265</v>
      </c>
      <c r="V97" s="48" t="s">
        <v>233</v>
      </c>
      <c r="W97" s="48" t="s">
        <v>251</v>
      </c>
      <c r="X97" s="49">
        <v>38167</v>
      </c>
      <c r="Y97" s="49">
        <v>9221</v>
      </c>
      <c r="Z97" s="50">
        <v>0.24</v>
      </c>
    </row>
    <row r="98" spans="1:26">
      <c r="A98" s="48" t="s">
        <v>249</v>
      </c>
      <c r="B98" s="48" t="s">
        <v>250</v>
      </c>
      <c r="C98" s="48" t="s">
        <v>265</v>
      </c>
      <c r="D98" s="48" t="s">
        <v>233</v>
      </c>
      <c r="E98" s="48" t="s">
        <v>251</v>
      </c>
      <c r="F98" s="49">
        <v>1193</v>
      </c>
      <c r="G98" s="49">
        <v>371</v>
      </c>
      <c r="H98" s="50">
        <v>0.31</v>
      </c>
      <c r="J98" s="48" t="s">
        <v>270</v>
      </c>
      <c r="K98" s="48" t="s">
        <v>273</v>
      </c>
      <c r="L98" s="48" t="s">
        <v>265</v>
      </c>
      <c r="M98" s="48" t="s">
        <v>274</v>
      </c>
      <c r="N98" s="48" t="s">
        <v>251</v>
      </c>
      <c r="O98" s="49">
        <v>3804</v>
      </c>
      <c r="P98" s="49">
        <v>1042</v>
      </c>
      <c r="Q98" s="50">
        <v>0.27</v>
      </c>
      <c r="S98" s="48" t="s">
        <v>272</v>
      </c>
      <c r="T98" s="48" t="s">
        <v>252</v>
      </c>
      <c r="U98" s="48" t="s">
        <v>265</v>
      </c>
      <c r="V98" s="48" t="s">
        <v>233</v>
      </c>
      <c r="W98" s="48" t="s">
        <v>239</v>
      </c>
      <c r="X98" s="49">
        <v>36926</v>
      </c>
      <c r="Y98" s="49">
        <v>8861</v>
      </c>
      <c r="Z98" s="50">
        <v>0.24</v>
      </c>
    </row>
    <row r="99" spans="1:26">
      <c r="A99" s="48" t="s">
        <v>249</v>
      </c>
      <c r="B99" s="48" t="s">
        <v>252</v>
      </c>
      <c r="C99" s="48" t="s">
        <v>265</v>
      </c>
      <c r="D99" s="48" t="s">
        <v>233</v>
      </c>
      <c r="E99" s="48" t="s">
        <v>239</v>
      </c>
      <c r="F99" s="49">
        <v>1300</v>
      </c>
      <c r="G99" s="49">
        <v>378</v>
      </c>
      <c r="H99" s="50">
        <v>0.28999999999999998</v>
      </c>
      <c r="J99" s="48" t="s">
        <v>270</v>
      </c>
      <c r="K99" s="48" t="s">
        <v>252</v>
      </c>
      <c r="L99" s="48" t="s">
        <v>265</v>
      </c>
      <c r="M99" s="48" t="s">
        <v>233</v>
      </c>
      <c r="N99" s="48" t="s">
        <v>239</v>
      </c>
      <c r="O99" s="49">
        <v>10394</v>
      </c>
      <c r="P99" s="49">
        <v>2708</v>
      </c>
      <c r="Q99" s="50">
        <v>0.26</v>
      </c>
      <c r="S99" s="48" t="s">
        <v>272</v>
      </c>
      <c r="T99" s="48" t="s">
        <v>279</v>
      </c>
      <c r="U99" s="48" t="s">
        <v>265</v>
      </c>
      <c r="V99" s="48" t="s">
        <v>274</v>
      </c>
      <c r="W99" s="48" t="s">
        <v>280</v>
      </c>
      <c r="X99" s="49">
        <v>31964</v>
      </c>
      <c r="Y99" s="49">
        <v>7630</v>
      </c>
      <c r="Z99" s="50">
        <v>0.24</v>
      </c>
    </row>
    <row r="100" spans="1:26">
      <c r="A100" s="48" t="s">
        <v>249</v>
      </c>
      <c r="B100" s="48" t="s">
        <v>276</v>
      </c>
      <c r="C100" s="48" t="s">
        <v>265</v>
      </c>
      <c r="D100" s="48" t="s">
        <v>274</v>
      </c>
      <c r="E100" s="48" t="s">
        <v>239</v>
      </c>
      <c r="F100" s="49">
        <v>1472</v>
      </c>
      <c r="G100" s="49">
        <v>414</v>
      </c>
      <c r="H100" s="50">
        <v>0.28000000000000003</v>
      </c>
      <c r="J100" s="48" t="s">
        <v>270</v>
      </c>
      <c r="K100" s="48" t="s">
        <v>250</v>
      </c>
      <c r="L100" s="48" t="s">
        <v>265</v>
      </c>
      <c r="M100" s="48" t="s">
        <v>233</v>
      </c>
      <c r="N100" s="48" t="s">
        <v>251</v>
      </c>
      <c r="O100" s="49">
        <v>10285</v>
      </c>
      <c r="P100" s="49">
        <v>2622</v>
      </c>
      <c r="Q100" s="50">
        <v>0.25</v>
      </c>
      <c r="S100" s="48" t="s">
        <v>272</v>
      </c>
      <c r="T100" s="48" t="s">
        <v>285</v>
      </c>
      <c r="U100" s="48" t="s">
        <v>265</v>
      </c>
      <c r="V100" s="48" t="s">
        <v>206</v>
      </c>
      <c r="W100" s="48" t="s">
        <v>251</v>
      </c>
      <c r="X100" s="49">
        <v>31551</v>
      </c>
      <c r="Y100" s="49">
        <v>7457</v>
      </c>
      <c r="Z100" s="50">
        <v>0.24</v>
      </c>
    </row>
    <row r="101" spans="1:26">
      <c r="A101" s="48" t="s">
        <v>249</v>
      </c>
      <c r="B101" s="48" t="s">
        <v>254</v>
      </c>
      <c r="C101" s="48" t="s">
        <v>265</v>
      </c>
      <c r="D101" s="48" t="s">
        <v>233</v>
      </c>
      <c r="E101" s="48" t="s">
        <v>255</v>
      </c>
      <c r="F101" s="49">
        <v>2591</v>
      </c>
      <c r="G101" s="49">
        <v>648</v>
      </c>
      <c r="H101" s="50">
        <v>0.25</v>
      </c>
      <c r="J101" s="48" t="s">
        <v>270</v>
      </c>
      <c r="K101" s="48" t="s">
        <v>279</v>
      </c>
      <c r="L101" s="48" t="s">
        <v>265</v>
      </c>
      <c r="M101" s="48" t="s">
        <v>274</v>
      </c>
      <c r="N101" s="48" t="s">
        <v>280</v>
      </c>
      <c r="O101" s="49">
        <v>26834</v>
      </c>
      <c r="P101" s="49">
        <v>5859</v>
      </c>
      <c r="Q101" s="50">
        <v>0.22</v>
      </c>
      <c r="S101" s="48" t="s">
        <v>272</v>
      </c>
      <c r="T101" s="48" t="s">
        <v>273</v>
      </c>
      <c r="U101" s="48" t="s">
        <v>265</v>
      </c>
      <c r="V101" s="48" t="s">
        <v>274</v>
      </c>
      <c r="W101" s="48" t="s">
        <v>251</v>
      </c>
      <c r="X101" s="49">
        <v>30185</v>
      </c>
      <c r="Y101" s="49">
        <v>7335</v>
      </c>
      <c r="Z101" s="50">
        <v>0.24</v>
      </c>
    </row>
    <row r="102" spans="1:26">
      <c r="A102" s="48" t="s">
        <v>249</v>
      </c>
      <c r="B102" s="48" t="s">
        <v>253</v>
      </c>
      <c r="C102" s="48" t="s">
        <v>265</v>
      </c>
      <c r="D102" s="48" t="s">
        <v>233</v>
      </c>
      <c r="E102" s="48" t="s">
        <v>234</v>
      </c>
      <c r="F102" s="49">
        <v>2277</v>
      </c>
      <c r="G102" s="49">
        <v>574</v>
      </c>
      <c r="H102" s="50">
        <v>0.25</v>
      </c>
      <c r="J102" s="48" t="s">
        <v>270</v>
      </c>
      <c r="K102" s="48" t="s">
        <v>278</v>
      </c>
      <c r="L102" s="48" t="s">
        <v>265</v>
      </c>
      <c r="M102" s="48" t="s">
        <v>274</v>
      </c>
      <c r="N102" s="48" t="s">
        <v>255</v>
      </c>
      <c r="O102" s="49">
        <v>14385</v>
      </c>
      <c r="P102" s="49">
        <v>3210</v>
      </c>
      <c r="Q102" s="50">
        <v>0.22</v>
      </c>
      <c r="S102" s="48" t="s">
        <v>272</v>
      </c>
      <c r="T102" s="48" t="s">
        <v>282</v>
      </c>
      <c r="U102" s="48" t="s">
        <v>265</v>
      </c>
      <c r="V102" s="48" t="s">
        <v>206</v>
      </c>
      <c r="W102" s="48" t="s">
        <v>280</v>
      </c>
      <c r="X102" s="49">
        <v>29150</v>
      </c>
      <c r="Y102" s="49">
        <v>6909</v>
      </c>
      <c r="Z102" s="50">
        <v>0.24</v>
      </c>
    </row>
    <row r="103" spans="1:26">
      <c r="A103" s="48" t="s">
        <v>249</v>
      </c>
      <c r="B103" s="48" t="s">
        <v>258</v>
      </c>
      <c r="C103" s="48" t="s">
        <v>265</v>
      </c>
      <c r="D103" s="48" t="s">
        <v>233</v>
      </c>
      <c r="E103" s="48" t="s">
        <v>259</v>
      </c>
      <c r="F103" s="49">
        <v>2204</v>
      </c>
      <c r="G103" s="49">
        <v>521</v>
      </c>
      <c r="H103" s="50">
        <v>0.24</v>
      </c>
      <c r="J103" s="48" t="s">
        <v>270</v>
      </c>
      <c r="K103" s="48" t="s">
        <v>254</v>
      </c>
      <c r="L103" s="48" t="s">
        <v>265</v>
      </c>
      <c r="M103" s="48" t="s">
        <v>233</v>
      </c>
      <c r="N103" s="48" t="s">
        <v>255</v>
      </c>
      <c r="O103" s="49">
        <v>12798</v>
      </c>
      <c r="P103" s="49">
        <v>2794</v>
      </c>
      <c r="Q103" s="50">
        <v>0.22</v>
      </c>
      <c r="S103" s="48" t="s">
        <v>272</v>
      </c>
      <c r="T103" s="48" t="s">
        <v>276</v>
      </c>
      <c r="U103" s="48" t="s">
        <v>265</v>
      </c>
      <c r="V103" s="48" t="s">
        <v>274</v>
      </c>
      <c r="W103" s="48" t="s">
        <v>239</v>
      </c>
      <c r="X103" s="49">
        <v>25571</v>
      </c>
      <c r="Y103" s="49">
        <v>6225</v>
      </c>
      <c r="Z103" s="50">
        <v>0.24</v>
      </c>
    </row>
    <row r="104" spans="1:26">
      <c r="A104" s="48" t="s">
        <v>249</v>
      </c>
      <c r="B104" s="48" t="s">
        <v>256</v>
      </c>
      <c r="C104" s="48" t="s">
        <v>265</v>
      </c>
      <c r="D104" s="48" t="s">
        <v>233</v>
      </c>
      <c r="E104" s="48" t="s">
        <v>257</v>
      </c>
      <c r="F104" s="49">
        <v>2188</v>
      </c>
      <c r="G104" s="49">
        <v>500</v>
      </c>
      <c r="H104" s="50">
        <v>0.23</v>
      </c>
      <c r="J104" s="48" t="s">
        <v>270</v>
      </c>
      <c r="K104" s="48" t="s">
        <v>253</v>
      </c>
      <c r="L104" s="48" t="s">
        <v>265</v>
      </c>
      <c r="M104" s="48" t="s">
        <v>233</v>
      </c>
      <c r="N104" s="48" t="s">
        <v>234</v>
      </c>
      <c r="O104" s="49">
        <v>12122</v>
      </c>
      <c r="P104" s="49">
        <v>2648</v>
      </c>
      <c r="Q104" s="50">
        <v>0.22</v>
      </c>
      <c r="S104" s="48" t="s">
        <v>272</v>
      </c>
      <c r="T104" s="48" t="s">
        <v>283</v>
      </c>
      <c r="U104" s="48" t="s">
        <v>265</v>
      </c>
      <c r="V104" s="48" t="s">
        <v>206</v>
      </c>
      <c r="W104" s="48" t="s">
        <v>239</v>
      </c>
      <c r="X104" s="49">
        <v>17109</v>
      </c>
      <c r="Y104" s="49">
        <v>4097</v>
      </c>
      <c r="Z104" s="50">
        <v>0.24</v>
      </c>
    </row>
    <row r="105" spans="1:26">
      <c r="A105" s="48" t="s">
        <v>249</v>
      </c>
      <c r="B105" s="48" t="s">
        <v>278</v>
      </c>
      <c r="C105" s="48" t="s">
        <v>265</v>
      </c>
      <c r="D105" s="48" t="s">
        <v>274</v>
      </c>
      <c r="E105" s="48" t="s">
        <v>255</v>
      </c>
      <c r="F105" s="49">
        <v>5759</v>
      </c>
      <c r="G105" s="49">
        <v>1170</v>
      </c>
      <c r="H105" s="50">
        <v>0.2</v>
      </c>
      <c r="J105" s="48" t="s">
        <v>270</v>
      </c>
      <c r="K105" s="48" t="s">
        <v>256</v>
      </c>
      <c r="L105" s="48" t="s">
        <v>265</v>
      </c>
      <c r="M105" s="48" t="s">
        <v>233</v>
      </c>
      <c r="N105" s="48" t="s">
        <v>257</v>
      </c>
      <c r="O105" s="49">
        <v>12506</v>
      </c>
      <c r="P105" s="49">
        <v>2584</v>
      </c>
      <c r="Q105" s="50">
        <v>0.21</v>
      </c>
      <c r="S105" s="48" t="s">
        <v>272</v>
      </c>
      <c r="T105" s="48" t="s">
        <v>254</v>
      </c>
      <c r="U105" s="48" t="s">
        <v>265</v>
      </c>
      <c r="V105" s="48" t="s">
        <v>233</v>
      </c>
      <c r="W105" s="48" t="s">
        <v>255</v>
      </c>
      <c r="X105" s="49">
        <v>28787</v>
      </c>
      <c r="Y105" s="49">
        <v>6494</v>
      </c>
      <c r="Z105" s="50">
        <v>0.23</v>
      </c>
    </row>
    <row r="106" spans="1:26">
      <c r="A106" s="48" t="s">
        <v>249</v>
      </c>
      <c r="B106" s="48" t="s">
        <v>275</v>
      </c>
      <c r="C106" s="48" t="s">
        <v>265</v>
      </c>
      <c r="D106" s="48" t="s">
        <v>274</v>
      </c>
      <c r="E106" s="48" t="s">
        <v>257</v>
      </c>
      <c r="F106" s="49">
        <v>1945</v>
      </c>
      <c r="G106" s="49">
        <v>371</v>
      </c>
      <c r="H106" s="50">
        <v>0.19</v>
      </c>
      <c r="J106" s="48" t="s">
        <v>270</v>
      </c>
      <c r="K106" s="48" t="s">
        <v>258</v>
      </c>
      <c r="L106" s="48" t="s">
        <v>265</v>
      </c>
      <c r="M106" s="48" t="s">
        <v>233</v>
      </c>
      <c r="N106" s="48" t="s">
        <v>259</v>
      </c>
      <c r="O106" s="49">
        <v>12293</v>
      </c>
      <c r="P106" s="49">
        <v>2547</v>
      </c>
      <c r="Q106" s="50">
        <v>0.21</v>
      </c>
      <c r="S106" s="48" t="s">
        <v>272</v>
      </c>
      <c r="T106" s="48" t="s">
        <v>278</v>
      </c>
      <c r="U106" s="48" t="s">
        <v>265</v>
      </c>
      <c r="V106" s="48" t="s">
        <v>274</v>
      </c>
      <c r="W106" s="48" t="s">
        <v>255</v>
      </c>
      <c r="X106" s="49">
        <v>26629</v>
      </c>
      <c r="Y106" s="49">
        <v>6107</v>
      </c>
      <c r="Z106" s="50">
        <v>0.23</v>
      </c>
    </row>
    <row r="107" spans="1:26">
      <c r="A107" s="48" t="s">
        <v>249</v>
      </c>
      <c r="B107" s="48" t="s">
        <v>279</v>
      </c>
      <c r="C107" s="48" t="s">
        <v>265</v>
      </c>
      <c r="D107" s="48" t="s">
        <v>274</v>
      </c>
      <c r="E107" s="48" t="s">
        <v>280</v>
      </c>
      <c r="F107" s="49">
        <v>13373</v>
      </c>
      <c r="G107" s="49">
        <v>2367</v>
      </c>
      <c r="H107" s="50">
        <v>0.18</v>
      </c>
      <c r="J107" s="48" t="s">
        <v>270</v>
      </c>
      <c r="K107" s="48" t="s">
        <v>277</v>
      </c>
      <c r="L107" s="48" t="s">
        <v>265</v>
      </c>
      <c r="M107" s="48" t="s">
        <v>274</v>
      </c>
      <c r="N107" s="48" t="s">
        <v>259</v>
      </c>
      <c r="O107" s="49">
        <v>10069</v>
      </c>
      <c r="P107" s="49">
        <v>2097</v>
      </c>
      <c r="Q107" s="50">
        <v>0.21</v>
      </c>
      <c r="S107" s="48" t="s">
        <v>272</v>
      </c>
      <c r="T107" s="48" t="s">
        <v>281</v>
      </c>
      <c r="U107" s="48" t="s">
        <v>265</v>
      </c>
      <c r="V107" s="48" t="s">
        <v>206</v>
      </c>
      <c r="W107" s="48" t="s">
        <v>255</v>
      </c>
      <c r="X107" s="49">
        <v>25075</v>
      </c>
      <c r="Y107" s="49">
        <v>5666</v>
      </c>
      <c r="Z107" s="50">
        <v>0.23</v>
      </c>
    </row>
    <row r="108" spans="1:26">
      <c r="A108" s="48" t="s">
        <v>249</v>
      </c>
      <c r="B108" s="48" t="s">
        <v>277</v>
      </c>
      <c r="C108" s="48" t="s">
        <v>265</v>
      </c>
      <c r="D108" s="48" t="s">
        <v>274</v>
      </c>
      <c r="E108" s="48" t="s">
        <v>259</v>
      </c>
      <c r="F108" s="49">
        <v>3231</v>
      </c>
      <c r="G108" s="49">
        <v>581</v>
      </c>
      <c r="H108" s="50">
        <v>0.18</v>
      </c>
      <c r="J108" s="48" t="s">
        <v>270</v>
      </c>
      <c r="K108" s="48" t="s">
        <v>285</v>
      </c>
      <c r="L108" s="48" t="s">
        <v>265</v>
      </c>
      <c r="M108" s="48" t="s">
        <v>206</v>
      </c>
      <c r="N108" s="48" t="s">
        <v>251</v>
      </c>
      <c r="O108" s="49">
        <v>38392</v>
      </c>
      <c r="P108" s="49">
        <v>7560</v>
      </c>
      <c r="Q108" s="50">
        <v>0.2</v>
      </c>
      <c r="S108" s="48" t="s">
        <v>272</v>
      </c>
      <c r="T108" s="48" t="s">
        <v>253</v>
      </c>
      <c r="U108" s="48" t="s">
        <v>265</v>
      </c>
      <c r="V108" s="48" t="s">
        <v>233</v>
      </c>
      <c r="W108" s="48" t="s">
        <v>234</v>
      </c>
      <c r="X108" s="49">
        <v>28624</v>
      </c>
      <c r="Y108" s="49">
        <v>6422</v>
      </c>
      <c r="Z108" s="50">
        <v>0.22</v>
      </c>
    </row>
    <row r="109" spans="1:26">
      <c r="A109" s="48" t="s">
        <v>249</v>
      </c>
      <c r="B109" s="48" t="s">
        <v>282</v>
      </c>
      <c r="C109" s="48" t="s">
        <v>265</v>
      </c>
      <c r="D109" s="48" t="s">
        <v>206</v>
      </c>
      <c r="E109" s="48" t="s">
        <v>280</v>
      </c>
      <c r="F109" s="49">
        <v>19535</v>
      </c>
      <c r="G109" s="49">
        <v>2994</v>
      </c>
      <c r="H109" s="50">
        <v>0.15</v>
      </c>
      <c r="J109" s="48" t="s">
        <v>270</v>
      </c>
      <c r="K109" s="48" t="s">
        <v>282</v>
      </c>
      <c r="L109" s="48" t="s">
        <v>265</v>
      </c>
      <c r="M109" s="48" t="s">
        <v>206</v>
      </c>
      <c r="N109" s="48" t="s">
        <v>280</v>
      </c>
      <c r="O109" s="49">
        <v>34644</v>
      </c>
      <c r="P109" s="49">
        <v>7020</v>
      </c>
      <c r="Q109" s="50">
        <v>0.2</v>
      </c>
      <c r="S109" s="48" t="s">
        <v>272</v>
      </c>
      <c r="T109" s="48" t="s">
        <v>277</v>
      </c>
      <c r="U109" s="48" t="s">
        <v>265</v>
      </c>
      <c r="V109" s="48" t="s">
        <v>274</v>
      </c>
      <c r="W109" s="48" t="s">
        <v>259</v>
      </c>
      <c r="X109" s="49">
        <v>24333</v>
      </c>
      <c r="Y109" s="49">
        <v>5251</v>
      </c>
      <c r="Z109" s="50">
        <v>0.22</v>
      </c>
    </row>
    <row r="110" spans="1:26">
      <c r="A110" s="48" t="s">
        <v>249</v>
      </c>
      <c r="B110" s="48" t="s">
        <v>283</v>
      </c>
      <c r="C110" s="48" t="s">
        <v>265</v>
      </c>
      <c r="D110" s="48" t="s">
        <v>206</v>
      </c>
      <c r="E110" s="48" t="s">
        <v>239</v>
      </c>
      <c r="F110" s="49">
        <v>18478</v>
      </c>
      <c r="G110" s="49">
        <v>2756</v>
      </c>
      <c r="H110" s="50">
        <v>0.15</v>
      </c>
      <c r="J110" s="48" t="s">
        <v>270</v>
      </c>
      <c r="K110" s="48" t="s">
        <v>283</v>
      </c>
      <c r="L110" s="48" t="s">
        <v>265</v>
      </c>
      <c r="M110" s="48" t="s">
        <v>206</v>
      </c>
      <c r="N110" s="48" t="s">
        <v>239</v>
      </c>
      <c r="O110" s="49">
        <v>29580</v>
      </c>
      <c r="P110" s="49">
        <v>5997</v>
      </c>
      <c r="Q110" s="50">
        <v>0.2</v>
      </c>
      <c r="S110" s="48" t="s">
        <v>272</v>
      </c>
      <c r="T110" s="48" t="s">
        <v>256</v>
      </c>
      <c r="U110" s="48" t="s">
        <v>265</v>
      </c>
      <c r="V110" s="48" t="s">
        <v>233</v>
      </c>
      <c r="W110" s="48" t="s">
        <v>257</v>
      </c>
      <c r="X110" s="49">
        <v>28768</v>
      </c>
      <c r="Y110" s="49">
        <v>6139</v>
      </c>
      <c r="Z110" s="50">
        <v>0.21</v>
      </c>
    </row>
    <row r="111" spans="1:26">
      <c r="A111" s="48" t="s">
        <v>249</v>
      </c>
      <c r="B111" s="48" t="s">
        <v>285</v>
      </c>
      <c r="C111" s="48" t="s">
        <v>265</v>
      </c>
      <c r="D111" s="48" t="s">
        <v>206</v>
      </c>
      <c r="E111" s="48" t="s">
        <v>251</v>
      </c>
      <c r="F111" s="49">
        <v>21272</v>
      </c>
      <c r="G111" s="49">
        <v>3043</v>
      </c>
      <c r="H111" s="50">
        <v>0.14000000000000001</v>
      </c>
      <c r="J111" s="48" t="s">
        <v>270</v>
      </c>
      <c r="K111" s="48" t="s">
        <v>281</v>
      </c>
      <c r="L111" s="48" t="s">
        <v>265</v>
      </c>
      <c r="M111" s="48" t="s">
        <v>206</v>
      </c>
      <c r="N111" s="48" t="s">
        <v>255</v>
      </c>
      <c r="O111" s="49">
        <v>28633</v>
      </c>
      <c r="P111" s="49">
        <v>5596</v>
      </c>
      <c r="Q111" s="50">
        <v>0.2</v>
      </c>
      <c r="S111" s="48" t="s">
        <v>272</v>
      </c>
      <c r="T111" s="48" t="s">
        <v>258</v>
      </c>
      <c r="U111" s="48" t="s">
        <v>265</v>
      </c>
      <c r="V111" s="48" t="s">
        <v>233</v>
      </c>
      <c r="W111" s="48" t="s">
        <v>259</v>
      </c>
      <c r="X111" s="49">
        <v>28752</v>
      </c>
      <c r="Y111" s="49">
        <v>6104</v>
      </c>
      <c r="Z111" s="50">
        <v>0.21</v>
      </c>
    </row>
    <row r="112" spans="1:26">
      <c r="A112" s="48" t="s">
        <v>249</v>
      </c>
      <c r="B112" s="48" t="s">
        <v>281</v>
      </c>
      <c r="C112" s="48" t="s">
        <v>265</v>
      </c>
      <c r="D112" s="48" t="s">
        <v>206</v>
      </c>
      <c r="E112" s="48" t="s">
        <v>255</v>
      </c>
      <c r="F112" s="49">
        <v>18718</v>
      </c>
      <c r="G112" s="49">
        <v>2688</v>
      </c>
      <c r="H112" s="50">
        <v>0.14000000000000001</v>
      </c>
      <c r="J112" s="48" t="s">
        <v>270</v>
      </c>
      <c r="K112" s="48" t="s">
        <v>275</v>
      </c>
      <c r="L112" s="48" t="s">
        <v>265</v>
      </c>
      <c r="M112" s="48" t="s">
        <v>274</v>
      </c>
      <c r="N112" s="48" t="s">
        <v>257</v>
      </c>
      <c r="O112" s="49">
        <v>9266</v>
      </c>
      <c r="P112" s="49">
        <v>1894</v>
      </c>
      <c r="Q112" s="50">
        <v>0.2</v>
      </c>
      <c r="S112" s="48" t="s">
        <v>272</v>
      </c>
      <c r="T112" s="48" t="s">
        <v>286</v>
      </c>
      <c r="U112" s="48" t="s">
        <v>265</v>
      </c>
      <c r="V112" s="48" t="s">
        <v>206</v>
      </c>
      <c r="W112" s="48" t="s">
        <v>257</v>
      </c>
      <c r="X112" s="49">
        <v>26670</v>
      </c>
      <c r="Y112" s="49">
        <v>5665</v>
      </c>
      <c r="Z112" s="50">
        <v>0.21</v>
      </c>
    </row>
    <row r="113" spans="1:26">
      <c r="A113" s="48" t="s">
        <v>249</v>
      </c>
      <c r="B113" s="48" t="s">
        <v>284</v>
      </c>
      <c r="C113" s="48" t="s">
        <v>265</v>
      </c>
      <c r="D113" s="48" t="s">
        <v>206</v>
      </c>
      <c r="E113" s="48" t="s">
        <v>259</v>
      </c>
      <c r="F113" s="49">
        <v>19733</v>
      </c>
      <c r="G113" s="49">
        <v>2349</v>
      </c>
      <c r="H113" s="50">
        <v>0.12</v>
      </c>
      <c r="J113" s="48" t="s">
        <v>270</v>
      </c>
      <c r="K113" s="48" t="s">
        <v>284</v>
      </c>
      <c r="L113" s="48" t="s">
        <v>265</v>
      </c>
      <c r="M113" s="48" t="s">
        <v>206</v>
      </c>
      <c r="N113" s="48" t="s">
        <v>259</v>
      </c>
      <c r="O113" s="49">
        <v>25930</v>
      </c>
      <c r="P113" s="49">
        <v>4612</v>
      </c>
      <c r="Q113" s="50">
        <v>0.18</v>
      </c>
      <c r="S113" s="48" t="s">
        <v>272</v>
      </c>
      <c r="T113" s="48" t="s">
        <v>275</v>
      </c>
      <c r="U113" s="48" t="s">
        <v>265</v>
      </c>
      <c r="V113" s="48" t="s">
        <v>274</v>
      </c>
      <c r="W113" s="48" t="s">
        <v>257</v>
      </c>
      <c r="X113" s="49">
        <v>26254</v>
      </c>
      <c r="Y113" s="49">
        <v>5601</v>
      </c>
      <c r="Z113" s="50">
        <v>0.21</v>
      </c>
    </row>
    <row r="114" spans="1:26">
      <c r="A114" s="48" t="s">
        <v>249</v>
      </c>
      <c r="B114" s="48" t="s">
        <v>286</v>
      </c>
      <c r="C114" s="48" t="s">
        <v>265</v>
      </c>
      <c r="D114" s="48" t="s">
        <v>206</v>
      </c>
      <c r="E114" s="48" t="s">
        <v>257</v>
      </c>
      <c r="F114" s="49">
        <v>22938</v>
      </c>
      <c r="G114" s="49">
        <v>2527</v>
      </c>
      <c r="H114" s="50">
        <v>0.11</v>
      </c>
      <c r="J114" s="48" t="s">
        <v>270</v>
      </c>
      <c r="K114" s="48" t="s">
        <v>286</v>
      </c>
      <c r="L114" s="48" t="s">
        <v>265</v>
      </c>
      <c r="M114" s="48" t="s">
        <v>206</v>
      </c>
      <c r="N114" s="48" t="s">
        <v>257</v>
      </c>
      <c r="O114" s="49">
        <v>28349</v>
      </c>
      <c r="P114" s="49">
        <v>4900</v>
      </c>
      <c r="Q114" s="50">
        <v>0.17</v>
      </c>
      <c r="S114" s="48" t="s">
        <v>272</v>
      </c>
      <c r="T114" s="48" t="s">
        <v>284</v>
      </c>
      <c r="U114" s="48" t="s">
        <v>265</v>
      </c>
      <c r="V114" s="48" t="s">
        <v>206</v>
      </c>
      <c r="W114" s="48" t="s">
        <v>259</v>
      </c>
      <c r="X114" s="49">
        <v>23662</v>
      </c>
      <c r="Y114" s="49">
        <v>5032</v>
      </c>
      <c r="Z114" s="50">
        <v>0.21</v>
      </c>
    </row>
    <row r="115" spans="1:26">
      <c r="A115" s="48" t="s">
        <v>249</v>
      </c>
      <c r="B115" s="48" t="s">
        <v>252</v>
      </c>
      <c r="C115" s="48" t="s">
        <v>266</v>
      </c>
      <c r="D115" s="48" t="s">
        <v>233</v>
      </c>
      <c r="E115" s="48" t="s">
        <v>239</v>
      </c>
      <c r="F115" s="49">
        <v>649</v>
      </c>
      <c r="G115" s="49">
        <v>181</v>
      </c>
      <c r="H115" s="50">
        <v>0.28000000000000003</v>
      </c>
      <c r="J115" s="48" t="s">
        <v>270</v>
      </c>
      <c r="K115" s="48" t="s">
        <v>273</v>
      </c>
      <c r="L115" s="48" t="s">
        <v>266</v>
      </c>
      <c r="M115" s="48" t="s">
        <v>274</v>
      </c>
      <c r="N115" s="48" t="s">
        <v>251</v>
      </c>
      <c r="O115" s="49">
        <v>3342</v>
      </c>
      <c r="P115" s="49">
        <v>866</v>
      </c>
      <c r="Q115" s="50">
        <v>0.26</v>
      </c>
      <c r="S115" s="48" t="s">
        <v>272</v>
      </c>
      <c r="T115" s="48" t="s">
        <v>273</v>
      </c>
      <c r="U115" s="48" t="s">
        <v>266</v>
      </c>
      <c r="V115" s="48" t="s">
        <v>274</v>
      </c>
      <c r="W115" s="48" t="s">
        <v>251</v>
      </c>
      <c r="X115" s="49">
        <v>29153</v>
      </c>
      <c r="Y115" s="49">
        <v>7189</v>
      </c>
      <c r="Z115" s="50">
        <v>0.25</v>
      </c>
    </row>
    <row r="116" spans="1:26">
      <c r="A116" s="48" t="s">
        <v>249</v>
      </c>
      <c r="B116" s="48" t="s">
        <v>250</v>
      </c>
      <c r="C116" s="48" t="s">
        <v>266</v>
      </c>
      <c r="D116" s="48" t="s">
        <v>233</v>
      </c>
      <c r="E116" s="48" t="s">
        <v>251</v>
      </c>
      <c r="F116" s="49">
        <v>624</v>
      </c>
      <c r="G116" s="49">
        <v>167</v>
      </c>
      <c r="H116" s="50">
        <v>0.27</v>
      </c>
      <c r="J116" s="48" t="s">
        <v>270</v>
      </c>
      <c r="K116" s="48" t="s">
        <v>250</v>
      </c>
      <c r="L116" s="48" t="s">
        <v>266</v>
      </c>
      <c r="M116" s="48" t="s">
        <v>233</v>
      </c>
      <c r="N116" s="48" t="s">
        <v>251</v>
      </c>
      <c r="O116" s="49">
        <v>7312</v>
      </c>
      <c r="P116" s="49">
        <v>1806</v>
      </c>
      <c r="Q116" s="50">
        <v>0.25</v>
      </c>
      <c r="S116" s="48" t="s">
        <v>272</v>
      </c>
      <c r="T116" s="48" t="s">
        <v>250</v>
      </c>
      <c r="U116" s="48" t="s">
        <v>266</v>
      </c>
      <c r="V116" s="48" t="s">
        <v>233</v>
      </c>
      <c r="W116" s="48" t="s">
        <v>251</v>
      </c>
      <c r="X116" s="49">
        <v>40781</v>
      </c>
      <c r="Y116" s="49">
        <v>9865</v>
      </c>
      <c r="Z116" s="50">
        <v>0.24</v>
      </c>
    </row>
    <row r="117" spans="1:26">
      <c r="A117" s="48" t="s">
        <v>249</v>
      </c>
      <c r="B117" s="48" t="s">
        <v>273</v>
      </c>
      <c r="C117" s="48" t="s">
        <v>266</v>
      </c>
      <c r="D117" s="48" t="s">
        <v>274</v>
      </c>
      <c r="E117" s="48" t="s">
        <v>251</v>
      </c>
      <c r="F117" s="49">
        <v>387</v>
      </c>
      <c r="G117" s="49">
        <v>105</v>
      </c>
      <c r="H117" s="50">
        <v>0.27</v>
      </c>
      <c r="J117" s="48" t="s">
        <v>270</v>
      </c>
      <c r="K117" s="48" t="s">
        <v>252</v>
      </c>
      <c r="L117" s="48" t="s">
        <v>266</v>
      </c>
      <c r="M117" s="48" t="s">
        <v>233</v>
      </c>
      <c r="N117" s="48" t="s">
        <v>239</v>
      </c>
      <c r="O117" s="49">
        <v>7324</v>
      </c>
      <c r="P117" s="49">
        <v>1785</v>
      </c>
      <c r="Q117" s="50">
        <v>0.24</v>
      </c>
      <c r="S117" s="48" t="s">
        <v>272</v>
      </c>
      <c r="T117" s="48" t="s">
        <v>252</v>
      </c>
      <c r="U117" s="48" t="s">
        <v>266</v>
      </c>
      <c r="V117" s="48" t="s">
        <v>233</v>
      </c>
      <c r="W117" s="48" t="s">
        <v>239</v>
      </c>
      <c r="X117" s="49">
        <v>40602</v>
      </c>
      <c r="Y117" s="49">
        <v>9878</v>
      </c>
      <c r="Z117" s="50">
        <v>0.24</v>
      </c>
    </row>
    <row r="118" spans="1:26">
      <c r="A118" s="48" t="s">
        <v>249</v>
      </c>
      <c r="B118" s="48" t="s">
        <v>258</v>
      </c>
      <c r="C118" s="48" t="s">
        <v>266</v>
      </c>
      <c r="D118" s="48" t="s">
        <v>233</v>
      </c>
      <c r="E118" s="48" t="s">
        <v>259</v>
      </c>
      <c r="F118" s="49">
        <v>1330</v>
      </c>
      <c r="G118" s="49">
        <v>326</v>
      </c>
      <c r="H118" s="50">
        <v>0.25</v>
      </c>
      <c r="J118" s="48" t="s">
        <v>270</v>
      </c>
      <c r="K118" s="48" t="s">
        <v>276</v>
      </c>
      <c r="L118" s="48" t="s">
        <v>266</v>
      </c>
      <c r="M118" s="48" t="s">
        <v>274</v>
      </c>
      <c r="N118" s="48" t="s">
        <v>239</v>
      </c>
      <c r="O118" s="49">
        <v>10323</v>
      </c>
      <c r="P118" s="49">
        <v>2319</v>
      </c>
      <c r="Q118" s="50">
        <v>0.22</v>
      </c>
      <c r="S118" s="48" t="s">
        <v>272</v>
      </c>
      <c r="T118" s="48" t="s">
        <v>276</v>
      </c>
      <c r="U118" s="48" t="s">
        <v>266</v>
      </c>
      <c r="V118" s="48" t="s">
        <v>274</v>
      </c>
      <c r="W118" s="48" t="s">
        <v>239</v>
      </c>
      <c r="X118" s="49">
        <v>40828</v>
      </c>
      <c r="Y118" s="49">
        <v>9322</v>
      </c>
      <c r="Z118" s="50">
        <v>0.23</v>
      </c>
    </row>
    <row r="119" spans="1:26">
      <c r="A119" s="48" t="s">
        <v>249</v>
      </c>
      <c r="B119" s="48" t="s">
        <v>253</v>
      </c>
      <c r="C119" s="48" t="s">
        <v>266</v>
      </c>
      <c r="D119" s="48" t="s">
        <v>233</v>
      </c>
      <c r="E119" s="48" t="s">
        <v>234</v>
      </c>
      <c r="F119" s="49">
        <v>1319</v>
      </c>
      <c r="G119" s="49">
        <v>328</v>
      </c>
      <c r="H119" s="50">
        <v>0.25</v>
      </c>
      <c r="J119" s="48" t="s">
        <v>270</v>
      </c>
      <c r="K119" s="48" t="s">
        <v>254</v>
      </c>
      <c r="L119" s="48" t="s">
        <v>266</v>
      </c>
      <c r="M119" s="48" t="s">
        <v>233</v>
      </c>
      <c r="N119" s="48" t="s">
        <v>255</v>
      </c>
      <c r="O119" s="49">
        <v>8425</v>
      </c>
      <c r="P119" s="49">
        <v>1730</v>
      </c>
      <c r="Q119" s="50">
        <v>0.21</v>
      </c>
      <c r="S119" s="48" t="s">
        <v>272</v>
      </c>
      <c r="T119" s="48" t="s">
        <v>278</v>
      </c>
      <c r="U119" s="48" t="s">
        <v>266</v>
      </c>
      <c r="V119" s="48" t="s">
        <v>274</v>
      </c>
      <c r="W119" s="48" t="s">
        <v>255</v>
      </c>
      <c r="X119" s="49">
        <v>34046</v>
      </c>
      <c r="Y119" s="49">
        <v>7746</v>
      </c>
      <c r="Z119" s="50">
        <v>0.23</v>
      </c>
    </row>
    <row r="120" spans="1:26">
      <c r="A120" s="48" t="s">
        <v>249</v>
      </c>
      <c r="B120" s="48" t="s">
        <v>256</v>
      </c>
      <c r="C120" s="48" t="s">
        <v>266</v>
      </c>
      <c r="D120" s="48" t="s">
        <v>233</v>
      </c>
      <c r="E120" s="48" t="s">
        <v>257</v>
      </c>
      <c r="F120" s="49">
        <v>1214</v>
      </c>
      <c r="G120" s="49">
        <v>295</v>
      </c>
      <c r="H120" s="50">
        <v>0.24</v>
      </c>
      <c r="J120" s="48" t="s">
        <v>270</v>
      </c>
      <c r="K120" s="48" t="s">
        <v>278</v>
      </c>
      <c r="L120" s="48" t="s">
        <v>266</v>
      </c>
      <c r="M120" s="48" t="s">
        <v>274</v>
      </c>
      <c r="N120" s="48" t="s">
        <v>255</v>
      </c>
      <c r="O120" s="49">
        <v>15222</v>
      </c>
      <c r="P120" s="49">
        <v>3039</v>
      </c>
      <c r="Q120" s="50">
        <v>0.2</v>
      </c>
      <c r="S120" s="48" t="s">
        <v>272</v>
      </c>
      <c r="T120" s="48" t="s">
        <v>254</v>
      </c>
      <c r="U120" s="48" t="s">
        <v>266</v>
      </c>
      <c r="V120" s="48" t="s">
        <v>233</v>
      </c>
      <c r="W120" s="48" t="s">
        <v>255</v>
      </c>
      <c r="X120" s="49">
        <v>26578</v>
      </c>
      <c r="Y120" s="49">
        <v>6183</v>
      </c>
      <c r="Z120" s="50">
        <v>0.23</v>
      </c>
    </row>
    <row r="121" spans="1:26">
      <c r="A121" s="48" t="s">
        <v>249</v>
      </c>
      <c r="B121" s="48" t="s">
        <v>254</v>
      </c>
      <c r="C121" s="48" t="s">
        <v>266</v>
      </c>
      <c r="D121" s="48" t="s">
        <v>233</v>
      </c>
      <c r="E121" s="48" t="s">
        <v>255</v>
      </c>
      <c r="F121" s="49">
        <v>1398</v>
      </c>
      <c r="G121" s="49">
        <v>323</v>
      </c>
      <c r="H121" s="50">
        <v>0.23</v>
      </c>
      <c r="J121" s="48" t="s">
        <v>270</v>
      </c>
      <c r="K121" s="48" t="s">
        <v>253</v>
      </c>
      <c r="L121" s="48" t="s">
        <v>266</v>
      </c>
      <c r="M121" s="48" t="s">
        <v>233</v>
      </c>
      <c r="N121" s="48" t="s">
        <v>234</v>
      </c>
      <c r="O121" s="49">
        <v>8284</v>
      </c>
      <c r="P121" s="49">
        <v>1698</v>
      </c>
      <c r="Q121" s="50">
        <v>0.2</v>
      </c>
      <c r="S121" s="48" t="s">
        <v>272</v>
      </c>
      <c r="T121" s="48" t="s">
        <v>253</v>
      </c>
      <c r="U121" s="48" t="s">
        <v>266</v>
      </c>
      <c r="V121" s="48" t="s">
        <v>233</v>
      </c>
      <c r="W121" s="48" t="s">
        <v>234</v>
      </c>
      <c r="X121" s="49">
        <v>25930</v>
      </c>
      <c r="Y121" s="49">
        <v>6047</v>
      </c>
      <c r="Z121" s="50">
        <v>0.23</v>
      </c>
    </row>
    <row r="122" spans="1:26">
      <c r="A122" s="48" t="s">
        <v>249</v>
      </c>
      <c r="B122" s="48" t="s">
        <v>276</v>
      </c>
      <c r="C122" s="48" t="s">
        <v>266</v>
      </c>
      <c r="D122" s="48" t="s">
        <v>274</v>
      </c>
      <c r="E122" s="48" t="s">
        <v>239</v>
      </c>
      <c r="F122" s="49">
        <v>2499</v>
      </c>
      <c r="G122" s="49">
        <v>482</v>
      </c>
      <c r="H122" s="50">
        <v>0.19</v>
      </c>
      <c r="J122" s="48" t="s">
        <v>270</v>
      </c>
      <c r="K122" s="48" t="s">
        <v>279</v>
      </c>
      <c r="L122" s="48" t="s">
        <v>266</v>
      </c>
      <c r="M122" s="48" t="s">
        <v>274</v>
      </c>
      <c r="N122" s="48" t="s">
        <v>280</v>
      </c>
      <c r="O122" s="49">
        <v>27915</v>
      </c>
      <c r="P122" s="49">
        <v>5276</v>
      </c>
      <c r="Q122" s="50">
        <v>0.19</v>
      </c>
      <c r="S122" s="48" t="s">
        <v>272</v>
      </c>
      <c r="T122" s="48" t="s">
        <v>285</v>
      </c>
      <c r="U122" s="48" t="s">
        <v>266</v>
      </c>
      <c r="V122" s="48" t="s">
        <v>206</v>
      </c>
      <c r="W122" s="48" t="s">
        <v>251</v>
      </c>
      <c r="X122" s="49">
        <v>59776</v>
      </c>
      <c r="Y122" s="49">
        <v>12880</v>
      </c>
      <c r="Z122" s="50">
        <v>0.22</v>
      </c>
    </row>
    <row r="123" spans="1:26">
      <c r="A123" s="48" t="s">
        <v>249</v>
      </c>
      <c r="B123" s="48" t="s">
        <v>278</v>
      </c>
      <c r="C123" s="48" t="s">
        <v>266</v>
      </c>
      <c r="D123" s="48" t="s">
        <v>274</v>
      </c>
      <c r="E123" s="48" t="s">
        <v>255</v>
      </c>
      <c r="F123" s="49">
        <v>5623</v>
      </c>
      <c r="G123" s="49">
        <v>935</v>
      </c>
      <c r="H123" s="50">
        <v>0.17</v>
      </c>
      <c r="J123" s="48" t="s">
        <v>270</v>
      </c>
      <c r="K123" s="48" t="s">
        <v>277</v>
      </c>
      <c r="L123" s="48" t="s">
        <v>266</v>
      </c>
      <c r="M123" s="48" t="s">
        <v>274</v>
      </c>
      <c r="N123" s="48" t="s">
        <v>259</v>
      </c>
      <c r="O123" s="49">
        <v>9969</v>
      </c>
      <c r="P123" s="49">
        <v>1853</v>
      </c>
      <c r="Q123" s="50">
        <v>0.19</v>
      </c>
      <c r="S123" s="48" t="s">
        <v>272</v>
      </c>
      <c r="T123" s="48" t="s">
        <v>279</v>
      </c>
      <c r="U123" s="48" t="s">
        <v>266</v>
      </c>
      <c r="V123" s="48" t="s">
        <v>274</v>
      </c>
      <c r="W123" s="48" t="s">
        <v>280</v>
      </c>
      <c r="X123" s="49">
        <v>52395</v>
      </c>
      <c r="Y123" s="49">
        <v>11723</v>
      </c>
      <c r="Z123" s="50">
        <v>0.22</v>
      </c>
    </row>
    <row r="124" spans="1:26">
      <c r="A124" s="48" t="s">
        <v>249</v>
      </c>
      <c r="B124" s="48" t="s">
        <v>275</v>
      </c>
      <c r="C124" s="48" t="s">
        <v>266</v>
      </c>
      <c r="D124" s="48" t="s">
        <v>274</v>
      </c>
      <c r="E124" s="48" t="s">
        <v>257</v>
      </c>
      <c r="F124" s="49">
        <v>1444</v>
      </c>
      <c r="G124" s="49">
        <v>222</v>
      </c>
      <c r="H124" s="50">
        <v>0.15</v>
      </c>
      <c r="J124" s="48" t="s">
        <v>270</v>
      </c>
      <c r="K124" s="48" t="s">
        <v>256</v>
      </c>
      <c r="L124" s="48" t="s">
        <v>266</v>
      </c>
      <c r="M124" s="48" t="s">
        <v>233</v>
      </c>
      <c r="N124" s="48" t="s">
        <v>257</v>
      </c>
      <c r="O124" s="49">
        <v>8486</v>
      </c>
      <c r="P124" s="49">
        <v>1596</v>
      </c>
      <c r="Q124" s="50">
        <v>0.19</v>
      </c>
      <c r="S124" s="48" t="s">
        <v>272</v>
      </c>
      <c r="T124" s="48" t="s">
        <v>282</v>
      </c>
      <c r="U124" s="48" t="s">
        <v>266</v>
      </c>
      <c r="V124" s="48" t="s">
        <v>206</v>
      </c>
      <c r="W124" s="48" t="s">
        <v>280</v>
      </c>
      <c r="X124" s="49">
        <v>52325</v>
      </c>
      <c r="Y124" s="49">
        <v>11514</v>
      </c>
      <c r="Z124" s="50">
        <v>0.22</v>
      </c>
    </row>
    <row r="125" spans="1:26">
      <c r="A125" s="48" t="s">
        <v>249</v>
      </c>
      <c r="B125" s="48" t="s">
        <v>277</v>
      </c>
      <c r="C125" s="48" t="s">
        <v>266</v>
      </c>
      <c r="D125" s="48" t="s">
        <v>274</v>
      </c>
      <c r="E125" s="48" t="s">
        <v>259</v>
      </c>
      <c r="F125" s="49">
        <v>2917</v>
      </c>
      <c r="G125" s="49">
        <v>422</v>
      </c>
      <c r="H125" s="50">
        <v>0.14000000000000001</v>
      </c>
      <c r="J125" s="48" t="s">
        <v>270</v>
      </c>
      <c r="K125" s="48" t="s">
        <v>258</v>
      </c>
      <c r="L125" s="48" t="s">
        <v>266</v>
      </c>
      <c r="M125" s="48" t="s">
        <v>233</v>
      </c>
      <c r="N125" s="48" t="s">
        <v>259</v>
      </c>
      <c r="O125" s="49">
        <v>8172</v>
      </c>
      <c r="P125" s="49">
        <v>1580</v>
      </c>
      <c r="Q125" s="50">
        <v>0.19</v>
      </c>
      <c r="S125" s="48" t="s">
        <v>272</v>
      </c>
      <c r="T125" s="48" t="s">
        <v>281</v>
      </c>
      <c r="U125" s="48" t="s">
        <v>266</v>
      </c>
      <c r="V125" s="48" t="s">
        <v>206</v>
      </c>
      <c r="W125" s="48" t="s">
        <v>255</v>
      </c>
      <c r="X125" s="49">
        <v>37269</v>
      </c>
      <c r="Y125" s="49">
        <v>8209</v>
      </c>
      <c r="Z125" s="50">
        <v>0.22</v>
      </c>
    </row>
    <row r="126" spans="1:26">
      <c r="A126" s="48" t="s">
        <v>249</v>
      </c>
      <c r="B126" s="48" t="s">
        <v>279</v>
      </c>
      <c r="C126" s="48" t="s">
        <v>266</v>
      </c>
      <c r="D126" s="48" t="s">
        <v>274</v>
      </c>
      <c r="E126" s="48" t="s">
        <v>280</v>
      </c>
      <c r="F126" s="49">
        <v>14829</v>
      </c>
      <c r="G126" s="49">
        <v>1984</v>
      </c>
      <c r="H126" s="50">
        <v>0.13</v>
      </c>
      <c r="J126" s="48" t="s">
        <v>270</v>
      </c>
      <c r="K126" s="48" t="s">
        <v>275</v>
      </c>
      <c r="L126" s="48" t="s">
        <v>266</v>
      </c>
      <c r="M126" s="48" t="s">
        <v>274</v>
      </c>
      <c r="N126" s="48" t="s">
        <v>257</v>
      </c>
      <c r="O126" s="49">
        <v>6673</v>
      </c>
      <c r="P126" s="49">
        <v>1231</v>
      </c>
      <c r="Q126" s="50">
        <v>0.18</v>
      </c>
      <c r="S126" s="48" t="s">
        <v>272</v>
      </c>
      <c r="T126" s="48" t="s">
        <v>277</v>
      </c>
      <c r="U126" s="48" t="s">
        <v>266</v>
      </c>
      <c r="V126" s="48" t="s">
        <v>274</v>
      </c>
      <c r="W126" s="48" t="s">
        <v>259</v>
      </c>
      <c r="X126" s="49">
        <v>27417</v>
      </c>
      <c r="Y126" s="49">
        <v>6071</v>
      </c>
      <c r="Z126" s="50">
        <v>0.22</v>
      </c>
    </row>
    <row r="127" spans="1:26">
      <c r="A127" s="48" t="s">
        <v>249</v>
      </c>
      <c r="B127" s="48" t="s">
        <v>282</v>
      </c>
      <c r="C127" s="48" t="s">
        <v>266</v>
      </c>
      <c r="D127" s="48" t="s">
        <v>206</v>
      </c>
      <c r="E127" s="48" t="s">
        <v>280</v>
      </c>
      <c r="F127" s="49">
        <v>21706</v>
      </c>
      <c r="G127" s="49">
        <v>2484</v>
      </c>
      <c r="H127" s="50">
        <v>0.11</v>
      </c>
      <c r="J127" s="48" t="s">
        <v>270</v>
      </c>
      <c r="K127" s="48" t="s">
        <v>285</v>
      </c>
      <c r="L127" s="48" t="s">
        <v>266</v>
      </c>
      <c r="M127" s="48" t="s">
        <v>206</v>
      </c>
      <c r="N127" s="48" t="s">
        <v>251</v>
      </c>
      <c r="O127" s="49">
        <v>37979</v>
      </c>
      <c r="P127" s="49">
        <v>6453</v>
      </c>
      <c r="Q127" s="50">
        <v>0.17</v>
      </c>
      <c r="S127" s="48" t="s">
        <v>272</v>
      </c>
      <c r="T127" s="48" t="s">
        <v>256</v>
      </c>
      <c r="U127" s="48" t="s">
        <v>266</v>
      </c>
      <c r="V127" s="48" t="s">
        <v>233</v>
      </c>
      <c r="W127" s="48" t="s">
        <v>257</v>
      </c>
      <c r="X127" s="49">
        <v>26771</v>
      </c>
      <c r="Y127" s="49">
        <v>5890</v>
      </c>
      <c r="Z127" s="50">
        <v>0.22</v>
      </c>
    </row>
    <row r="128" spans="1:26">
      <c r="A128" s="48" t="s">
        <v>249</v>
      </c>
      <c r="B128" s="48" t="s">
        <v>281</v>
      </c>
      <c r="C128" s="48" t="s">
        <v>266</v>
      </c>
      <c r="D128" s="48" t="s">
        <v>206</v>
      </c>
      <c r="E128" s="48" t="s">
        <v>255</v>
      </c>
      <c r="F128" s="49">
        <v>20474</v>
      </c>
      <c r="G128" s="49">
        <v>2225</v>
      </c>
      <c r="H128" s="50">
        <v>0.11</v>
      </c>
      <c r="J128" s="48" t="s">
        <v>270</v>
      </c>
      <c r="K128" s="48" t="s">
        <v>282</v>
      </c>
      <c r="L128" s="48" t="s">
        <v>266</v>
      </c>
      <c r="M128" s="48" t="s">
        <v>206</v>
      </c>
      <c r="N128" s="48" t="s">
        <v>280</v>
      </c>
      <c r="O128" s="49">
        <v>36031</v>
      </c>
      <c r="P128" s="49">
        <v>6298</v>
      </c>
      <c r="Q128" s="50">
        <v>0.17</v>
      </c>
      <c r="S128" s="48" t="s">
        <v>272</v>
      </c>
      <c r="T128" s="48" t="s">
        <v>258</v>
      </c>
      <c r="U128" s="48" t="s">
        <v>266</v>
      </c>
      <c r="V128" s="48" t="s">
        <v>233</v>
      </c>
      <c r="W128" s="48" t="s">
        <v>259</v>
      </c>
      <c r="X128" s="49">
        <v>26573</v>
      </c>
      <c r="Y128" s="49">
        <v>5740</v>
      </c>
      <c r="Z128" s="50">
        <v>0.22</v>
      </c>
    </row>
    <row r="129" spans="1:26">
      <c r="A129" s="48" t="s">
        <v>249</v>
      </c>
      <c r="B129" s="48" t="s">
        <v>283</v>
      </c>
      <c r="C129" s="48" t="s">
        <v>266</v>
      </c>
      <c r="D129" s="48" t="s">
        <v>206</v>
      </c>
      <c r="E129" s="48" t="s">
        <v>239</v>
      </c>
      <c r="F129" s="49">
        <v>25438</v>
      </c>
      <c r="G129" s="49">
        <v>2656</v>
      </c>
      <c r="H129" s="50">
        <v>0.1</v>
      </c>
      <c r="J129" s="48" t="s">
        <v>270</v>
      </c>
      <c r="K129" s="48" t="s">
        <v>281</v>
      </c>
      <c r="L129" s="48" t="s">
        <v>266</v>
      </c>
      <c r="M129" s="48" t="s">
        <v>206</v>
      </c>
      <c r="N129" s="48" t="s">
        <v>255</v>
      </c>
      <c r="O129" s="49">
        <v>33229</v>
      </c>
      <c r="P129" s="49">
        <v>5550</v>
      </c>
      <c r="Q129" s="50">
        <v>0.17</v>
      </c>
      <c r="S129" s="48" t="s">
        <v>272</v>
      </c>
      <c r="T129" s="48" t="s">
        <v>275</v>
      </c>
      <c r="U129" s="48" t="s">
        <v>266</v>
      </c>
      <c r="V129" s="48" t="s">
        <v>274</v>
      </c>
      <c r="W129" s="48" t="s">
        <v>257</v>
      </c>
      <c r="X129" s="49">
        <v>25335</v>
      </c>
      <c r="Y129" s="49">
        <v>5486</v>
      </c>
      <c r="Z129" s="50">
        <v>0.22</v>
      </c>
    </row>
    <row r="130" spans="1:26">
      <c r="A130" s="48" t="s">
        <v>249</v>
      </c>
      <c r="B130" s="48" t="s">
        <v>285</v>
      </c>
      <c r="C130" s="48" t="s">
        <v>266</v>
      </c>
      <c r="D130" s="48" t="s">
        <v>206</v>
      </c>
      <c r="E130" s="48" t="s">
        <v>251</v>
      </c>
      <c r="F130" s="49">
        <v>24739</v>
      </c>
      <c r="G130" s="49">
        <v>2526</v>
      </c>
      <c r="H130" s="50">
        <v>0.1</v>
      </c>
      <c r="J130" s="48" t="s">
        <v>270</v>
      </c>
      <c r="K130" s="48" t="s">
        <v>283</v>
      </c>
      <c r="L130" s="48" t="s">
        <v>266</v>
      </c>
      <c r="M130" s="48" t="s">
        <v>206</v>
      </c>
      <c r="N130" s="48" t="s">
        <v>239</v>
      </c>
      <c r="O130" s="49">
        <v>41469</v>
      </c>
      <c r="P130" s="49">
        <v>6749</v>
      </c>
      <c r="Q130" s="50">
        <v>0.16</v>
      </c>
      <c r="S130" s="48" t="s">
        <v>272</v>
      </c>
      <c r="T130" s="48" t="s">
        <v>283</v>
      </c>
      <c r="U130" s="48" t="s">
        <v>266</v>
      </c>
      <c r="V130" s="48" t="s">
        <v>206</v>
      </c>
      <c r="W130" s="48" t="s">
        <v>239</v>
      </c>
      <c r="X130" s="49">
        <v>37214</v>
      </c>
      <c r="Y130" s="49">
        <v>7854</v>
      </c>
      <c r="Z130" s="50">
        <v>0.21</v>
      </c>
    </row>
    <row r="131" spans="1:26">
      <c r="A131" s="48" t="s">
        <v>249</v>
      </c>
      <c r="B131" s="48" t="s">
        <v>284</v>
      </c>
      <c r="C131" s="48" t="s">
        <v>266</v>
      </c>
      <c r="D131" s="48" t="s">
        <v>206</v>
      </c>
      <c r="E131" s="48" t="s">
        <v>259</v>
      </c>
      <c r="F131" s="49">
        <v>21598</v>
      </c>
      <c r="G131" s="49">
        <v>1920</v>
      </c>
      <c r="H131" s="50">
        <v>0.09</v>
      </c>
      <c r="J131" s="48" t="s">
        <v>270</v>
      </c>
      <c r="K131" s="48" t="s">
        <v>284</v>
      </c>
      <c r="L131" s="48" t="s">
        <v>266</v>
      </c>
      <c r="M131" s="48" t="s">
        <v>206</v>
      </c>
      <c r="N131" s="48" t="s">
        <v>259</v>
      </c>
      <c r="O131" s="49">
        <v>32168</v>
      </c>
      <c r="P131" s="49">
        <v>4814</v>
      </c>
      <c r="Q131" s="50">
        <v>0.15</v>
      </c>
      <c r="S131" s="48" t="s">
        <v>272</v>
      </c>
      <c r="T131" s="48" t="s">
        <v>286</v>
      </c>
      <c r="U131" s="48" t="s">
        <v>266</v>
      </c>
      <c r="V131" s="48" t="s">
        <v>206</v>
      </c>
      <c r="W131" s="48" t="s">
        <v>257</v>
      </c>
      <c r="X131" s="49">
        <v>32722</v>
      </c>
      <c r="Y131" s="49">
        <v>6827</v>
      </c>
      <c r="Z131" s="50">
        <v>0.21</v>
      </c>
    </row>
    <row r="132" spans="1:26">
      <c r="A132" s="48" t="s">
        <v>249</v>
      </c>
      <c r="B132" s="48" t="s">
        <v>286</v>
      </c>
      <c r="C132" s="48" t="s">
        <v>266</v>
      </c>
      <c r="D132" s="48" t="s">
        <v>206</v>
      </c>
      <c r="E132" s="48" t="s">
        <v>257</v>
      </c>
      <c r="F132" s="49">
        <v>22324</v>
      </c>
      <c r="G132" s="49">
        <v>1838</v>
      </c>
      <c r="H132" s="50">
        <v>0.08</v>
      </c>
      <c r="J132" s="48" t="s">
        <v>270</v>
      </c>
      <c r="K132" s="48" t="s">
        <v>286</v>
      </c>
      <c r="L132" s="48" t="s">
        <v>266</v>
      </c>
      <c r="M132" s="48" t="s">
        <v>206</v>
      </c>
      <c r="N132" s="48" t="s">
        <v>257</v>
      </c>
      <c r="O132" s="49">
        <v>30472</v>
      </c>
      <c r="P132" s="49">
        <v>4444</v>
      </c>
      <c r="Q132" s="50">
        <v>0.15</v>
      </c>
      <c r="S132" s="48" t="s">
        <v>272</v>
      </c>
      <c r="T132" s="48" t="s">
        <v>284</v>
      </c>
      <c r="U132" s="48" t="s">
        <v>266</v>
      </c>
      <c r="V132" s="48" t="s">
        <v>206</v>
      </c>
      <c r="W132" s="48" t="s">
        <v>259</v>
      </c>
      <c r="X132" s="49">
        <v>32096</v>
      </c>
      <c r="Y132" s="49">
        <v>6827</v>
      </c>
      <c r="Z132" s="50">
        <v>0.21</v>
      </c>
    </row>
  </sheetData>
  <autoFilter ref="A24:H132"/>
  <phoneticPr fontId="5"/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1"/>
  <sheetViews>
    <sheetView topLeftCell="A16" workbookViewId="0">
      <selection activeCell="A38" sqref="A38"/>
    </sheetView>
  </sheetViews>
  <sheetFormatPr defaultRowHeight="17.25"/>
  <sheetData>
    <row r="1" spans="1:13" s="42" customFormat="1">
      <c r="A1" s="42">
        <v>99100</v>
      </c>
      <c r="G1" s="42">
        <v>89100</v>
      </c>
      <c r="M1" s="42">
        <v>79100</v>
      </c>
    </row>
    <row r="2" spans="1:13" s="42" customFormat="1">
      <c r="A2" s="42" t="s">
        <v>386</v>
      </c>
    </row>
    <row r="3" spans="1:13">
      <c r="A3" t="s">
        <v>374</v>
      </c>
      <c r="G3" t="s">
        <v>387</v>
      </c>
      <c r="M3" t="s">
        <v>398</v>
      </c>
    </row>
    <row r="4" spans="1:13">
      <c r="A4" t="s">
        <v>375</v>
      </c>
      <c r="G4" t="s">
        <v>388</v>
      </c>
      <c r="M4" t="s">
        <v>399</v>
      </c>
    </row>
    <row r="5" spans="1:13">
      <c r="A5" t="s">
        <v>376</v>
      </c>
      <c r="G5" t="s">
        <v>376</v>
      </c>
      <c r="M5" t="s">
        <v>376</v>
      </c>
    </row>
    <row r="7" spans="1:13">
      <c r="A7" t="s">
        <v>377</v>
      </c>
      <c r="G7" t="s">
        <v>389</v>
      </c>
      <c r="M7" t="s">
        <v>400</v>
      </c>
    </row>
    <row r="8" spans="1:13">
      <c r="A8" t="s">
        <v>378</v>
      </c>
      <c r="G8" t="s">
        <v>390</v>
      </c>
      <c r="M8" t="s">
        <v>401</v>
      </c>
    </row>
    <row r="9" spans="1:13">
      <c r="A9" t="s">
        <v>379</v>
      </c>
      <c r="G9" t="s">
        <v>391</v>
      </c>
      <c r="M9" t="s">
        <v>402</v>
      </c>
    </row>
    <row r="10" spans="1:13">
      <c r="A10" t="s">
        <v>380</v>
      </c>
      <c r="G10" t="s">
        <v>392</v>
      </c>
      <c r="M10" t="s">
        <v>403</v>
      </c>
    </row>
    <row r="11" spans="1:13">
      <c r="A11" t="s">
        <v>381</v>
      </c>
      <c r="G11" t="s">
        <v>393</v>
      </c>
      <c r="M11" t="s">
        <v>404</v>
      </c>
    </row>
    <row r="12" spans="1:13">
      <c r="A12" t="s">
        <v>382</v>
      </c>
      <c r="G12" t="s">
        <v>394</v>
      </c>
      <c r="M12" t="s">
        <v>405</v>
      </c>
    </row>
    <row r="14" spans="1:13">
      <c r="A14" t="s">
        <v>383</v>
      </c>
      <c r="G14" t="s">
        <v>395</v>
      </c>
      <c r="M14" t="s">
        <v>406</v>
      </c>
    </row>
    <row r="15" spans="1:13">
      <c r="A15" t="s">
        <v>384</v>
      </c>
      <c r="G15" t="s">
        <v>396</v>
      </c>
      <c r="M15" t="s">
        <v>407</v>
      </c>
    </row>
    <row r="16" spans="1:13">
      <c r="A16" t="s">
        <v>385</v>
      </c>
      <c r="G16" t="s">
        <v>397</v>
      </c>
      <c r="M16" t="s">
        <v>408</v>
      </c>
    </row>
    <row r="20" spans="1:13">
      <c r="A20" t="s">
        <v>409</v>
      </c>
    </row>
    <row r="21" spans="1:13">
      <c r="A21" t="s">
        <v>410</v>
      </c>
      <c r="G21" t="s">
        <v>421</v>
      </c>
      <c r="M21" t="s">
        <v>432</v>
      </c>
    </row>
    <row r="22" spans="1:13">
      <c r="A22" t="s">
        <v>411</v>
      </c>
      <c r="G22" t="s">
        <v>422</v>
      </c>
      <c r="M22" t="s">
        <v>433</v>
      </c>
    </row>
    <row r="23" spans="1:13">
      <c r="A23" t="s">
        <v>376</v>
      </c>
      <c r="G23" t="s">
        <v>376</v>
      </c>
      <c r="M23" t="s">
        <v>376</v>
      </c>
    </row>
    <row r="25" spans="1:13">
      <c r="A25" t="s">
        <v>412</v>
      </c>
      <c r="G25" t="s">
        <v>423</v>
      </c>
      <c r="M25" t="s">
        <v>434</v>
      </c>
    </row>
    <row r="26" spans="1:13">
      <c r="A26" t="s">
        <v>413</v>
      </c>
      <c r="G26" t="s">
        <v>424</v>
      </c>
      <c r="M26" t="s">
        <v>435</v>
      </c>
    </row>
    <row r="27" spans="1:13">
      <c r="A27" t="s">
        <v>414</v>
      </c>
      <c r="G27" t="s">
        <v>425</v>
      </c>
      <c r="M27" t="s">
        <v>436</v>
      </c>
    </row>
    <row r="28" spans="1:13">
      <c r="A28" t="s">
        <v>415</v>
      </c>
      <c r="G28" t="s">
        <v>426</v>
      </c>
      <c r="M28" t="s">
        <v>437</v>
      </c>
    </row>
    <row r="29" spans="1:13">
      <c r="A29" t="s">
        <v>416</v>
      </c>
      <c r="G29" t="s">
        <v>427</v>
      </c>
      <c r="M29" t="s">
        <v>438</v>
      </c>
    </row>
    <row r="30" spans="1:13">
      <c r="A30" t="s">
        <v>417</v>
      </c>
      <c r="G30" t="s">
        <v>428</v>
      </c>
      <c r="M30" t="s">
        <v>439</v>
      </c>
    </row>
    <row r="32" spans="1:13">
      <c r="A32" t="s">
        <v>418</v>
      </c>
      <c r="G32" t="s">
        <v>429</v>
      </c>
      <c r="M32" t="s">
        <v>440</v>
      </c>
    </row>
    <row r="33" spans="1:13">
      <c r="A33" t="s">
        <v>419</v>
      </c>
      <c r="G33" t="s">
        <v>430</v>
      </c>
      <c r="M33" t="s">
        <v>441</v>
      </c>
    </row>
    <row r="34" spans="1:13">
      <c r="A34" t="s">
        <v>420</v>
      </c>
      <c r="G34" t="s">
        <v>431</v>
      </c>
    </row>
    <row r="37" spans="1:13">
      <c r="A37" t="s">
        <v>442</v>
      </c>
    </row>
    <row r="38" spans="1:13">
      <c r="A38" t="s">
        <v>443</v>
      </c>
      <c r="G38" t="s">
        <v>454</v>
      </c>
    </row>
    <row r="39" spans="1:13">
      <c r="A39" t="s">
        <v>444</v>
      </c>
      <c r="G39" t="s">
        <v>455</v>
      </c>
    </row>
    <row r="40" spans="1:13">
      <c r="A40" t="s">
        <v>376</v>
      </c>
      <c r="G40" t="s">
        <v>376</v>
      </c>
    </row>
    <row r="42" spans="1:13">
      <c r="A42" t="s">
        <v>445</v>
      </c>
      <c r="G42" t="s">
        <v>456</v>
      </c>
    </row>
    <row r="43" spans="1:13">
      <c r="A43" t="s">
        <v>446</v>
      </c>
      <c r="G43" t="s">
        <v>457</v>
      </c>
    </row>
    <row r="44" spans="1:13">
      <c r="A44" t="s">
        <v>447</v>
      </c>
      <c r="G44" t="s">
        <v>458</v>
      </c>
    </row>
    <row r="45" spans="1:13">
      <c r="A45" t="s">
        <v>448</v>
      </c>
      <c r="G45" t="s">
        <v>459</v>
      </c>
    </row>
    <row r="46" spans="1:13">
      <c r="A46" t="s">
        <v>449</v>
      </c>
      <c r="G46" t="s">
        <v>460</v>
      </c>
    </row>
    <row r="47" spans="1:13">
      <c r="A47" t="s">
        <v>450</v>
      </c>
      <c r="G47" t="s">
        <v>461</v>
      </c>
    </row>
    <row r="49" spans="1:7">
      <c r="A49" t="s">
        <v>451</v>
      </c>
      <c r="G49" t="s">
        <v>462</v>
      </c>
    </row>
    <row r="50" spans="1:7">
      <c r="A50" t="s">
        <v>452</v>
      </c>
      <c r="G50" t="s">
        <v>463</v>
      </c>
    </row>
    <row r="51" spans="1:7">
      <c r="A51" t="s">
        <v>453</v>
      </c>
      <c r="G51" t="s">
        <v>464</v>
      </c>
    </row>
  </sheetData>
  <phoneticPr fontId="5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2"/>
  <sheetViews>
    <sheetView topLeftCell="A52" workbookViewId="0">
      <selection activeCell="I61" sqref="I61"/>
    </sheetView>
  </sheetViews>
  <sheetFormatPr defaultRowHeight="17.25"/>
  <cols>
    <col min="4" max="4" width="13.21875" customWidth="1"/>
    <col min="5" max="5" width="8.6640625" style="42" customWidth="1"/>
    <col min="8" max="8" width="9" style="42"/>
    <col min="9" max="9" width="13.21875" style="42" customWidth="1"/>
  </cols>
  <sheetData>
    <row r="1" spans="1:9" s="42" customFormat="1">
      <c r="A1" s="42" t="s">
        <v>552</v>
      </c>
      <c r="B1" s="42" t="s">
        <v>553</v>
      </c>
      <c r="F1" s="42" t="s">
        <v>552</v>
      </c>
      <c r="G1" s="42" t="s">
        <v>553</v>
      </c>
    </row>
    <row r="2" spans="1:9">
      <c r="A2">
        <v>123</v>
      </c>
      <c r="B2">
        <v>43319</v>
      </c>
      <c r="C2">
        <f>B2/B$122*100</f>
        <v>5.748069004958686</v>
      </c>
      <c r="D2" s="42">
        <v>5.748069004958686</v>
      </c>
      <c r="F2" s="42">
        <v>123</v>
      </c>
      <c r="G2" s="42">
        <v>43319</v>
      </c>
      <c r="H2" s="42">
        <f>G2/G$122*100</f>
        <v>5.748069004958686</v>
      </c>
      <c r="I2" s="42">
        <v>5.748069004958686</v>
      </c>
    </row>
    <row r="3" spans="1:9">
      <c r="A3">
        <v>124</v>
      </c>
      <c r="B3">
        <v>33946</v>
      </c>
      <c r="C3" s="42">
        <f t="shared" ref="C3:C66" si="0">B3/B$122*100</f>
        <v>4.5043502953052368</v>
      </c>
      <c r="D3">
        <f>D2+C3</f>
        <v>10.252419300263924</v>
      </c>
      <c r="F3" s="42">
        <v>124</v>
      </c>
      <c r="G3" s="42">
        <v>33946</v>
      </c>
      <c r="H3" s="42">
        <f t="shared" ref="H3:H66" si="1">G3/G$122*100</f>
        <v>4.5043502953052368</v>
      </c>
      <c r="I3" s="42">
        <f>I2+H3</f>
        <v>10.252419300263924</v>
      </c>
    </row>
    <row r="4" spans="1:9">
      <c r="A4">
        <v>132</v>
      </c>
      <c r="B4">
        <v>31546</v>
      </c>
      <c r="C4" s="42">
        <f t="shared" si="0"/>
        <v>4.1858903675160253</v>
      </c>
      <c r="D4" s="42">
        <f t="shared" ref="D4:D67" si="2">D3+C4</f>
        <v>14.438309667779949</v>
      </c>
      <c r="F4" s="42">
        <v>125</v>
      </c>
      <c r="G4" s="42">
        <v>23804</v>
      </c>
      <c r="H4" s="42">
        <f t="shared" si="1"/>
        <v>3.1585917171226616</v>
      </c>
      <c r="I4" s="42">
        <f t="shared" ref="I4:I67" si="3">I3+H4</f>
        <v>13.411011017386585</v>
      </c>
    </row>
    <row r="5" spans="1:9">
      <c r="A5">
        <v>134</v>
      </c>
      <c r="B5">
        <v>27343</v>
      </c>
      <c r="C5" s="42">
        <f t="shared" si="0"/>
        <v>3.6281874189751693</v>
      </c>
      <c r="D5" s="42">
        <f t="shared" si="2"/>
        <v>18.066497086755117</v>
      </c>
      <c r="F5" s="42">
        <v>126</v>
      </c>
      <c r="G5" s="42">
        <v>18875</v>
      </c>
      <c r="H5" s="42">
        <f t="shared" si="1"/>
        <v>2.5045546404255687</v>
      </c>
      <c r="I5" s="42">
        <f t="shared" si="3"/>
        <v>15.915565657812154</v>
      </c>
    </row>
    <row r="6" spans="1:9">
      <c r="A6">
        <v>142</v>
      </c>
      <c r="B6">
        <v>24038</v>
      </c>
      <c r="C6" s="42">
        <f t="shared" si="0"/>
        <v>3.18964156008211</v>
      </c>
      <c r="D6" s="42">
        <f t="shared" si="2"/>
        <v>21.256138646837226</v>
      </c>
      <c r="F6" s="42">
        <v>132</v>
      </c>
      <c r="G6" s="42">
        <v>31546</v>
      </c>
      <c r="H6" s="42">
        <f t="shared" si="1"/>
        <v>4.1858903675160253</v>
      </c>
      <c r="I6" s="42">
        <f t="shared" si="3"/>
        <v>20.101456025328179</v>
      </c>
    </row>
    <row r="7" spans="1:9">
      <c r="A7">
        <v>125</v>
      </c>
      <c r="B7">
        <v>23804</v>
      </c>
      <c r="C7" s="42">
        <f t="shared" si="0"/>
        <v>3.1585917171226616</v>
      </c>
      <c r="D7" s="42">
        <f t="shared" si="2"/>
        <v>24.414730363959887</v>
      </c>
      <c r="F7" s="42">
        <v>134</v>
      </c>
      <c r="G7" s="42">
        <v>27343</v>
      </c>
      <c r="H7" s="42">
        <f t="shared" si="1"/>
        <v>3.6281874189751693</v>
      </c>
      <c r="I7" s="42">
        <f t="shared" si="3"/>
        <v>23.729643444303349</v>
      </c>
    </row>
    <row r="8" spans="1:9">
      <c r="A8">
        <v>143</v>
      </c>
      <c r="B8">
        <v>20594</v>
      </c>
      <c r="C8" s="42">
        <f t="shared" si="0"/>
        <v>2.7326515637045912</v>
      </c>
      <c r="D8" s="42">
        <f t="shared" si="2"/>
        <v>27.147381927664476</v>
      </c>
      <c r="F8" s="42">
        <v>135</v>
      </c>
      <c r="G8" s="42">
        <v>19985</v>
      </c>
      <c r="H8" s="42">
        <f t="shared" si="1"/>
        <v>2.6518423570280789</v>
      </c>
      <c r="I8" s="42">
        <f t="shared" si="3"/>
        <v>26.381485801331429</v>
      </c>
    </row>
    <row r="9" spans="1:9">
      <c r="A9">
        <v>135</v>
      </c>
      <c r="B9">
        <v>19985</v>
      </c>
      <c r="C9" s="42">
        <f t="shared" si="0"/>
        <v>2.6518423570280789</v>
      </c>
      <c r="D9" s="42">
        <f t="shared" si="2"/>
        <v>29.799224284692556</v>
      </c>
      <c r="F9" s="42">
        <v>136</v>
      </c>
      <c r="G9" s="42">
        <v>15536</v>
      </c>
      <c r="H9" s="42">
        <f t="shared" si="1"/>
        <v>2.0614972658888284</v>
      </c>
      <c r="I9" s="42">
        <f t="shared" si="3"/>
        <v>28.442983067220258</v>
      </c>
    </row>
    <row r="10" spans="1:9">
      <c r="A10">
        <v>126</v>
      </c>
      <c r="B10">
        <v>18875</v>
      </c>
      <c r="C10" s="42">
        <f t="shared" si="0"/>
        <v>2.5045546404255687</v>
      </c>
      <c r="D10" s="42">
        <f t="shared" si="2"/>
        <v>32.303778925118124</v>
      </c>
      <c r="F10" s="42">
        <v>142</v>
      </c>
      <c r="G10" s="42">
        <v>24038</v>
      </c>
      <c r="H10" s="42">
        <f t="shared" si="1"/>
        <v>3.18964156008211</v>
      </c>
      <c r="I10" s="42">
        <f t="shared" si="3"/>
        <v>31.632624627302366</v>
      </c>
    </row>
    <row r="11" spans="1:9">
      <c r="A11">
        <v>213</v>
      </c>
      <c r="B11">
        <v>16177</v>
      </c>
      <c r="C11" s="42">
        <f t="shared" si="0"/>
        <v>2.1465526049358634</v>
      </c>
      <c r="D11" s="42">
        <f t="shared" si="2"/>
        <v>34.450331530053987</v>
      </c>
      <c r="F11" s="42">
        <v>143</v>
      </c>
      <c r="G11" s="42">
        <v>20594</v>
      </c>
      <c r="H11" s="42">
        <f t="shared" si="1"/>
        <v>2.7326515637045912</v>
      </c>
      <c r="I11" s="42">
        <f t="shared" si="3"/>
        <v>34.365276191006956</v>
      </c>
    </row>
    <row r="12" spans="1:9">
      <c r="A12">
        <v>136</v>
      </c>
      <c r="B12">
        <v>15536</v>
      </c>
      <c r="C12" s="42">
        <f t="shared" si="0"/>
        <v>2.0614972658888284</v>
      </c>
      <c r="D12" s="42">
        <f t="shared" si="2"/>
        <v>36.511828795942819</v>
      </c>
      <c r="F12" s="42">
        <v>145</v>
      </c>
      <c r="G12" s="42">
        <v>14671</v>
      </c>
      <c r="H12" s="42">
        <f t="shared" si="1"/>
        <v>1.9467190002481334</v>
      </c>
      <c r="I12" s="42">
        <f t="shared" si="3"/>
        <v>36.311995191255086</v>
      </c>
    </row>
    <row r="13" spans="1:9">
      <c r="A13">
        <v>145</v>
      </c>
      <c r="B13">
        <v>14671</v>
      </c>
      <c r="C13" s="42">
        <f t="shared" si="0"/>
        <v>1.9467190002481334</v>
      </c>
      <c r="D13" s="42">
        <f t="shared" si="2"/>
        <v>38.458547796190949</v>
      </c>
      <c r="F13" s="42">
        <v>146</v>
      </c>
      <c r="G13" s="42">
        <v>12620</v>
      </c>
      <c r="H13" s="42">
        <f t="shared" si="1"/>
        <v>1.6745684536249366</v>
      </c>
      <c r="I13" s="42">
        <f t="shared" si="3"/>
        <v>37.986563644880022</v>
      </c>
    </row>
    <row r="14" spans="1:9">
      <c r="A14">
        <v>214</v>
      </c>
      <c r="B14">
        <v>14223</v>
      </c>
      <c r="C14" s="42">
        <f t="shared" si="0"/>
        <v>1.8872731470608139</v>
      </c>
      <c r="D14" s="42">
        <f t="shared" si="2"/>
        <v>40.345820943251766</v>
      </c>
      <c r="F14" s="42">
        <v>152</v>
      </c>
      <c r="G14" s="42">
        <v>14212</v>
      </c>
      <c r="H14" s="42">
        <f t="shared" si="1"/>
        <v>1.8858135390584465</v>
      </c>
      <c r="I14" s="42">
        <f t="shared" si="3"/>
        <v>39.872377183938468</v>
      </c>
    </row>
    <row r="15" spans="1:9">
      <c r="A15">
        <v>152</v>
      </c>
      <c r="B15">
        <v>14212</v>
      </c>
      <c r="C15" s="42">
        <f t="shared" si="0"/>
        <v>1.8858135390584465</v>
      </c>
      <c r="D15" s="42">
        <f t="shared" si="2"/>
        <v>42.231634482310213</v>
      </c>
      <c r="F15" s="42">
        <v>153</v>
      </c>
      <c r="G15" s="42">
        <v>12346</v>
      </c>
      <c r="H15" s="42">
        <f t="shared" si="1"/>
        <v>1.6382109452023348</v>
      </c>
      <c r="I15" s="42">
        <f t="shared" si="3"/>
        <v>41.5105881291408</v>
      </c>
    </row>
    <row r="16" spans="1:9">
      <c r="A16">
        <v>146</v>
      </c>
      <c r="B16">
        <v>12620</v>
      </c>
      <c r="C16" s="42">
        <f t="shared" si="0"/>
        <v>1.6745684536249366</v>
      </c>
      <c r="D16" s="42">
        <f t="shared" si="2"/>
        <v>43.906202935935148</v>
      </c>
      <c r="F16" s="42">
        <v>154</v>
      </c>
      <c r="G16" s="42">
        <v>9987</v>
      </c>
      <c r="H16" s="42">
        <f t="shared" si="1"/>
        <v>1.3251913745128558</v>
      </c>
      <c r="I16" s="42">
        <f t="shared" si="3"/>
        <v>42.835779503653654</v>
      </c>
    </row>
    <row r="17" spans="1:9">
      <c r="A17">
        <v>153</v>
      </c>
      <c r="B17">
        <v>12346</v>
      </c>
      <c r="C17" s="42">
        <f t="shared" si="0"/>
        <v>1.6382109452023348</v>
      </c>
      <c r="D17" s="42">
        <f t="shared" si="2"/>
        <v>45.54441388113748</v>
      </c>
      <c r="F17" s="42">
        <v>156</v>
      </c>
      <c r="G17" s="42">
        <v>7885</v>
      </c>
      <c r="H17" s="42">
        <f t="shared" si="1"/>
        <v>1.0462735544241382</v>
      </c>
      <c r="I17" s="42">
        <f t="shared" si="3"/>
        <v>43.882053058077794</v>
      </c>
    </row>
    <row r="18" spans="1:9">
      <c r="A18">
        <v>314</v>
      </c>
      <c r="B18">
        <v>10629</v>
      </c>
      <c r="C18" s="42">
        <f t="shared" si="0"/>
        <v>1.41037940519647</v>
      </c>
      <c r="D18" s="42">
        <f t="shared" si="2"/>
        <v>46.954793286333953</v>
      </c>
      <c r="F18" s="42">
        <v>162</v>
      </c>
      <c r="G18" s="42">
        <v>9769</v>
      </c>
      <c r="H18" s="42">
        <f t="shared" si="1"/>
        <v>1.2962645977386691</v>
      </c>
      <c r="I18" s="42">
        <f t="shared" si="3"/>
        <v>45.178317655816464</v>
      </c>
    </row>
    <row r="19" spans="1:9">
      <c r="A19">
        <v>215</v>
      </c>
      <c r="B19">
        <v>10524</v>
      </c>
      <c r="C19" s="42">
        <f t="shared" si="0"/>
        <v>1.3964467833556919</v>
      </c>
      <c r="D19" s="42">
        <f t="shared" si="2"/>
        <v>48.351240069689645</v>
      </c>
      <c r="F19" s="42">
        <v>163</v>
      </c>
      <c r="G19" s="42">
        <v>8216</v>
      </c>
      <c r="H19" s="42">
        <f t="shared" si="1"/>
        <v>1.0901944861317336</v>
      </c>
      <c r="I19" s="42">
        <f t="shared" si="3"/>
        <v>46.2685121419482</v>
      </c>
    </row>
    <row r="20" spans="1:9">
      <c r="A20">
        <v>154</v>
      </c>
      <c r="B20">
        <v>9987</v>
      </c>
      <c r="C20" s="42">
        <f t="shared" si="0"/>
        <v>1.3251913745128558</v>
      </c>
      <c r="D20" s="42">
        <f t="shared" si="2"/>
        <v>49.6764314442025</v>
      </c>
      <c r="F20" s="42">
        <v>164</v>
      </c>
      <c r="G20" s="42">
        <v>7215</v>
      </c>
      <c r="H20" s="42">
        <f t="shared" si="1"/>
        <v>0.95737015791631674</v>
      </c>
      <c r="I20" s="42">
        <f t="shared" si="3"/>
        <v>47.225882299864516</v>
      </c>
    </row>
    <row r="21" spans="1:9">
      <c r="A21">
        <v>162</v>
      </c>
      <c r="B21">
        <v>9769</v>
      </c>
      <c r="C21" s="42">
        <f t="shared" si="0"/>
        <v>1.2962645977386691</v>
      </c>
      <c r="D21" s="42">
        <f t="shared" si="2"/>
        <v>50.97269604194117</v>
      </c>
      <c r="F21" s="42">
        <v>165</v>
      </c>
      <c r="G21" s="42">
        <v>5491</v>
      </c>
      <c r="H21" s="42">
        <f t="shared" si="1"/>
        <v>0.72860977645439984</v>
      </c>
      <c r="I21" s="42">
        <f t="shared" si="3"/>
        <v>47.954492076318914</v>
      </c>
    </row>
    <row r="22" spans="1:9">
      <c r="A22">
        <v>312</v>
      </c>
      <c r="B22">
        <v>8779</v>
      </c>
      <c r="C22" s="42">
        <f t="shared" si="0"/>
        <v>1.1648998775256194</v>
      </c>
      <c r="D22" s="42">
        <f t="shared" si="2"/>
        <v>52.13759591946679</v>
      </c>
      <c r="F22" s="42">
        <v>213</v>
      </c>
      <c r="G22" s="42">
        <v>16177</v>
      </c>
      <c r="H22" s="42">
        <f t="shared" si="1"/>
        <v>2.1465526049358634</v>
      </c>
      <c r="I22" s="42">
        <f t="shared" si="3"/>
        <v>50.101044681254777</v>
      </c>
    </row>
    <row r="23" spans="1:9">
      <c r="A23">
        <v>216</v>
      </c>
      <c r="B23">
        <v>8649</v>
      </c>
      <c r="C23" s="42">
        <f t="shared" si="0"/>
        <v>1.1476499647703704</v>
      </c>
      <c r="D23" s="42">
        <f t="shared" si="2"/>
        <v>53.285245884237163</v>
      </c>
      <c r="F23" s="42">
        <v>214</v>
      </c>
      <c r="G23" s="42">
        <v>14223</v>
      </c>
      <c r="H23" s="42">
        <f t="shared" si="1"/>
        <v>1.8872731470608139</v>
      </c>
      <c r="I23" s="42">
        <f t="shared" si="3"/>
        <v>51.988317828315594</v>
      </c>
    </row>
    <row r="24" spans="1:9">
      <c r="A24">
        <v>315</v>
      </c>
      <c r="B24">
        <v>8447</v>
      </c>
      <c r="C24" s="42">
        <f t="shared" si="0"/>
        <v>1.1208462541814452</v>
      </c>
      <c r="D24" s="42">
        <f t="shared" si="2"/>
        <v>54.406092138418607</v>
      </c>
      <c r="F24" s="42">
        <v>215</v>
      </c>
      <c r="G24" s="42">
        <v>10524</v>
      </c>
      <c r="H24" s="42">
        <f t="shared" si="1"/>
        <v>1.3964467833556919</v>
      </c>
      <c r="I24" s="42">
        <f t="shared" si="3"/>
        <v>53.384764611671287</v>
      </c>
    </row>
    <row r="25" spans="1:9">
      <c r="A25">
        <v>163</v>
      </c>
      <c r="B25">
        <v>8216</v>
      </c>
      <c r="C25" s="42">
        <f t="shared" si="0"/>
        <v>1.0901944861317336</v>
      </c>
      <c r="D25" s="42">
        <f t="shared" si="2"/>
        <v>55.496286624550343</v>
      </c>
      <c r="F25" s="42">
        <v>216</v>
      </c>
      <c r="G25" s="42">
        <v>8649</v>
      </c>
      <c r="H25" s="42">
        <f t="shared" si="1"/>
        <v>1.1476499647703704</v>
      </c>
      <c r="I25" s="42">
        <f t="shared" si="3"/>
        <v>54.53241457644166</v>
      </c>
    </row>
    <row r="26" spans="1:9">
      <c r="A26">
        <v>156</v>
      </c>
      <c r="B26">
        <v>7885</v>
      </c>
      <c r="C26" s="42">
        <f t="shared" si="0"/>
        <v>1.0462735544241382</v>
      </c>
      <c r="D26" s="42">
        <f t="shared" si="2"/>
        <v>56.542560178974483</v>
      </c>
      <c r="F26" s="42">
        <v>231</v>
      </c>
      <c r="G26" s="42">
        <v>7695</v>
      </c>
      <c r="H26" s="42">
        <f t="shared" si="1"/>
        <v>1.0210621434741589</v>
      </c>
      <c r="I26" s="42">
        <f t="shared" si="3"/>
        <v>55.553476719915821</v>
      </c>
    </row>
    <row r="27" spans="1:9">
      <c r="A27">
        <v>231</v>
      </c>
      <c r="B27">
        <v>7695</v>
      </c>
      <c r="C27" s="42">
        <f t="shared" si="0"/>
        <v>1.0210621434741589</v>
      </c>
      <c r="D27" s="42">
        <f t="shared" si="2"/>
        <v>57.563622322448644</v>
      </c>
      <c r="F27" s="42">
        <v>234</v>
      </c>
      <c r="G27" s="42">
        <v>7025</v>
      </c>
      <c r="H27" s="42">
        <f t="shared" si="1"/>
        <v>0.93215874696633749</v>
      </c>
      <c r="I27" s="42">
        <f t="shared" si="3"/>
        <v>56.485635466882158</v>
      </c>
    </row>
    <row r="28" spans="1:9">
      <c r="A28">
        <v>412</v>
      </c>
      <c r="B28">
        <v>7540</v>
      </c>
      <c r="C28" s="42">
        <f t="shared" si="0"/>
        <v>1.0004949398044389</v>
      </c>
      <c r="D28" s="42">
        <f t="shared" si="2"/>
        <v>58.564117262253085</v>
      </c>
      <c r="F28" s="42">
        <v>235</v>
      </c>
      <c r="G28" s="42">
        <v>5525</v>
      </c>
      <c r="H28" s="42">
        <f t="shared" si="1"/>
        <v>0.73312129209808041</v>
      </c>
      <c r="I28" s="42">
        <f t="shared" si="3"/>
        <v>57.218756758980241</v>
      </c>
    </row>
    <row r="29" spans="1:9">
      <c r="A29">
        <v>164</v>
      </c>
      <c r="B29">
        <v>7215</v>
      </c>
      <c r="C29" s="42">
        <f t="shared" si="0"/>
        <v>0.95737015791631674</v>
      </c>
      <c r="D29" s="42">
        <f t="shared" si="2"/>
        <v>59.5214874201694</v>
      </c>
      <c r="F29" s="42">
        <v>236</v>
      </c>
      <c r="G29" s="42">
        <v>4812</v>
      </c>
      <c r="H29" s="42">
        <f t="shared" si="1"/>
        <v>0.63851215521736882</v>
      </c>
      <c r="I29" s="42">
        <f t="shared" si="3"/>
        <v>57.857268914197611</v>
      </c>
    </row>
    <row r="30" spans="1:9">
      <c r="A30">
        <v>415</v>
      </c>
      <c r="B30">
        <v>7130</v>
      </c>
      <c r="C30" s="42">
        <f t="shared" si="0"/>
        <v>0.94609136880711553</v>
      </c>
      <c r="D30" s="42">
        <f t="shared" si="2"/>
        <v>60.467578788976518</v>
      </c>
      <c r="F30" s="42">
        <v>241</v>
      </c>
      <c r="G30" s="42">
        <v>6588</v>
      </c>
      <c r="H30" s="42">
        <f t="shared" si="1"/>
        <v>0.87417250178138517</v>
      </c>
      <c r="I30" s="42">
        <f t="shared" si="3"/>
        <v>58.731441415978999</v>
      </c>
    </row>
    <row r="31" spans="1:9">
      <c r="A31">
        <v>234</v>
      </c>
      <c r="B31">
        <v>7025</v>
      </c>
      <c r="C31" s="42">
        <f t="shared" si="0"/>
        <v>0.93215874696633749</v>
      </c>
      <c r="D31" s="42">
        <f t="shared" si="2"/>
        <v>61.399737535942855</v>
      </c>
      <c r="F31" s="42">
        <v>243</v>
      </c>
      <c r="G31" s="42">
        <v>5593</v>
      </c>
      <c r="H31" s="42">
        <f t="shared" si="1"/>
        <v>0.74214432338544134</v>
      </c>
      <c r="I31" s="42">
        <f t="shared" si="3"/>
        <v>59.473585739364438</v>
      </c>
    </row>
    <row r="32" spans="1:9">
      <c r="A32">
        <v>316</v>
      </c>
      <c r="B32">
        <v>6773</v>
      </c>
      <c r="C32" s="42">
        <f t="shared" si="0"/>
        <v>0.89872045454847027</v>
      </c>
      <c r="D32" s="42">
        <f t="shared" si="2"/>
        <v>62.298457990491322</v>
      </c>
      <c r="F32" s="42">
        <v>245</v>
      </c>
      <c r="G32" s="42">
        <v>4384</v>
      </c>
      <c r="H32" s="42">
        <f t="shared" si="1"/>
        <v>0.5817201347616261</v>
      </c>
      <c r="I32" s="42">
        <f t="shared" si="3"/>
        <v>60.055305874126063</v>
      </c>
    </row>
    <row r="33" spans="1:9">
      <c r="A33">
        <v>241</v>
      </c>
      <c r="B33">
        <v>6588</v>
      </c>
      <c r="C33" s="42">
        <f t="shared" si="0"/>
        <v>0.87417250178138517</v>
      </c>
      <c r="D33" s="42">
        <f t="shared" si="2"/>
        <v>63.17263049227271</v>
      </c>
      <c r="F33" s="42">
        <v>246</v>
      </c>
      <c r="G33" s="42">
        <v>3720</v>
      </c>
      <c r="H33" s="42">
        <f t="shared" si="1"/>
        <v>0.49361288807327763</v>
      </c>
      <c r="I33" s="42">
        <f t="shared" si="3"/>
        <v>60.548918762199342</v>
      </c>
    </row>
    <row r="34" spans="1:9">
      <c r="A34">
        <v>324</v>
      </c>
      <c r="B34">
        <v>6164</v>
      </c>
      <c r="C34" s="42">
        <f t="shared" si="0"/>
        <v>0.81791124787195779</v>
      </c>
      <c r="D34" s="42">
        <f t="shared" si="2"/>
        <v>63.990541740144664</v>
      </c>
      <c r="F34" s="42">
        <v>251</v>
      </c>
      <c r="G34" s="42">
        <v>4310</v>
      </c>
      <c r="H34" s="42">
        <f t="shared" si="1"/>
        <v>0.5719009536547921</v>
      </c>
      <c r="I34" s="42">
        <f t="shared" si="3"/>
        <v>61.120819715854132</v>
      </c>
    </row>
    <row r="35" spans="1:9">
      <c r="A35">
        <v>413</v>
      </c>
      <c r="B35">
        <v>6044</v>
      </c>
      <c r="C35" s="42">
        <f t="shared" si="0"/>
        <v>0.80198825148249731</v>
      </c>
      <c r="D35" s="42">
        <f t="shared" si="2"/>
        <v>64.792529991627163</v>
      </c>
      <c r="F35" s="42">
        <v>253</v>
      </c>
      <c r="G35" s="42">
        <v>3936</v>
      </c>
      <c r="H35" s="42">
        <f t="shared" si="1"/>
        <v>0.52227428157430666</v>
      </c>
      <c r="I35" s="42">
        <f t="shared" si="3"/>
        <v>61.643093997428437</v>
      </c>
    </row>
    <row r="36" spans="1:9">
      <c r="A36">
        <v>321</v>
      </c>
      <c r="B36">
        <v>6008</v>
      </c>
      <c r="C36" s="42">
        <f t="shared" si="0"/>
        <v>0.797211352565659</v>
      </c>
      <c r="D36" s="42">
        <f t="shared" si="2"/>
        <v>65.589741344192817</v>
      </c>
      <c r="F36" s="42">
        <v>254</v>
      </c>
      <c r="G36" s="42">
        <v>3297</v>
      </c>
      <c r="H36" s="42">
        <f t="shared" si="1"/>
        <v>0.43748432580042912</v>
      </c>
      <c r="I36" s="42">
        <f t="shared" si="3"/>
        <v>62.080578323228863</v>
      </c>
    </row>
    <row r="37" spans="1:9">
      <c r="A37">
        <v>416</v>
      </c>
      <c r="B37">
        <v>5925</v>
      </c>
      <c r="C37" s="42">
        <f t="shared" si="0"/>
        <v>0.78619794672961563</v>
      </c>
      <c r="D37" s="42">
        <f t="shared" si="2"/>
        <v>66.375939290922432</v>
      </c>
      <c r="F37" s="42">
        <v>256</v>
      </c>
      <c r="G37" s="42">
        <v>2741</v>
      </c>
      <c r="H37" s="42">
        <f t="shared" si="1"/>
        <v>0.36370777586259512</v>
      </c>
      <c r="I37" s="42">
        <f t="shared" si="3"/>
        <v>62.444286099091457</v>
      </c>
    </row>
    <row r="38" spans="1:9">
      <c r="A38">
        <v>341</v>
      </c>
      <c r="B38">
        <v>5806</v>
      </c>
      <c r="C38" s="42">
        <f t="shared" si="0"/>
        <v>0.77040764197673384</v>
      </c>
      <c r="D38" s="42">
        <f t="shared" si="2"/>
        <v>67.146346932899164</v>
      </c>
      <c r="F38" s="42">
        <v>261</v>
      </c>
      <c r="G38" s="42">
        <v>3325</v>
      </c>
      <c r="H38" s="42">
        <f t="shared" si="1"/>
        <v>0.44119969162463657</v>
      </c>
      <c r="I38" s="42">
        <f t="shared" si="3"/>
        <v>62.885485790716096</v>
      </c>
    </row>
    <row r="39" spans="1:9">
      <c r="A39">
        <v>243</v>
      </c>
      <c r="B39">
        <v>5593</v>
      </c>
      <c r="C39" s="42">
        <f t="shared" si="0"/>
        <v>0.74214432338544134</v>
      </c>
      <c r="D39" s="42">
        <f t="shared" si="2"/>
        <v>67.88849125628461</v>
      </c>
      <c r="F39" s="42">
        <v>263</v>
      </c>
      <c r="G39" s="42">
        <v>3090</v>
      </c>
      <c r="H39" s="42">
        <f t="shared" si="1"/>
        <v>0.41001715702860969</v>
      </c>
      <c r="I39" s="42">
        <f t="shared" si="3"/>
        <v>63.295502947744708</v>
      </c>
    </row>
    <row r="40" spans="1:9">
      <c r="A40">
        <v>235</v>
      </c>
      <c r="B40">
        <v>5525</v>
      </c>
      <c r="C40" s="42">
        <f t="shared" si="0"/>
        <v>0.73312129209808041</v>
      </c>
      <c r="D40" s="42">
        <f t="shared" si="2"/>
        <v>68.621612548382686</v>
      </c>
      <c r="F40" s="42">
        <v>264</v>
      </c>
      <c r="G40" s="42">
        <v>2585</v>
      </c>
      <c r="H40" s="42">
        <f t="shared" si="1"/>
        <v>0.34300788055629639</v>
      </c>
      <c r="I40" s="42">
        <f t="shared" si="3"/>
        <v>63.638510828301008</v>
      </c>
    </row>
    <row r="41" spans="1:9">
      <c r="A41">
        <v>165</v>
      </c>
      <c r="B41">
        <v>5491</v>
      </c>
      <c r="C41" s="42">
        <f t="shared" si="0"/>
        <v>0.72860977645439984</v>
      </c>
      <c r="D41" s="42">
        <f t="shared" si="2"/>
        <v>69.350222324837091</v>
      </c>
      <c r="F41" s="42">
        <v>265</v>
      </c>
      <c r="G41" s="42">
        <v>2121</v>
      </c>
      <c r="H41" s="42">
        <f t="shared" si="1"/>
        <v>0.28143896118371559</v>
      </c>
      <c r="I41" s="42">
        <f t="shared" si="3"/>
        <v>63.919949789484725</v>
      </c>
    </row>
    <row r="42" spans="1:9">
      <c r="A42">
        <v>421</v>
      </c>
      <c r="B42">
        <v>5480</v>
      </c>
      <c r="C42" s="42">
        <f t="shared" si="0"/>
        <v>0.72715016845203262</v>
      </c>
      <c r="D42" s="42">
        <f t="shared" si="2"/>
        <v>70.077372493289118</v>
      </c>
      <c r="F42" s="42">
        <v>312</v>
      </c>
      <c r="G42" s="42">
        <v>8779</v>
      </c>
      <c r="H42" s="42">
        <f t="shared" si="1"/>
        <v>1.1648998775256194</v>
      </c>
      <c r="I42" s="42">
        <f t="shared" si="3"/>
        <v>65.084849667010346</v>
      </c>
    </row>
    <row r="43" spans="1:9">
      <c r="A43">
        <v>451</v>
      </c>
      <c r="B43">
        <v>5286</v>
      </c>
      <c r="C43" s="42">
        <f t="shared" si="0"/>
        <v>0.70140799095573803</v>
      </c>
      <c r="D43" s="42">
        <f t="shared" si="2"/>
        <v>70.778780484244862</v>
      </c>
      <c r="F43" s="42">
        <v>314</v>
      </c>
      <c r="G43" s="42">
        <v>10629</v>
      </c>
      <c r="H43" s="42">
        <f t="shared" si="1"/>
        <v>1.41037940519647</v>
      </c>
      <c r="I43" s="42">
        <f t="shared" si="3"/>
        <v>66.495229072206811</v>
      </c>
    </row>
    <row r="44" spans="1:9">
      <c r="A44">
        <v>325</v>
      </c>
      <c r="B44">
        <v>4952</v>
      </c>
      <c r="C44" s="42">
        <f t="shared" si="0"/>
        <v>0.65708898433840612</v>
      </c>
      <c r="D44" s="42">
        <f t="shared" si="2"/>
        <v>71.435869468583263</v>
      </c>
      <c r="F44" s="42">
        <v>315</v>
      </c>
      <c r="G44" s="42">
        <v>8447</v>
      </c>
      <c r="H44" s="42">
        <f t="shared" si="1"/>
        <v>1.1208462541814452</v>
      </c>
      <c r="I44" s="42">
        <f t="shared" si="3"/>
        <v>67.616075326388255</v>
      </c>
    </row>
    <row r="45" spans="1:9">
      <c r="A45">
        <v>342</v>
      </c>
      <c r="B45">
        <v>4877</v>
      </c>
      <c r="C45" s="42">
        <f t="shared" si="0"/>
        <v>0.64713711159499332</v>
      </c>
      <c r="D45" s="42">
        <f t="shared" si="2"/>
        <v>72.08300658017825</v>
      </c>
      <c r="F45" s="42">
        <v>316</v>
      </c>
      <c r="G45" s="42">
        <v>6773</v>
      </c>
      <c r="H45" s="42">
        <f t="shared" si="1"/>
        <v>0.89872045454847027</v>
      </c>
      <c r="I45" s="42">
        <f t="shared" si="3"/>
        <v>68.514795780936723</v>
      </c>
    </row>
    <row r="46" spans="1:9">
      <c r="A46">
        <v>345</v>
      </c>
      <c r="B46">
        <v>4877</v>
      </c>
      <c r="C46" s="42">
        <f t="shared" si="0"/>
        <v>0.64713711159499332</v>
      </c>
      <c r="D46" s="42">
        <f t="shared" si="2"/>
        <v>72.730143691773236</v>
      </c>
      <c r="F46" s="42">
        <v>321</v>
      </c>
      <c r="G46" s="42">
        <v>6008</v>
      </c>
      <c r="H46" s="42">
        <f t="shared" si="1"/>
        <v>0.797211352565659</v>
      </c>
      <c r="I46" s="42">
        <f t="shared" si="3"/>
        <v>69.312007133502377</v>
      </c>
    </row>
    <row r="47" spans="1:9">
      <c r="A47">
        <v>236</v>
      </c>
      <c r="B47">
        <v>4812</v>
      </c>
      <c r="C47" s="42">
        <f t="shared" si="0"/>
        <v>0.63851215521736882</v>
      </c>
      <c r="D47" s="42">
        <f t="shared" si="2"/>
        <v>73.368655846990606</v>
      </c>
      <c r="F47" s="42">
        <v>324</v>
      </c>
      <c r="G47" s="42">
        <v>6164</v>
      </c>
      <c r="H47" s="42">
        <f t="shared" si="1"/>
        <v>0.81791124787195779</v>
      </c>
      <c r="I47" s="42">
        <f t="shared" si="3"/>
        <v>70.129918381374338</v>
      </c>
    </row>
    <row r="48" spans="1:9">
      <c r="A48">
        <v>512</v>
      </c>
      <c r="B48">
        <v>4589</v>
      </c>
      <c r="C48" s="42">
        <f t="shared" si="0"/>
        <v>0.60892192026028791</v>
      </c>
      <c r="D48" s="42">
        <f t="shared" si="2"/>
        <v>73.977577767250892</v>
      </c>
      <c r="F48" s="42">
        <v>325</v>
      </c>
      <c r="G48" s="42">
        <v>4952</v>
      </c>
      <c r="H48" s="42">
        <f t="shared" si="1"/>
        <v>0.65708898433840612</v>
      </c>
      <c r="I48" s="42">
        <f t="shared" si="3"/>
        <v>70.787007365712739</v>
      </c>
    </row>
    <row r="49" spans="1:9">
      <c r="A49">
        <v>245</v>
      </c>
      <c r="B49">
        <v>4384</v>
      </c>
      <c r="C49" s="42">
        <f t="shared" si="0"/>
        <v>0.5817201347616261</v>
      </c>
      <c r="D49" s="42">
        <f t="shared" si="2"/>
        <v>74.559297902012517</v>
      </c>
      <c r="F49" s="42">
        <v>326</v>
      </c>
      <c r="G49" s="42">
        <v>4237</v>
      </c>
      <c r="H49" s="42">
        <f t="shared" si="1"/>
        <v>0.56221446418453691</v>
      </c>
      <c r="I49" s="42">
        <f t="shared" si="3"/>
        <v>71.349221829897274</v>
      </c>
    </row>
    <row r="50" spans="1:9">
      <c r="A50">
        <v>251</v>
      </c>
      <c r="B50">
        <v>4310</v>
      </c>
      <c r="C50" s="42">
        <f t="shared" si="0"/>
        <v>0.5719009536547921</v>
      </c>
      <c r="D50" s="42">
        <f t="shared" si="2"/>
        <v>75.131198855667307</v>
      </c>
      <c r="F50" s="42">
        <v>341</v>
      </c>
      <c r="G50" s="42">
        <v>5806</v>
      </c>
      <c r="H50" s="42">
        <f t="shared" si="1"/>
        <v>0.77040764197673384</v>
      </c>
      <c r="I50" s="42">
        <f t="shared" si="3"/>
        <v>72.119629471874006</v>
      </c>
    </row>
    <row r="51" spans="1:9">
      <c r="A51">
        <v>326</v>
      </c>
      <c r="B51">
        <v>4237</v>
      </c>
      <c r="C51" s="42">
        <f t="shared" si="0"/>
        <v>0.56221446418453691</v>
      </c>
      <c r="D51" s="42">
        <f t="shared" si="2"/>
        <v>75.693413319851842</v>
      </c>
      <c r="F51" s="42">
        <v>342</v>
      </c>
      <c r="G51" s="42">
        <v>4877</v>
      </c>
      <c r="H51" s="42">
        <f t="shared" si="1"/>
        <v>0.64713711159499332</v>
      </c>
      <c r="I51" s="42">
        <f t="shared" si="3"/>
        <v>72.766766583468993</v>
      </c>
    </row>
    <row r="52" spans="1:9">
      <c r="A52">
        <v>346</v>
      </c>
      <c r="B52">
        <v>4236</v>
      </c>
      <c r="C52" s="42">
        <f t="shared" si="0"/>
        <v>0.5620817725479581</v>
      </c>
      <c r="D52" s="42">
        <f t="shared" si="2"/>
        <v>76.255495092399798</v>
      </c>
      <c r="F52" s="42">
        <v>345</v>
      </c>
      <c r="G52" s="42">
        <v>4877</v>
      </c>
      <c r="H52" s="42">
        <f t="shared" si="1"/>
        <v>0.64713711159499332</v>
      </c>
      <c r="I52" s="42">
        <f t="shared" si="3"/>
        <v>73.413903695063979</v>
      </c>
    </row>
    <row r="53" spans="1:9">
      <c r="A53">
        <v>431</v>
      </c>
      <c r="B53">
        <v>4233</v>
      </c>
      <c r="C53" s="42">
        <f t="shared" si="0"/>
        <v>0.56168369763822157</v>
      </c>
      <c r="D53" s="42">
        <f t="shared" si="2"/>
        <v>76.817178790038014</v>
      </c>
      <c r="F53" s="42">
        <v>346</v>
      </c>
      <c r="G53" s="42">
        <v>4236</v>
      </c>
      <c r="H53" s="42">
        <f t="shared" si="1"/>
        <v>0.5620817725479581</v>
      </c>
      <c r="I53" s="42">
        <f t="shared" si="3"/>
        <v>73.975985467611935</v>
      </c>
    </row>
    <row r="54" spans="1:9">
      <c r="A54">
        <v>456</v>
      </c>
      <c r="B54">
        <v>4169</v>
      </c>
      <c r="C54" s="42">
        <f t="shared" si="0"/>
        <v>0.55319143289717598</v>
      </c>
      <c r="D54" s="42">
        <f t="shared" si="2"/>
        <v>77.370370222935193</v>
      </c>
      <c r="F54" s="42">
        <v>351</v>
      </c>
      <c r="G54" s="42">
        <v>4102</v>
      </c>
      <c r="H54" s="42">
        <f t="shared" si="1"/>
        <v>0.54430109324639375</v>
      </c>
      <c r="I54" s="42">
        <f t="shared" si="3"/>
        <v>74.520286560858324</v>
      </c>
    </row>
    <row r="55" spans="1:9">
      <c r="A55">
        <v>425</v>
      </c>
      <c r="B55">
        <v>4113</v>
      </c>
      <c r="C55" s="42">
        <f t="shared" si="0"/>
        <v>0.54576070124876097</v>
      </c>
      <c r="D55" s="42">
        <f t="shared" si="2"/>
        <v>77.91613092418396</v>
      </c>
      <c r="F55" s="42">
        <v>352</v>
      </c>
      <c r="G55" s="42">
        <v>3486</v>
      </c>
      <c r="H55" s="42">
        <f t="shared" si="1"/>
        <v>0.46256304511382956</v>
      </c>
      <c r="I55" s="42">
        <f t="shared" si="3"/>
        <v>74.982849605972149</v>
      </c>
    </row>
    <row r="56" spans="1:9">
      <c r="A56">
        <v>351</v>
      </c>
      <c r="B56">
        <v>4102</v>
      </c>
      <c r="C56" s="42">
        <f t="shared" si="0"/>
        <v>0.54430109324639375</v>
      </c>
      <c r="D56" s="42">
        <f t="shared" si="2"/>
        <v>78.46043201743035</v>
      </c>
      <c r="F56" s="42">
        <v>354</v>
      </c>
      <c r="G56" s="42">
        <v>3520</v>
      </c>
      <c r="H56" s="42">
        <f t="shared" si="1"/>
        <v>0.46707456075751003</v>
      </c>
      <c r="I56" s="42">
        <f t="shared" si="3"/>
        <v>75.449924166729659</v>
      </c>
    </row>
    <row r="57" spans="1:9">
      <c r="A57">
        <v>513</v>
      </c>
      <c r="B57">
        <v>3995</v>
      </c>
      <c r="C57" s="42">
        <f t="shared" si="0"/>
        <v>0.5301030881324581</v>
      </c>
      <c r="D57" s="42">
        <f t="shared" si="2"/>
        <v>78.990535105562813</v>
      </c>
      <c r="F57" s="42">
        <v>356</v>
      </c>
      <c r="G57" s="42">
        <v>2865</v>
      </c>
      <c r="H57" s="42">
        <f t="shared" si="1"/>
        <v>0.38016153879837106</v>
      </c>
      <c r="I57" s="42">
        <f t="shared" si="3"/>
        <v>75.830085705528035</v>
      </c>
    </row>
    <row r="58" spans="1:9">
      <c r="A58">
        <v>452</v>
      </c>
      <c r="B58">
        <v>3973</v>
      </c>
      <c r="C58" s="42">
        <f t="shared" si="0"/>
        <v>0.52718387212772366</v>
      </c>
      <c r="D58" s="42">
        <f t="shared" si="2"/>
        <v>79.517718977690535</v>
      </c>
      <c r="F58" s="42">
        <v>361</v>
      </c>
      <c r="G58" s="42">
        <v>3036</v>
      </c>
      <c r="H58" s="42">
        <f t="shared" si="1"/>
        <v>0.40285180865335241</v>
      </c>
      <c r="I58" s="42">
        <f t="shared" si="3"/>
        <v>76.232937514181387</v>
      </c>
    </row>
    <row r="59" spans="1:9">
      <c r="A59">
        <v>253</v>
      </c>
      <c r="B59">
        <v>3936</v>
      </c>
      <c r="C59" s="42">
        <f t="shared" si="0"/>
        <v>0.52227428157430666</v>
      </c>
      <c r="D59" s="42">
        <f t="shared" si="2"/>
        <v>80.039993259264847</v>
      </c>
      <c r="F59" s="42">
        <v>362</v>
      </c>
      <c r="G59" s="42">
        <v>2724</v>
      </c>
      <c r="H59" s="42">
        <f t="shared" si="1"/>
        <v>0.36145201804075489</v>
      </c>
      <c r="I59" s="42">
        <f t="shared" si="3"/>
        <v>76.594389532222138</v>
      </c>
    </row>
    <row r="60" spans="1:9">
      <c r="A60">
        <v>435</v>
      </c>
      <c r="B60">
        <v>3855</v>
      </c>
      <c r="C60" s="42">
        <f t="shared" si="0"/>
        <v>0.51152625901142068</v>
      </c>
      <c r="D60" s="42">
        <f t="shared" si="2"/>
        <v>80.551519518276265</v>
      </c>
      <c r="F60" s="42">
        <v>364</v>
      </c>
      <c r="G60" s="42">
        <v>2745</v>
      </c>
      <c r="H60" s="42">
        <f t="shared" si="1"/>
        <v>0.36423854240891052</v>
      </c>
      <c r="I60" s="42">
        <f t="shared" si="3"/>
        <v>76.958628074631051</v>
      </c>
    </row>
    <row r="61" spans="1:9">
      <c r="A61">
        <v>423</v>
      </c>
      <c r="B61">
        <v>3830</v>
      </c>
      <c r="C61" s="42">
        <f t="shared" si="0"/>
        <v>0.50820896809694982</v>
      </c>
      <c r="D61" s="42">
        <f t="shared" si="2"/>
        <v>81.059728486373217</v>
      </c>
      <c r="F61" s="42">
        <v>365</v>
      </c>
      <c r="G61" s="42">
        <v>2271</v>
      </c>
      <c r="H61" s="42">
        <f t="shared" si="1"/>
        <v>0.3013427066705413</v>
      </c>
      <c r="I61" s="42">
        <f t="shared" si="3"/>
        <v>77.25997078130159</v>
      </c>
    </row>
    <row r="62" spans="1:9">
      <c r="A62">
        <v>246</v>
      </c>
      <c r="B62">
        <v>3720</v>
      </c>
      <c r="C62" s="42">
        <f t="shared" si="0"/>
        <v>0.49361288807327763</v>
      </c>
      <c r="D62" s="42">
        <f t="shared" si="2"/>
        <v>81.553341374446489</v>
      </c>
      <c r="F62" s="42">
        <v>412</v>
      </c>
      <c r="G62" s="42">
        <v>7540</v>
      </c>
      <c r="H62" s="42">
        <f t="shared" si="1"/>
        <v>1.0004949398044389</v>
      </c>
      <c r="I62" s="42">
        <f t="shared" si="3"/>
        <v>78.26046572110603</v>
      </c>
    </row>
    <row r="63" spans="1:9">
      <c r="A63">
        <v>426</v>
      </c>
      <c r="B63">
        <v>3689</v>
      </c>
      <c r="C63" s="42">
        <f t="shared" si="0"/>
        <v>0.48949944733933365</v>
      </c>
      <c r="D63" s="42">
        <f t="shared" si="2"/>
        <v>82.042840821785816</v>
      </c>
      <c r="F63" s="42">
        <v>413</v>
      </c>
      <c r="G63" s="42">
        <v>6044</v>
      </c>
      <c r="H63" s="42">
        <f t="shared" si="1"/>
        <v>0.80198825148249731</v>
      </c>
      <c r="I63" s="42">
        <f t="shared" si="3"/>
        <v>79.062453972588528</v>
      </c>
    </row>
    <row r="64" spans="1:9">
      <c r="A64">
        <v>514</v>
      </c>
      <c r="B64">
        <v>3635</v>
      </c>
      <c r="C64" s="42">
        <f t="shared" si="0"/>
        <v>0.48233409896407642</v>
      </c>
      <c r="D64" s="42">
        <f t="shared" si="2"/>
        <v>82.52517492074989</v>
      </c>
      <c r="F64" s="42">
        <v>415</v>
      </c>
      <c r="G64" s="42">
        <v>7130</v>
      </c>
      <c r="H64" s="42">
        <f t="shared" si="1"/>
        <v>0.94609136880711553</v>
      </c>
      <c r="I64" s="42">
        <f t="shared" si="3"/>
        <v>80.008545341395646</v>
      </c>
    </row>
    <row r="65" spans="1:9">
      <c r="A65">
        <v>516</v>
      </c>
      <c r="B65">
        <v>3612</v>
      </c>
      <c r="C65" s="42">
        <f t="shared" si="0"/>
        <v>0.47928219132276317</v>
      </c>
      <c r="D65" s="42">
        <f t="shared" si="2"/>
        <v>83.004457112072657</v>
      </c>
      <c r="F65" s="42">
        <v>416</v>
      </c>
      <c r="G65" s="42">
        <v>5925</v>
      </c>
      <c r="H65" s="42">
        <f t="shared" si="1"/>
        <v>0.78619794672961563</v>
      </c>
      <c r="I65" s="42">
        <f t="shared" si="3"/>
        <v>80.794743288125261</v>
      </c>
    </row>
    <row r="66" spans="1:9">
      <c r="A66">
        <v>354</v>
      </c>
      <c r="B66">
        <v>3520</v>
      </c>
      <c r="C66" s="42">
        <f t="shared" si="0"/>
        <v>0.46707456075751003</v>
      </c>
      <c r="D66" s="42">
        <f t="shared" si="2"/>
        <v>83.471531672830167</v>
      </c>
      <c r="F66" s="42">
        <v>421</v>
      </c>
      <c r="G66" s="42">
        <v>5480</v>
      </c>
      <c r="H66" s="42">
        <f t="shared" si="1"/>
        <v>0.72715016845203262</v>
      </c>
      <c r="I66" s="42">
        <f t="shared" si="3"/>
        <v>81.521893456577288</v>
      </c>
    </row>
    <row r="67" spans="1:9">
      <c r="A67">
        <v>461</v>
      </c>
      <c r="B67">
        <v>3518</v>
      </c>
      <c r="C67" s="42">
        <f t="shared" ref="C67:C121" si="4">B67/B$122*100</f>
        <v>0.46680917748435236</v>
      </c>
      <c r="D67" s="42">
        <f t="shared" si="2"/>
        <v>83.938340850314518</v>
      </c>
      <c r="F67" s="42">
        <v>423</v>
      </c>
      <c r="G67" s="42">
        <v>3830</v>
      </c>
      <c r="H67" s="42">
        <f t="shared" ref="H67:H121" si="5">G67/G$122*100</f>
        <v>0.50820896809694982</v>
      </c>
      <c r="I67" s="42">
        <f t="shared" si="3"/>
        <v>82.03010242467424</v>
      </c>
    </row>
    <row r="68" spans="1:9">
      <c r="A68">
        <v>352</v>
      </c>
      <c r="B68">
        <v>3486</v>
      </c>
      <c r="C68" s="42">
        <f t="shared" si="4"/>
        <v>0.46256304511382956</v>
      </c>
      <c r="D68" s="42">
        <f t="shared" ref="D68:D121" si="6">D67+C68</f>
        <v>84.400903895428343</v>
      </c>
      <c r="F68" s="42">
        <v>425</v>
      </c>
      <c r="G68" s="42">
        <v>4113</v>
      </c>
      <c r="H68" s="42">
        <f t="shared" si="5"/>
        <v>0.54576070124876097</v>
      </c>
      <c r="I68" s="42">
        <f t="shared" ref="I68:I121" si="7">I67+H68</f>
        <v>82.575863125923007</v>
      </c>
    </row>
    <row r="69" spans="1:9">
      <c r="A69">
        <v>436</v>
      </c>
      <c r="B69">
        <v>3405</v>
      </c>
      <c r="C69" s="42">
        <f t="shared" si="4"/>
        <v>0.45181502255094363</v>
      </c>
      <c r="D69" s="42">
        <f t="shared" si="6"/>
        <v>84.852718917979288</v>
      </c>
      <c r="F69" s="42">
        <v>426</v>
      </c>
      <c r="G69" s="42">
        <v>3689</v>
      </c>
      <c r="H69" s="42">
        <f t="shared" si="5"/>
        <v>0.48949944733933365</v>
      </c>
      <c r="I69" s="42">
        <f t="shared" si="7"/>
        <v>83.065362573262334</v>
      </c>
    </row>
    <row r="70" spans="1:9">
      <c r="A70">
        <v>432</v>
      </c>
      <c r="B70">
        <v>3360</v>
      </c>
      <c r="C70" s="42">
        <f t="shared" si="4"/>
        <v>0.44584389890489595</v>
      </c>
      <c r="D70" s="42">
        <f t="shared" si="6"/>
        <v>85.298562816884186</v>
      </c>
      <c r="F70" s="42">
        <v>431</v>
      </c>
      <c r="G70" s="42">
        <v>4233</v>
      </c>
      <c r="H70" s="42">
        <f t="shared" si="5"/>
        <v>0.56168369763822157</v>
      </c>
      <c r="I70" s="42">
        <f t="shared" si="7"/>
        <v>83.62704627090055</v>
      </c>
    </row>
    <row r="71" spans="1:9">
      <c r="A71">
        <v>453</v>
      </c>
      <c r="B71">
        <v>3360</v>
      </c>
      <c r="C71" s="42">
        <f t="shared" si="4"/>
        <v>0.44584389890489595</v>
      </c>
      <c r="D71" s="42">
        <f t="shared" si="6"/>
        <v>85.744406715789083</v>
      </c>
      <c r="F71" s="42">
        <v>432</v>
      </c>
      <c r="G71" s="42">
        <v>3360</v>
      </c>
      <c r="H71" s="42">
        <f t="shared" si="5"/>
        <v>0.44584389890489595</v>
      </c>
      <c r="I71" s="42">
        <f t="shared" si="7"/>
        <v>84.072890169805447</v>
      </c>
    </row>
    <row r="72" spans="1:9">
      <c r="A72">
        <v>261</v>
      </c>
      <c r="B72">
        <v>3325</v>
      </c>
      <c r="C72" s="42">
        <f t="shared" si="4"/>
        <v>0.44119969162463657</v>
      </c>
      <c r="D72" s="42">
        <f t="shared" si="6"/>
        <v>86.185606407413715</v>
      </c>
      <c r="F72" s="42">
        <v>435</v>
      </c>
      <c r="G72" s="42">
        <v>3855</v>
      </c>
      <c r="H72" s="42">
        <f t="shared" si="5"/>
        <v>0.51152625901142068</v>
      </c>
      <c r="I72" s="42">
        <f t="shared" si="7"/>
        <v>84.584416428816866</v>
      </c>
    </row>
    <row r="73" spans="1:9">
      <c r="A73">
        <v>254</v>
      </c>
      <c r="B73">
        <v>3297</v>
      </c>
      <c r="C73" s="42">
        <f t="shared" si="4"/>
        <v>0.43748432580042912</v>
      </c>
      <c r="D73" s="42">
        <f t="shared" si="6"/>
        <v>86.623090733214141</v>
      </c>
      <c r="F73" s="42">
        <v>436</v>
      </c>
      <c r="G73" s="42">
        <v>3405</v>
      </c>
      <c r="H73" s="42">
        <f t="shared" si="5"/>
        <v>0.45181502255094363</v>
      </c>
      <c r="I73" s="42">
        <f t="shared" si="7"/>
        <v>85.036231451367811</v>
      </c>
    </row>
    <row r="74" spans="1:9">
      <c r="A74">
        <v>521</v>
      </c>
      <c r="B74">
        <v>3201</v>
      </c>
      <c r="C74" s="42">
        <f t="shared" si="4"/>
        <v>0.42474592868886069</v>
      </c>
      <c r="D74" s="42">
        <f t="shared" si="6"/>
        <v>87.047836661903006</v>
      </c>
      <c r="F74" s="42">
        <v>451</v>
      </c>
      <c r="G74" s="42">
        <v>5286</v>
      </c>
      <c r="H74" s="42">
        <f t="shared" si="5"/>
        <v>0.70140799095573803</v>
      </c>
      <c r="I74" s="42">
        <f t="shared" si="7"/>
        <v>85.737639442323555</v>
      </c>
    </row>
    <row r="75" spans="1:9">
      <c r="A75">
        <v>263</v>
      </c>
      <c r="B75">
        <v>3090</v>
      </c>
      <c r="C75" s="42">
        <f t="shared" si="4"/>
        <v>0.41001715702860969</v>
      </c>
      <c r="D75" s="42">
        <f t="shared" si="6"/>
        <v>87.457853818931611</v>
      </c>
      <c r="F75" s="42">
        <v>452</v>
      </c>
      <c r="G75" s="42">
        <v>3973</v>
      </c>
      <c r="H75" s="42">
        <f t="shared" si="5"/>
        <v>0.52718387212772366</v>
      </c>
      <c r="I75" s="42">
        <f t="shared" si="7"/>
        <v>86.264823314451277</v>
      </c>
    </row>
    <row r="76" spans="1:9">
      <c r="A76">
        <v>612</v>
      </c>
      <c r="B76">
        <v>3061</v>
      </c>
      <c r="C76" s="42">
        <f t="shared" si="4"/>
        <v>0.40616909956782332</v>
      </c>
      <c r="D76" s="42">
        <f t="shared" si="6"/>
        <v>87.86402291849943</v>
      </c>
      <c r="F76" s="42">
        <v>453</v>
      </c>
      <c r="G76" s="42">
        <v>3360</v>
      </c>
      <c r="H76" s="42">
        <f t="shared" si="5"/>
        <v>0.44584389890489595</v>
      </c>
      <c r="I76" s="42">
        <f t="shared" si="7"/>
        <v>86.710667213356174</v>
      </c>
    </row>
    <row r="77" spans="1:9">
      <c r="A77">
        <v>361</v>
      </c>
      <c r="B77">
        <v>3036</v>
      </c>
      <c r="C77" s="42">
        <f t="shared" si="4"/>
        <v>0.40285180865335241</v>
      </c>
      <c r="D77" s="42">
        <f t="shared" si="6"/>
        <v>88.266874727152782</v>
      </c>
      <c r="F77" s="42">
        <v>456</v>
      </c>
      <c r="G77" s="42">
        <v>4169</v>
      </c>
      <c r="H77" s="42">
        <f t="shared" si="5"/>
        <v>0.55319143289717598</v>
      </c>
      <c r="I77" s="42">
        <f t="shared" si="7"/>
        <v>87.263858646253354</v>
      </c>
    </row>
    <row r="78" spans="1:9">
      <c r="A78">
        <v>541</v>
      </c>
      <c r="B78">
        <v>2912</v>
      </c>
      <c r="C78" s="42">
        <f t="shared" si="4"/>
        <v>0.38639804571757647</v>
      </c>
      <c r="D78" s="42">
        <f t="shared" si="6"/>
        <v>88.653272772870352</v>
      </c>
      <c r="F78" s="42">
        <v>461</v>
      </c>
      <c r="G78" s="42">
        <v>3518</v>
      </c>
      <c r="H78" s="42">
        <f t="shared" si="5"/>
        <v>0.46680917748435236</v>
      </c>
      <c r="I78" s="42">
        <f t="shared" si="7"/>
        <v>87.730667823737704</v>
      </c>
    </row>
    <row r="79" spans="1:9">
      <c r="A79">
        <v>356</v>
      </c>
      <c r="B79">
        <v>2865</v>
      </c>
      <c r="C79" s="42">
        <f t="shared" si="4"/>
        <v>0.38016153879837106</v>
      </c>
      <c r="D79" s="42">
        <f t="shared" si="6"/>
        <v>89.033434311668728</v>
      </c>
      <c r="F79" s="42">
        <v>462</v>
      </c>
      <c r="G79" s="42">
        <v>2774</v>
      </c>
      <c r="H79" s="42">
        <f t="shared" si="5"/>
        <v>0.36808659986969683</v>
      </c>
      <c r="I79" s="42">
        <f t="shared" si="7"/>
        <v>88.098754423607403</v>
      </c>
    </row>
    <row r="80" spans="1:9">
      <c r="A80">
        <v>465</v>
      </c>
      <c r="B80">
        <v>2799</v>
      </c>
      <c r="C80" s="42">
        <f t="shared" si="4"/>
        <v>0.37140389078416775</v>
      </c>
      <c r="D80" s="42">
        <f t="shared" si="6"/>
        <v>89.404838202452893</v>
      </c>
      <c r="F80" s="42">
        <v>463</v>
      </c>
      <c r="G80" s="42">
        <v>2455</v>
      </c>
      <c r="H80" s="42">
        <f t="shared" si="5"/>
        <v>0.32575796780104749</v>
      </c>
      <c r="I80" s="42">
        <f t="shared" si="7"/>
        <v>88.424512391408456</v>
      </c>
    </row>
    <row r="81" spans="1:9">
      <c r="A81">
        <v>462</v>
      </c>
      <c r="B81">
        <v>2774</v>
      </c>
      <c r="C81" s="42">
        <f t="shared" si="4"/>
        <v>0.36808659986969683</v>
      </c>
      <c r="D81" s="42">
        <f t="shared" si="6"/>
        <v>89.772924802322592</v>
      </c>
      <c r="F81" s="42">
        <v>465</v>
      </c>
      <c r="G81" s="42">
        <v>2799</v>
      </c>
      <c r="H81" s="42">
        <f t="shared" si="5"/>
        <v>0.37140389078416775</v>
      </c>
      <c r="I81" s="42">
        <f t="shared" si="7"/>
        <v>88.795916282192621</v>
      </c>
    </row>
    <row r="82" spans="1:9">
      <c r="A82">
        <v>364</v>
      </c>
      <c r="B82">
        <v>2745</v>
      </c>
      <c r="C82" s="42">
        <f t="shared" si="4"/>
        <v>0.36423854240891052</v>
      </c>
      <c r="D82" s="42">
        <f t="shared" si="6"/>
        <v>90.137163344731505</v>
      </c>
      <c r="F82" s="42">
        <v>512</v>
      </c>
      <c r="G82" s="42">
        <v>4589</v>
      </c>
      <c r="H82" s="42">
        <f t="shared" si="5"/>
        <v>0.60892192026028791</v>
      </c>
      <c r="I82" s="42">
        <f t="shared" si="7"/>
        <v>89.404838202452908</v>
      </c>
    </row>
    <row r="83" spans="1:9">
      <c r="A83">
        <v>256</v>
      </c>
      <c r="B83">
        <v>2741</v>
      </c>
      <c r="C83" s="42">
        <f t="shared" si="4"/>
        <v>0.36370777586259512</v>
      </c>
      <c r="D83" s="42">
        <f t="shared" si="6"/>
        <v>90.500871120594098</v>
      </c>
      <c r="F83" s="42">
        <v>513</v>
      </c>
      <c r="G83" s="42">
        <v>3995</v>
      </c>
      <c r="H83" s="42">
        <f t="shared" si="5"/>
        <v>0.5301030881324581</v>
      </c>
      <c r="I83" s="42">
        <f t="shared" si="7"/>
        <v>89.934941290585371</v>
      </c>
    </row>
    <row r="84" spans="1:9">
      <c r="A84">
        <v>613</v>
      </c>
      <c r="B84">
        <v>2724</v>
      </c>
      <c r="C84" s="42">
        <f t="shared" si="4"/>
        <v>0.36145201804075489</v>
      </c>
      <c r="D84" s="42">
        <f t="shared" si="6"/>
        <v>90.862323138634849</v>
      </c>
      <c r="F84" s="42">
        <v>514</v>
      </c>
      <c r="G84" s="42">
        <v>3635</v>
      </c>
      <c r="H84" s="42">
        <f t="shared" si="5"/>
        <v>0.48233409896407642</v>
      </c>
      <c r="I84" s="42">
        <f t="shared" si="7"/>
        <v>90.417275389549445</v>
      </c>
    </row>
    <row r="85" spans="1:9">
      <c r="A85">
        <v>362</v>
      </c>
      <c r="B85">
        <v>2724</v>
      </c>
      <c r="C85" s="42">
        <f t="shared" si="4"/>
        <v>0.36145201804075489</v>
      </c>
      <c r="D85" s="42">
        <f t="shared" si="6"/>
        <v>91.2237751566756</v>
      </c>
      <c r="F85" s="42">
        <v>516</v>
      </c>
      <c r="G85" s="42">
        <v>3612</v>
      </c>
      <c r="H85" s="42">
        <f t="shared" si="5"/>
        <v>0.47928219132276317</v>
      </c>
      <c r="I85" s="42">
        <f t="shared" si="7"/>
        <v>90.896557580872212</v>
      </c>
    </row>
    <row r="86" spans="1:9">
      <c r="A86">
        <v>264</v>
      </c>
      <c r="B86">
        <v>2585</v>
      </c>
      <c r="C86" s="42">
        <f t="shared" si="4"/>
        <v>0.34300788055629639</v>
      </c>
      <c r="D86" s="42">
        <f t="shared" si="6"/>
        <v>91.5667830372319</v>
      </c>
      <c r="F86" s="42">
        <v>521</v>
      </c>
      <c r="G86" s="42">
        <v>3201</v>
      </c>
      <c r="H86" s="42">
        <f t="shared" si="5"/>
        <v>0.42474592868886069</v>
      </c>
      <c r="I86" s="42">
        <f t="shared" si="7"/>
        <v>91.321303509561076</v>
      </c>
    </row>
    <row r="87" spans="1:9">
      <c r="A87">
        <v>546</v>
      </c>
      <c r="B87">
        <v>2535</v>
      </c>
      <c r="C87" s="42">
        <f t="shared" si="4"/>
        <v>0.3363732987273545</v>
      </c>
      <c r="D87" s="42">
        <f t="shared" si="6"/>
        <v>91.903156335959252</v>
      </c>
      <c r="F87" s="42">
        <v>523</v>
      </c>
      <c r="G87" s="42">
        <v>2365</v>
      </c>
      <c r="H87" s="42">
        <f t="shared" si="5"/>
        <v>0.31381572050895201</v>
      </c>
      <c r="I87" s="42">
        <f t="shared" si="7"/>
        <v>91.635119230070032</v>
      </c>
    </row>
    <row r="88" spans="1:9">
      <c r="A88">
        <v>531</v>
      </c>
      <c r="B88">
        <v>2474</v>
      </c>
      <c r="C88" s="42">
        <f t="shared" si="4"/>
        <v>0.32827910889604539</v>
      </c>
      <c r="D88" s="42">
        <f t="shared" si="6"/>
        <v>92.231435444855293</v>
      </c>
      <c r="F88" s="42">
        <v>524</v>
      </c>
      <c r="G88" s="42">
        <v>2027</v>
      </c>
      <c r="H88" s="42">
        <f t="shared" si="5"/>
        <v>0.26896594734530477</v>
      </c>
      <c r="I88" s="42">
        <f t="shared" si="7"/>
        <v>91.90408517741534</v>
      </c>
    </row>
    <row r="89" spans="1:9">
      <c r="A89">
        <v>463</v>
      </c>
      <c r="B89">
        <v>2455</v>
      </c>
      <c r="C89" s="42">
        <f t="shared" si="4"/>
        <v>0.32575796780104749</v>
      </c>
      <c r="D89" s="42">
        <f t="shared" si="6"/>
        <v>92.557193412656346</v>
      </c>
      <c r="F89" s="42">
        <v>526</v>
      </c>
      <c r="G89" s="42">
        <v>2256</v>
      </c>
      <c r="H89" s="42">
        <f t="shared" si="5"/>
        <v>0.29935233212185869</v>
      </c>
      <c r="I89" s="42">
        <f t="shared" si="7"/>
        <v>92.203437509537196</v>
      </c>
    </row>
    <row r="90" spans="1:9">
      <c r="A90">
        <v>614</v>
      </c>
      <c r="B90">
        <v>2379</v>
      </c>
      <c r="C90" s="42">
        <f t="shared" si="4"/>
        <v>0.31567340342105576</v>
      </c>
      <c r="D90" s="42">
        <f t="shared" si="6"/>
        <v>92.872866816077405</v>
      </c>
      <c r="F90" s="42">
        <v>531</v>
      </c>
      <c r="G90" s="42">
        <v>2474</v>
      </c>
      <c r="H90" s="42">
        <f t="shared" si="5"/>
        <v>0.32827910889604539</v>
      </c>
      <c r="I90" s="42">
        <f t="shared" si="7"/>
        <v>92.531716618433236</v>
      </c>
    </row>
    <row r="91" spans="1:9">
      <c r="A91">
        <v>523</v>
      </c>
      <c r="B91">
        <v>2365</v>
      </c>
      <c r="C91" s="42">
        <f t="shared" si="4"/>
        <v>0.31381572050895201</v>
      </c>
      <c r="D91" s="42">
        <f t="shared" si="6"/>
        <v>93.18668253658636</v>
      </c>
      <c r="F91" s="42">
        <v>532</v>
      </c>
      <c r="G91" s="42">
        <v>2103</v>
      </c>
      <c r="H91" s="42">
        <f t="shared" si="5"/>
        <v>0.27905051172529649</v>
      </c>
      <c r="I91" s="42">
        <f t="shared" si="7"/>
        <v>92.810767130158538</v>
      </c>
    </row>
    <row r="92" spans="1:9">
      <c r="A92">
        <v>621</v>
      </c>
      <c r="B92">
        <v>2317</v>
      </c>
      <c r="C92" s="42">
        <f t="shared" si="4"/>
        <v>0.3074465219531678</v>
      </c>
      <c r="D92" s="42">
        <f t="shared" si="6"/>
        <v>93.494129058539528</v>
      </c>
      <c r="F92" s="42">
        <v>534</v>
      </c>
      <c r="G92" s="42">
        <v>1966</v>
      </c>
      <c r="H92" s="42">
        <f t="shared" si="5"/>
        <v>0.26087175751399566</v>
      </c>
      <c r="I92" s="42">
        <f t="shared" si="7"/>
        <v>93.071638887672535</v>
      </c>
    </row>
    <row r="93" spans="1:9">
      <c r="A93">
        <v>542</v>
      </c>
      <c r="B93">
        <v>2305</v>
      </c>
      <c r="C93" s="42">
        <f t="shared" si="4"/>
        <v>0.30585422231422177</v>
      </c>
      <c r="D93" s="42">
        <f t="shared" si="6"/>
        <v>93.799983280853752</v>
      </c>
      <c r="F93" s="42">
        <v>536</v>
      </c>
      <c r="G93" s="42">
        <v>1898</v>
      </c>
      <c r="H93" s="42">
        <f t="shared" si="5"/>
        <v>0.25184872622663462</v>
      </c>
      <c r="I93" s="42">
        <f t="shared" si="7"/>
        <v>93.323487613899175</v>
      </c>
    </row>
    <row r="94" spans="1:9">
      <c r="A94">
        <v>365</v>
      </c>
      <c r="B94">
        <v>2271</v>
      </c>
      <c r="C94" s="42">
        <f t="shared" si="4"/>
        <v>0.3013427066705413</v>
      </c>
      <c r="D94" s="42">
        <f t="shared" si="6"/>
        <v>94.101325987524291</v>
      </c>
      <c r="F94" s="42">
        <v>541</v>
      </c>
      <c r="G94" s="42">
        <v>2912</v>
      </c>
      <c r="H94" s="42">
        <f t="shared" si="5"/>
        <v>0.38639804571757647</v>
      </c>
      <c r="I94" s="42">
        <f t="shared" si="7"/>
        <v>93.709885659616745</v>
      </c>
    </row>
    <row r="95" spans="1:9">
      <c r="A95">
        <v>526</v>
      </c>
      <c r="B95">
        <v>2256</v>
      </c>
      <c r="C95" s="42">
        <f t="shared" si="4"/>
        <v>0.29935233212185869</v>
      </c>
      <c r="D95" s="42">
        <f t="shared" si="6"/>
        <v>94.400678319646147</v>
      </c>
      <c r="F95" s="42">
        <v>542</v>
      </c>
      <c r="G95" s="42">
        <v>2305</v>
      </c>
      <c r="H95" s="42">
        <f t="shared" si="5"/>
        <v>0.30585422231422177</v>
      </c>
      <c r="I95" s="42">
        <f t="shared" si="7"/>
        <v>94.015739881930969</v>
      </c>
    </row>
    <row r="96" spans="1:9">
      <c r="A96">
        <v>561</v>
      </c>
      <c r="B96">
        <v>2215</v>
      </c>
      <c r="C96" s="42">
        <f t="shared" si="4"/>
        <v>0.29391197502212629</v>
      </c>
      <c r="D96" s="42">
        <f t="shared" si="6"/>
        <v>94.694590294668274</v>
      </c>
      <c r="F96" s="42">
        <v>543</v>
      </c>
      <c r="G96" s="42">
        <v>1811</v>
      </c>
      <c r="H96" s="42">
        <f t="shared" si="5"/>
        <v>0.24030455384427574</v>
      </c>
      <c r="I96" s="42">
        <f t="shared" si="7"/>
        <v>94.256044435775252</v>
      </c>
    </row>
    <row r="97" spans="1:9">
      <c r="A97">
        <v>265</v>
      </c>
      <c r="B97">
        <v>2121</v>
      </c>
      <c r="C97" s="42">
        <f t="shared" si="4"/>
        <v>0.28143896118371559</v>
      </c>
      <c r="D97" s="42">
        <f t="shared" si="6"/>
        <v>94.976029255851984</v>
      </c>
      <c r="F97" s="42">
        <v>546</v>
      </c>
      <c r="G97" s="42">
        <v>2535</v>
      </c>
      <c r="H97" s="42">
        <f t="shared" si="5"/>
        <v>0.3363732987273545</v>
      </c>
      <c r="I97" s="42">
        <f t="shared" si="7"/>
        <v>94.592417734502604</v>
      </c>
    </row>
    <row r="98" spans="1:9">
      <c r="A98">
        <v>532</v>
      </c>
      <c r="B98">
        <v>2103</v>
      </c>
      <c r="C98" s="42">
        <f t="shared" si="4"/>
        <v>0.27905051172529649</v>
      </c>
      <c r="D98" s="42">
        <f t="shared" si="6"/>
        <v>95.255079767577286</v>
      </c>
      <c r="F98" s="42">
        <v>561</v>
      </c>
      <c r="G98" s="42">
        <v>2215</v>
      </c>
      <c r="H98" s="42">
        <f t="shared" si="5"/>
        <v>0.29391197502212629</v>
      </c>
      <c r="I98" s="42">
        <f t="shared" si="7"/>
        <v>94.88632970952473</v>
      </c>
    </row>
    <row r="99" spans="1:9">
      <c r="A99">
        <v>524</v>
      </c>
      <c r="B99">
        <v>2027</v>
      </c>
      <c r="C99" s="42">
        <f t="shared" si="4"/>
        <v>0.26896594734530477</v>
      </c>
      <c r="D99" s="42">
        <f t="shared" si="6"/>
        <v>95.524045714922593</v>
      </c>
      <c r="F99" s="42">
        <v>562</v>
      </c>
      <c r="G99" s="42">
        <v>1777</v>
      </c>
      <c r="H99" s="42">
        <f t="shared" si="5"/>
        <v>0.23579303820059527</v>
      </c>
      <c r="I99" s="42">
        <f t="shared" si="7"/>
        <v>95.122122747725328</v>
      </c>
    </row>
    <row r="100" spans="1:9">
      <c r="A100">
        <v>534</v>
      </c>
      <c r="B100">
        <v>1966</v>
      </c>
      <c r="C100" s="42">
        <f t="shared" si="4"/>
        <v>0.26087175751399566</v>
      </c>
      <c r="D100" s="42">
        <f t="shared" si="6"/>
        <v>95.784917472436589</v>
      </c>
      <c r="F100" s="42">
        <v>563</v>
      </c>
      <c r="G100" s="42">
        <v>1519</v>
      </c>
      <c r="H100" s="42">
        <f t="shared" si="5"/>
        <v>0.20155859596325504</v>
      </c>
      <c r="I100" s="42">
        <f t="shared" si="7"/>
        <v>95.323681343688577</v>
      </c>
    </row>
    <row r="101" spans="1:9">
      <c r="A101">
        <v>615</v>
      </c>
      <c r="B101">
        <v>1909</v>
      </c>
      <c r="C101" s="42">
        <f t="shared" si="4"/>
        <v>0.25330833422900184</v>
      </c>
      <c r="D101" s="42">
        <f t="shared" si="6"/>
        <v>96.038225806665594</v>
      </c>
      <c r="F101" s="42">
        <v>564</v>
      </c>
      <c r="G101" s="42">
        <v>1537</v>
      </c>
      <c r="H101" s="42">
        <f t="shared" si="5"/>
        <v>0.20394704542167413</v>
      </c>
      <c r="I101" s="42">
        <f t="shared" si="7"/>
        <v>95.527628389110248</v>
      </c>
    </row>
    <row r="102" spans="1:9">
      <c r="A102">
        <v>536</v>
      </c>
      <c r="B102">
        <v>1898</v>
      </c>
      <c r="C102" s="42">
        <f t="shared" si="4"/>
        <v>0.25184872622663462</v>
      </c>
      <c r="D102" s="42">
        <f t="shared" si="6"/>
        <v>96.290074532892234</v>
      </c>
      <c r="F102" s="42">
        <v>612</v>
      </c>
      <c r="G102" s="42">
        <v>3061</v>
      </c>
      <c r="H102" s="42">
        <f t="shared" si="5"/>
        <v>0.40616909956782332</v>
      </c>
      <c r="I102" s="42">
        <f t="shared" si="7"/>
        <v>95.933797488678067</v>
      </c>
    </row>
    <row r="103" spans="1:9">
      <c r="A103">
        <v>623</v>
      </c>
      <c r="B103">
        <v>1846</v>
      </c>
      <c r="C103" s="42">
        <f t="shared" si="4"/>
        <v>0.24494876112453509</v>
      </c>
      <c r="D103" s="42">
        <f t="shared" si="6"/>
        <v>96.535023294016767</v>
      </c>
      <c r="F103" s="42">
        <v>613</v>
      </c>
      <c r="G103" s="42">
        <v>2724</v>
      </c>
      <c r="H103" s="42">
        <f t="shared" si="5"/>
        <v>0.36145201804075489</v>
      </c>
      <c r="I103" s="42">
        <f t="shared" si="7"/>
        <v>96.295249506718818</v>
      </c>
    </row>
    <row r="104" spans="1:9">
      <c r="A104">
        <v>543</v>
      </c>
      <c r="B104">
        <v>1811</v>
      </c>
      <c r="C104" s="42">
        <f t="shared" si="4"/>
        <v>0.24030455384427574</v>
      </c>
      <c r="D104" s="42">
        <f t="shared" si="6"/>
        <v>96.77532784786105</v>
      </c>
      <c r="F104" s="42">
        <v>614</v>
      </c>
      <c r="G104" s="42">
        <v>2379</v>
      </c>
      <c r="H104" s="42">
        <f t="shared" si="5"/>
        <v>0.31567340342105576</v>
      </c>
      <c r="I104" s="42">
        <f t="shared" si="7"/>
        <v>96.610922910139877</v>
      </c>
    </row>
    <row r="105" spans="1:9">
      <c r="A105">
        <v>562</v>
      </c>
      <c r="B105">
        <v>1777</v>
      </c>
      <c r="C105" s="42">
        <f t="shared" si="4"/>
        <v>0.23579303820059527</v>
      </c>
      <c r="D105" s="42">
        <f t="shared" si="6"/>
        <v>97.011120886061647</v>
      </c>
      <c r="F105" s="42">
        <v>615</v>
      </c>
      <c r="G105" s="42">
        <v>1909</v>
      </c>
      <c r="H105" s="42">
        <f t="shared" si="5"/>
        <v>0.25330833422900184</v>
      </c>
      <c r="I105" s="42">
        <f t="shared" si="7"/>
        <v>96.864231244368881</v>
      </c>
    </row>
    <row r="106" spans="1:9">
      <c r="A106">
        <v>641</v>
      </c>
      <c r="B106">
        <v>1771</v>
      </c>
      <c r="C106" s="42">
        <f t="shared" si="4"/>
        <v>0.2349968883811222</v>
      </c>
      <c r="D106" s="42">
        <f t="shared" si="6"/>
        <v>97.246117774442766</v>
      </c>
      <c r="F106" s="42">
        <v>621</v>
      </c>
      <c r="G106" s="42">
        <v>2317</v>
      </c>
      <c r="H106" s="42">
        <f t="shared" si="5"/>
        <v>0.3074465219531678</v>
      </c>
      <c r="I106" s="42">
        <f t="shared" si="7"/>
        <v>97.171677766322048</v>
      </c>
    </row>
    <row r="107" spans="1:9">
      <c r="A107">
        <v>631</v>
      </c>
      <c r="B107">
        <v>1744</v>
      </c>
      <c r="C107" s="42">
        <f t="shared" si="4"/>
        <v>0.23141421419349359</v>
      </c>
      <c r="D107" s="42">
        <f t="shared" si="6"/>
        <v>97.477531988636258</v>
      </c>
      <c r="F107" s="42">
        <v>623</v>
      </c>
      <c r="G107" s="42">
        <v>1846</v>
      </c>
      <c r="H107" s="42">
        <f t="shared" si="5"/>
        <v>0.24494876112453509</v>
      </c>
      <c r="I107" s="42">
        <f t="shared" si="7"/>
        <v>97.416626527446581</v>
      </c>
    </row>
    <row r="108" spans="1:9">
      <c r="A108">
        <v>624</v>
      </c>
      <c r="B108">
        <v>1655</v>
      </c>
      <c r="C108" s="42">
        <f t="shared" si="4"/>
        <v>0.219604658537977</v>
      </c>
      <c r="D108" s="42">
        <f t="shared" si="6"/>
        <v>97.697136647174233</v>
      </c>
      <c r="F108" s="42">
        <v>624</v>
      </c>
      <c r="G108" s="42">
        <v>1655</v>
      </c>
      <c r="H108" s="42">
        <f t="shared" si="5"/>
        <v>0.219604658537977</v>
      </c>
      <c r="I108" s="42">
        <f t="shared" si="7"/>
        <v>97.636231185984556</v>
      </c>
    </row>
    <row r="109" spans="1:9">
      <c r="A109">
        <v>564</v>
      </c>
      <c r="B109">
        <v>1537</v>
      </c>
      <c r="C109" s="42">
        <f t="shared" si="4"/>
        <v>0.20394704542167413</v>
      </c>
      <c r="D109" s="42">
        <f t="shared" si="6"/>
        <v>97.901083692595904</v>
      </c>
      <c r="F109" s="42">
        <v>625</v>
      </c>
      <c r="G109" s="42">
        <v>1386</v>
      </c>
      <c r="H109" s="42">
        <f t="shared" si="5"/>
        <v>0.18391060829826958</v>
      </c>
      <c r="I109" s="42">
        <f t="shared" si="7"/>
        <v>97.820141794282833</v>
      </c>
    </row>
    <row r="110" spans="1:9">
      <c r="A110">
        <v>563</v>
      </c>
      <c r="B110">
        <v>1519</v>
      </c>
      <c r="C110" s="42">
        <f t="shared" si="4"/>
        <v>0.20155859596325504</v>
      </c>
      <c r="D110" s="42">
        <f t="shared" si="6"/>
        <v>98.102642288559153</v>
      </c>
      <c r="F110" s="42">
        <v>631</v>
      </c>
      <c r="G110" s="42">
        <v>1744</v>
      </c>
      <c r="H110" s="42">
        <f t="shared" si="5"/>
        <v>0.23141421419349359</v>
      </c>
      <c r="I110" s="42">
        <f t="shared" si="7"/>
        <v>98.051556008476325</v>
      </c>
    </row>
    <row r="111" spans="1:9">
      <c r="A111">
        <v>634</v>
      </c>
      <c r="B111">
        <v>1506</v>
      </c>
      <c r="C111" s="42">
        <f t="shared" si="4"/>
        <v>0.19983360468773015</v>
      </c>
      <c r="D111" s="42">
        <f t="shared" si="6"/>
        <v>98.302475893246879</v>
      </c>
      <c r="F111" s="42">
        <v>632</v>
      </c>
      <c r="G111" s="42">
        <v>1478</v>
      </c>
      <c r="H111" s="42">
        <f t="shared" si="5"/>
        <v>0.19611823886352264</v>
      </c>
      <c r="I111" s="42">
        <f t="shared" si="7"/>
        <v>98.247674247339845</v>
      </c>
    </row>
    <row r="112" spans="1:9">
      <c r="A112">
        <v>642</v>
      </c>
      <c r="B112">
        <v>1482</v>
      </c>
      <c r="C112" s="42">
        <f t="shared" si="4"/>
        <v>0.19664900540983804</v>
      </c>
      <c r="D112" s="42">
        <f t="shared" si="6"/>
        <v>98.499124898656717</v>
      </c>
      <c r="F112" s="42">
        <v>634</v>
      </c>
      <c r="G112" s="42">
        <v>1506</v>
      </c>
      <c r="H112" s="42">
        <f t="shared" si="5"/>
        <v>0.19983360468773015</v>
      </c>
      <c r="I112" s="42">
        <f t="shared" si="7"/>
        <v>98.44750785202757</v>
      </c>
    </row>
    <row r="113" spans="1:9">
      <c r="A113">
        <v>632</v>
      </c>
      <c r="B113">
        <v>1478</v>
      </c>
      <c r="C113" s="42">
        <f t="shared" si="4"/>
        <v>0.19611823886352264</v>
      </c>
      <c r="D113" s="42">
        <f t="shared" si="6"/>
        <v>98.695243137520237</v>
      </c>
      <c r="F113" s="42">
        <v>635</v>
      </c>
      <c r="G113" s="42">
        <v>1248</v>
      </c>
      <c r="H113" s="42">
        <f t="shared" si="5"/>
        <v>0.16559916245038991</v>
      </c>
      <c r="I113" s="42">
        <f t="shared" si="7"/>
        <v>98.613107014477961</v>
      </c>
    </row>
    <row r="114" spans="1:9">
      <c r="A114">
        <v>651</v>
      </c>
      <c r="B114">
        <v>1409</v>
      </c>
      <c r="C114" s="42">
        <f t="shared" si="4"/>
        <v>0.18696251593958285</v>
      </c>
      <c r="D114" s="42">
        <f t="shared" si="6"/>
        <v>98.88220565345982</v>
      </c>
      <c r="F114" s="42">
        <v>641</v>
      </c>
      <c r="G114" s="42">
        <v>1771</v>
      </c>
      <c r="H114" s="42">
        <f t="shared" si="5"/>
        <v>0.2349968883811222</v>
      </c>
      <c r="I114" s="42">
        <f t="shared" si="7"/>
        <v>98.84810390285908</v>
      </c>
    </row>
    <row r="115" spans="1:9">
      <c r="A115">
        <v>625</v>
      </c>
      <c r="B115">
        <v>1386</v>
      </c>
      <c r="C115" s="42">
        <f t="shared" si="4"/>
        <v>0.18391060829826958</v>
      </c>
      <c r="D115" s="42">
        <f t="shared" si="6"/>
        <v>99.066116261758097</v>
      </c>
      <c r="F115" s="42">
        <v>642</v>
      </c>
      <c r="G115" s="42">
        <v>1482</v>
      </c>
      <c r="H115" s="42">
        <f t="shared" si="5"/>
        <v>0.19664900540983804</v>
      </c>
      <c r="I115" s="42">
        <f t="shared" si="7"/>
        <v>99.044752908268919</v>
      </c>
    </row>
    <row r="116" spans="1:9">
      <c r="A116">
        <v>643</v>
      </c>
      <c r="B116">
        <v>1328</v>
      </c>
      <c r="C116" s="42">
        <f t="shared" si="4"/>
        <v>0.17621449337669695</v>
      </c>
      <c r="D116" s="42">
        <f t="shared" si="6"/>
        <v>99.242330755134788</v>
      </c>
      <c r="F116" s="42">
        <v>643</v>
      </c>
      <c r="G116" s="42">
        <v>1328</v>
      </c>
      <c r="H116" s="42">
        <f t="shared" si="5"/>
        <v>0.17621449337669695</v>
      </c>
      <c r="I116" s="42">
        <f t="shared" si="7"/>
        <v>99.220967401645609</v>
      </c>
    </row>
    <row r="117" spans="1:9">
      <c r="A117">
        <v>635</v>
      </c>
      <c r="B117">
        <v>1248</v>
      </c>
      <c r="C117" s="42">
        <f t="shared" si="4"/>
        <v>0.16559916245038991</v>
      </c>
      <c r="D117" s="42">
        <f t="shared" si="6"/>
        <v>99.407929917585179</v>
      </c>
      <c r="F117" s="42">
        <v>645</v>
      </c>
      <c r="G117" s="42">
        <v>1208</v>
      </c>
      <c r="H117" s="42">
        <f t="shared" si="5"/>
        <v>0.16029149698723638</v>
      </c>
      <c r="I117" s="42">
        <f t="shared" si="7"/>
        <v>99.381258898632851</v>
      </c>
    </row>
    <row r="118" spans="1:9">
      <c r="A118">
        <v>645</v>
      </c>
      <c r="B118">
        <v>1208</v>
      </c>
      <c r="C118" s="42">
        <f t="shared" si="4"/>
        <v>0.16029149698723638</v>
      </c>
      <c r="D118" s="42">
        <f t="shared" si="6"/>
        <v>99.56822141457242</v>
      </c>
      <c r="F118" s="42">
        <v>651</v>
      </c>
      <c r="G118" s="42">
        <v>1409</v>
      </c>
      <c r="H118" s="42">
        <f t="shared" si="5"/>
        <v>0.18696251593958285</v>
      </c>
      <c r="I118" s="42">
        <f t="shared" si="7"/>
        <v>99.568221414572434</v>
      </c>
    </row>
    <row r="119" spans="1:9">
      <c r="A119">
        <v>652</v>
      </c>
      <c r="B119">
        <v>1186</v>
      </c>
      <c r="C119" s="42">
        <f t="shared" si="4"/>
        <v>0.15737228098250197</v>
      </c>
      <c r="D119" s="42">
        <f t="shared" si="6"/>
        <v>99.72559369555492</v>
      </c>
      <c r="F119" s="42">
        <v>652</v>
      </c>
      <c r="G119" s="42">
        <v>1186</v>
      </c>
      <c r="H119" s="42">
        <f t="shared" si="5"/>
        <v>0.15737228098250197</v>
      </c>
      <c r="I119" s="42">
        <f t="shared" si="7"/>
        <v>99.725593695554934</v>
      </c>
    </row>
    <row r="120" spans="1:9">
      <c r="A120">
        <v>654</v>
      </c>
      <c r="B120">
        <v>1058</v>
      </c>
      <c r="C120" s="42">
        <f t="shared" si="4"/>
        <v>0.14038775150041069</v>
      </c>
      <c r="D120" s="42">
        <f t="shared" si="6"/>
        <v>99.865981447055333</v>
      </c>
      <c r="F120" s="42">
        <v>653</v>
      </c>
      <c r="G120" s="42">
        <v>1010</v>
      </c>
      <c r="H120" s="42">
        <f t="shared" si="5"/>
        <v>0.13401855294462647</v>
      </c>
      <c r="I120" s="42">
        <f t="shared" si="7"/>
        <v>99.859612248499559</v>
      </c>
    </row>
    <row r="121" spans="1:9">
      <c r="A121">
        <v>653</v>
      </c>
      <c r="B121">
        <v>1010</v>
      </c>
      <c r="C121" s="42">
        <f t="shared" si="4"/>
        <v>0.13401855294462647</v>
      </c>
      <c r="D121" s="42">
        <f t="shared" si="6"/>
        <v>99.999999999999957</v>
      </c>
      <c r="F121" s="42">
        <v>654</v>
      </c>
      <c r="G121" s="42">
        <v>1058</v>
      </c>
      <c r="H121" s="42">
        <f t="shared" si="5"/>
        <v>0.14038775150041069</v>
      </c>
      <c r="I121" s="42">
        <f t="shared" si="7"/>
        <v>99.999999999999972</v>
      </c>
    </row>
    <row r="122" spans="1:9">
      <c r="A122" t="s">
        <v>554</v>
      </c>
      <c r="B122">
        <f>SUM(B2:B121)</f>
        <v>753627</v>
      </c>
      <c r="F122" s="42" t="s">
        <v>554</v>
      </c>
      <c r="G122" s="42">
        <f>SUM(G2:G121)</f>
        <v>753627</v>
      </c>
    </row>
  </sheetData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model</vt:lpstr>
      <vt:lpstr>Sheet1</vt:lpstr>
      <vt:lpstr>model_online</vt:lpstr>
      <vt:lpstr>실험1</vt:lpstr>
      <vt:lpstr>실험2</vt:lpstr>
      <vt:lpstr>model_bak3</vt:lpstr>
      <vt:lpstr>model_bak2</vt:lpstr>
      <vt:lpstr>model_bak</vt:lpstr>
      <vt:lpstr>work</vt:lpstr>
      <vt:lpstr>1,2,3桁betcnt,hitrate調査 (2)</vt:lpstr>
      <vt:lpstr>1,2,3桁betcnt,hitrate調査</vt:lpstr>
      <vt:lpstr>89100,79100,99100比較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2025-10-18T13:01:57Z</dcterms:modified>
</cp:coreProperties>
</file>